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updateLinks="never"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C:\Users\108120\OneDrive - AmRest\Desktop\"/>
    </mc:Choice>
  </mc:AlternateContent>
  <xr:revisionPtr revIDLastSave="238" documentId="8_{0394478C-0162-4DCE-99EC-10AEF726095F}" xr6:coauthVersionLast="47" xr6:coauthVersionMax="47" xr10:uidLastSave="{7C27BFBB-8207-4B30-B9D6-5851E5880F64}"/>
  <workbookProtection workbookAlgorithmName="SHA-512" workbookHashValue="FuQjJclYItXPL6lmde/6KZwXcYsi+oTqLxbdMeH7NzyjkibodtINNUYMDlfSjzOSLR9CD3YoZny6cl1weY3xPA==" workbookSaltValue="vFwZ7J36aAOUZJL89NQi8A==" workbookSpinCount="100000" lockStructure="1"/>
  <bookViews>
    <workbookView xWindow="-120" yWindow="-120" windowWidth="24240" windowHeight="13140" tabRatio="656" firstSheet="2" activeTab="2" xr2:uid="{00000000-000D-0000-FFFF-FFFF00000000}"/>
  </bookViews>
  <sheets>
    <sheet name="USER GUIDE" sheetId="23" r:id="rId1"/>
    <sheet name="Rezerwa urlopowa" sheetId="33" r:id="rId2"/>
    <sheet name="CALCULATOR" sheetId="1" r:id="rId3"/>
    <sheet name="BONUS" sheetId="34" state="hidden" r:id="rId4"/>
    <sheet name="AOP" sheetId="29" r:id="rId5"/>
    <sheet name="TPLH PLAN" sheetId="25" r:id="rId6"/>
    <sheet name="Fields Description" sheetId="24" r:id="rId7"/>
    <sheet name="DANE" sheetId="3" state="hidden" r:id="rId8"/>
  </sheets>
  <definedNames>
    <definedName name="MATRIX_PLAN">DANE!$Q$4:$Q$6</definedName>
    <definedName name="ON">DANE!$P$10</definedName>
    <definedName name="_xlnm.Print_Area" localSheetId="2">CALCULATOR!$A$1:$W$78</definedName>
    <definedName name="SAPBEXhrIndnt" hidden="1">"Wide"</definedName>
    <definedName name="SAPsysID" hidden="1">"708C5W7SBKP804JT78WJ0JNKI"</definedName>
    <definedName name="SAPwbID" hidden="1">"ARS"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M70" i="1"/>
  <c r="C1" i="1"/>
  <c r="M69" i="1"/>
  <c r="V66" i="1"/>
  <c r="E66" i="1"/>
  <c r="C66" i="1"/>
  <c r="E64" i="1" l="1"/>
  <c r="C64" i="1"/>
  <c r="V19" i="1"/>
  <c r="V18" i="1" s="1"/>
  <c r="P19" i="1"/>
  <c r="P18" i="1" s="1"/>
  <c r="M14" i="3"/>
  <c r="M13" i="3"/>
  <c r="N13" i="3" s="1"/>
  <c r="M12" i="3"/>
  <c r="N12" i="3" s="1"/>
  <c r="M11" i="3"/>
  <c r="N11" i="3" s="1"/>
  <c r="M10" i="3"/>
  <c r="N10" i="3" s="1"/>
  <c r="M9" i="3"/>
  <c r="N9" i="3" s="1"/>
  <c r="M8" i="3"/>
  <c r="N8" i="3" s="1"/>
  <c r="M7" i="3"/>
  <c r="M6" i="3"/>
  <c r="M5" i="3"/>
  <c r="N5" i="3" s="1"/>
  <c r="M4" i="3"/>
  <c r="N4" i="3" s="1"/>
  <c r="M3" i="3"/>
  <c r="C70" i="1"/>
  <c r="C72" i="1"/>
  <c r="C71" i="1"/>
  <c r="C69" i="1"/>
  <c r="E69" i="1" s="1"/>
  <c r="BG54" i="1"/>
  <c r="BG52" i="1"/>
  <c r="BG53" i="1"/>
  <c r="BG55" i="1"/>
  <c r="BG56" i="1"/>
  <c r="S66" i="1"/>
  <c r="AJ52" i="1"/>
  <c r="AJ53" i="1"/>
  <c r="AJ54" i="1"/>
  <c r="AJ55" i="1"/>
  <c r="AJ56" i="1"/>
  <c r="X59" i="1"/>
  <c r="X58" i="1"/>
  <c r="X57" i="1"/>
  <c r="X56" i="1"/>
  <c r="X55" i="1"/>
  <c r="X54" i="1"/>
  <c r="X53" i="1"/>
  <c r="X52" i="1"/>
  <c r="X51" i="1"/>
  <c r="X50" i="1"/>
  <c r="B87" i="33"/>
  <c r="B90" i="33"/>
  <c r="B91" i="33"/>
  <c r="B92" i="33"/>
  <c r="B93" i="33"/>
  <c r="B94" i="33"/>
  <c r="B95" i="33"/>
  <c r="B96" i="33"/>
  <c r="N3" i="3"/>
  <c r="N6" i="3"/>
  <c r="N7" i="3"/>
  <c r="N14" i="3"/>
  <c r="D69" i="1" l="1"/>
  <c r="M15" i="3"/>
  <c r="N15" i="3" s="1"/>
  <c r="C9" i="34"/>
  <c r="B7" i="34"/>
  <c r="F9" i="34" s="1"/>
  <c r="D91" i="33"/>
  <c r="D92" i="33"/>
  <c r="E92" i="33" s="1"/>
  <c r="F92" i="33" s="1"/>
  <c r="D93" i="33"/>
  <c r="E93" i="33" s="1"/>
  <c r="F93" i="33" s="1"/>
  <c r="D94" i="33"/>
  <c r="D95" i="33"/>
  <c r="D96" i="33"/>
  <c r="D97" i="33"/>
  <c r="G92" i="33" l="1"/>
  <c r="G93" i="33"/>
  <c r="AC7" i="1"/>
  <c r="AF7" i="1"/>
  <c r="AG7" i="1"/>
  <c r="AH7" i="1"/>
  <c r="AI7" i="1"/>
  <c r="AC8" i="1"/>
  <c r="AF8" i="1"/>
  <c r="AG8" i="1"/>
  <c r="AH8" i="1"/>
  <c r="AI8" i="1"/>
  <c r="AZ7" i="1"/>
  <c r="BC7" i="1"/>
  <c r="BD7" i="1"/>
  <c r="BE7" i="1"/>
  <c r="BF7" i="1"/>
  <c r="AZ8" i="1"/>
  <c r="BC8" i="1"/>
  <c r="BD8" i="1"/>
  <c r="BE8" i="1"/>
  <c r="BF8" i="1"/>
  <c r="C33" i="34" l="1"/>
  <c r="C32" i="34"/>
  <c r="C31" i="34"/>
  <c r="C30" i="34"/>
  <c r="C29" i="34"/>
  <c r="C28" i="34"/>
  <c r="C27" i="34"/>
  <c r="C26" i="34"/>
  <c r="C25" i="34"/>
  <c r="C24" i="34"/>
  <c r="C23" i="34"/>
  <c r="C22" i="34"/>
  <c r="C102" i="33" l="1"/>
  <c r="E91" i="33"/>
  <c r="E94" i="33"/>
  <c r="E95" i="33"/>
  <c r="F95" i="33" s="1"/>
  <c r="AZ9" i="1"/>
  <c r="BC9" i="1"/>
  <c r="BD9" i="1"/>
  <c r="BE9" i="1"/>
  <c r="BF9" i="1"/>
  <c r="AZ10" i="1"/>
  <c r="BC10" i="1"/>
  <c r="BD10" i="1"/>
  <c r="BE10" i="1"/>
  <c r="BF10" i="1"/>
  <c r="AZ11" i="1"/>
  <c r="BC11" i="1"/>
  <c r="BD11" i="1"/>
  <c r="BE11" i="1"/>
  <c r="BF11" i="1"/>
  <c r="AC9" i="1"/>
  <c r="AF9" i="1"/>
  <c r="AG9" i="1"/>
  <c r="AH9" i="1"/>
  <c r="AI9" i="1"/>
  <c r="AC10" i="1"/>
  <c r="AF10" i="1"/>
  <c r="AG10" i="1"/>
  <c r="AH10" i="1"/>
  <c r="AI10" i="1"/>
  <c r="AC11" i="1"/>
  <c r="AF11" i="1"/>
  <c r="AG11" i="1"/>
  <c r="AH11" i="1"/>
  <c r="AI11" i="1"/>
  <c r="F94" i="33" l="1"/>
  <c r="G94" i="33" s="1"/>
  <c r="F91" i="33"/>
  <c r="G91" i="33" s="1"/>
  <c r="G95" i="33"/>
  <c r="J15" i="34"/>
  <c r="I15" i="34"/>
  <c r="H15" i="34"/>
  <c r="G15" i="34"/>
  <c r="J10" i="34"/>
  <c r="I10" i="34"/>
  <c r="H10" i="34"/>
  <c r="G10" i="34"/>
  <c r="E72" i="1" l="1"/>
  <c r="E71" i="1"/>
  <c r="E70" i="1"/>
  <c r="C38" i="1"/>
  <c r="D33" i="1"/>
  <c r="C83" i="33"/>
  <c r="C18" i="3"/>
  <c r="C8" i="1"/>
  <c r="F18" i="1"/>
  <c r="E65" i="1"/>
  <c r="F53" i="1"/>
  <c r="C65" i="1"/>
  <c r="F14" i="34"/>
  <c r="F33" i="1"/>
  <c r="F46" i="1"/>
  <c r="F65" i="1"/>
  <c r="F104" i="33"/>
  <c r="G104" i="33" s="1"/>
  <c r="E99" i="33"/>
  <c r="F99" i="33" s="1"/>
  <c r="E100" i="33"/>
  <c r="F100" i="33" s="1"/>
  <c r="G100" i="33" s="1"/>
  <c r="E101" i="33"/>
  <c r="F101" i="33" s="1"/>
  <c r="G101" i="33" s="1"/>
  <c r="AJ71" i="1"/>
  <c r="E98" i="33"/>
  <c r="F98" i="33" s="1"/>
  <c r="G98" i="33" s="1"/>
  <c r="E97" i="33"/>
  <c r="F97" i="33" s="1"/>
  <c r="D87" i="33"/>
  <c r="B88" i="33"/>
  <c r="B89" i="33"/>
  <c r="D88" i="33"/>
  <c r="E88" i="33" s="1"/>
  <c r="D89" i="33"/>
  <c r="E89" i="33" s="1"/>
  <c r="F89" i="33" s="1"/>
  <c r="G89" i="33" s="1"/>
  <c r="D90" i="33"/>
  <c r="E90" i="33" s="1"/>
  <c r="E96" i="33"/>
  <c r="F96" i="33" s="1"/>
  <c r="C84" i="33"/>
  <c r="C82" i="33"/>
  <c r="BG72" i="1"/>
  <c r="BG73" i="1"/>
  <c r="BG75" i="1"/>
  <c r="BG76" i="1"/>
  <c r="AJ76" i="1"/>
  <c r="AJ73" i="1"/>
  <c r="AJ75" i="1"/>
  <c r="AJ72" i="1"/>
  <c r="AJ44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22" i="1"/>
  <c r="Y22" i="1"/>
  <c r="AY23" i="1"/>
  <c r="BB23" i="1" s="1"/>
  <c r="AY24" i="1"/>
  <c r="BB24" i="1" s="1"/>
  <c r="AY25" i="1"/>
  <c r="BB25" i="1" s="1"/>
  <c r="AY26" i="1"/>
  <c r="BB26" i="1" s="1"/>
  <c r="AY27" i="1"/>
  <c r="AY28" i="1"/>
  <c r="BB28" i="1" s="1"/>
  <c r="AY29" i="1"/>
  <c r="AY30" i="1"/>
  <c r="BB30" i="1" s="1"/>
  <c r="AY31" i="1"/>
  <c r="BB31" i="1" s="1"/>
  <c r="AY32" i="1"/>
  <c r="AY33" i="1"/>
  <c r="AY34" i="1"/>
  <c r="AY35" i="1"/>
  <c r="BB35" i="1" s="1"/>
  <c r="AY36" i="1"/>
  <c r="BB36" i="1" s="1"/>
  <c r="AY37" i="1"/>
  <c r="BB37" i="1" s="1"/>
  <c r="AY38" i="1"/>
  <c r="AY39" i="1"/>
  <c r="AY40" i="1"/>
  <c r="AY22" i="1"/>
  <c r="BB22" i="1" s="1"/>
  <c r="AB23" i="1"/>
  <c r="AE23" i="1" s="1"/>
  <c r="AB24" i="1"/>
  <c r="AB25" i="1"/>
  <c r="AE25" i="1" s="1"/>
  <c r="AB26" i="1"/>
  <c r="AB27" i="1"/>
  <c r="AE27" i="1" s="1"/>
  <c r="AB28" i="1"/>
  <c r="AE28" i="1" s="1"/>
  <c r="AB29" i="1"/>
  <c r="AE29" i="1" s="1"/>
  <c r="AB30" i="1"/>
  <c r="AE30" i="1" s="1"/>
  <c r="AB31" i="1"/>
  <c r="AB32" i="1"/>
  <c r="AE32" i="1" s="1"/>
  <c r="AB33" i="1"/>
  <c r="AE33" i="1" s="1"/>
  <c r="AB34" i="1"/>
  <c r="AE34" i="1" s="1"/>
  <c r="AB35" i="1"/>
  <c r="AE35" i="1" s="1"/>
  <c r="AB36" i="1"/>
  <c r="AE36" i="1" s="1"/>
  <c r="AB37" i="1"/>
  <c r="AE37" i="1" s="1"/>
  <c r="AB38" i="1"/>
  <c r="AE38" i="1" s="1"/>
  <c r="AB39" i="1"/>
  <c r="AE39" i="1" s="1"/>
  <c r="AB40" i="1"/>
  <c r="AB22" i="1"/>
  <c r="AE22" i="1" s="1"/>
  <c r="N29" i="3"/>
  <c r="M29" i="3"/>
  <c r="AY17" i="1"/>
  <c r="BG17" i="1" s="1"/>
  <c r="BE14" i="1"/>
  <c r="AH14" i="1"/>
  <c r="F24" i="1"/>
  <c r="W4" i="3"/>
  <c r="X4" i="3" s="1"/>
  <c r="W5" i="3"/>
  <c r="Y5" i="3" s="1"/>
  <c r="W6" i="3"/>
  <c r="X6" i="3" s="1"/>
  <c r="W7" i="3"/>
  <c r="Y7" i="3" s="1"/>
  <c r="W8" i="3"/>
  <c r="X8" i="3" s="1"/>
  <c r="W9" i="3"/>
  <c r="X9" i="3" s="1"/>
  <c r="W10" i="3"/>
  <c r="Y10" i="3" s="1"/>
  <c r="W11" i="3"/>
  <c r="Y11" i="3" s="1"/>
  <c r="W12" i="3"/>
  <c r="X12" i="3" s="1"/>
  <c r="W13" i="3"/>
  <c r="Y13" i="3" s="1"/>
  <c r="W14" i="3"/>
  <c r="Y14" i="3" s="1"/>
  <c r="W3" i="3"/>
  <c r="Y3" i="3" s="1"/>
  <c r="Q2" i="3"/>
  <c r="R2" i="3" s="1"/>
  <c r="Y27" i="1"/>
  <c r="Y18" i="1"/>
  <c r="AH3" i="1"/>
  <c r="AI3" i="1"/>
  <c r="AC3" i="1"/>
  <c r="BE3" i="1"/>
  <c r="BF3" i="1"/>
  <c r="AZ3" i="1"/>
  <c r="BE4" i="1"/>
  <c r="BF4" i="1"/>
  <c r="AZ4" i="1"/>
  <c r="BE5" i="1"/>
  <c r="BF5" i="1"/>
  <c r="AZ5" i="1"/>
  <c r="BE6" i="1"/>
  <c r="BF6" i="1"/>
  <c r="AZ6" i="1"/>
  <c r="BE12" i="1"/>
  <c r="BF12" i="1"/>
  <c r="AZ12" i="1"/>
  <c r="AC16" i="1"/>
  <c r="AZ16" i="1" s="1"/>
  <c r="AF3" i="1"/>
  <c r="AF4" i="1"/>
  <c r="AF5" i="1"/>
  <c r="AF6" i="1"/>
  <c r="AF12" i="1"/>
  <c r="AH4" i="1"/>
  <c r="AI4" i="1"/>
  <c r="AC4" i="1"/>
  <c r="AH5" i="1"/>
  <c r="AI5" i="1"/>
  <c r="AC5" i="1"/>
  <c r="AH6" i="1"/>
  <c r="AI6" i="1"/>
  <c r="AC6" i="1"/>
  <c r="AC12" i="1"/>
  <c r="AH12" i="1"/>
  <c r="AI12" i="1"/>
  <c r="BC14" i="1"/>
  <c r="BC4" i="1"/>
  <c r="BC5" i="1"/>
  <c r="BC6" i="1"/>
  <c r="BC12" i="1"/>
  <c r="BC3" i="1"/>
  <c r="AF14" i="1"/>
  <c r="BE13" i="1"/>
  <c r="BC13" i="1"/>
  <c r="AZ14" i="1"/>
  <c r="BF14" i="1"/>
  <c r="AJ13" i="1"/>
  <c r="AC14" i="1"/>
  <c r="AI14" i="1"/>
  <c r="AC15" i="1"/>
  <c r="AZ15" i="1" s="1"/>
  <c r="V41" i="1"/>
  <c r="S70" i="1" s="1"/>
  <c r="E60" i="1" s="1"/>
  <c r="BG44" i="1"/>
  <c r="BG45" i="1"/>
  <c r="BG46" i="1"/>
  <c r="BG47" i="1"/>
  <c r="BG48" i="1"/>
  <c r="BG49" i="1"/>
  <c r="AJ45" i="1"/>
  <c r="AJ46" i="1"/>
  <c r="AJ47" i="1"/>
  <c r="AJ48" i="1"/>
  <c r="AJ49" i="1"/>
  <c r="T18" i="1"/>
  <c r="K41" i="1"/>
  <c r="S18" i="1"/>
  <c r="E21" i="1" s="1"/>
  <c r="M18" i="1"/>
  <c r="Y4" i="1"/>
  <c r="AD15" i="1" s="1"/>
  <c r="M41" i="1"/>
  <c r="C76" i="1" s="1"/>
  <c r="M66" i="1"/>
  <c r="C77" i="1" s="1"/>
  <c r="Y23" i="1"/>
  <c r="Y24" i="1"/>
  <c r="Y25" i="1"/>
  <c r="Y26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X45" i="1"/>
  <c r="X46" i="1"/>
  <c r="X47" i="1"/>
  <c r="X48" i="1"/>
  <c r="X49" i="1"/>
  <c r="X60" i="1"/>
  <c r="X61" i="1"/>
  <c r="X62" i="1"/>
  <c r="X63" i="1"/>
  <c r="X64" i="1"/>
  <c r="X65" i="1"/>
  <c r="X44" i="1"/>
  <c r="S41" i="1"/>
  <c r="E76" i="1" s="1"/>
  <c r="E77" i="1"/>
  <c r="N41" i="1"/>
  <c r="N18" i="1"/>
  <c r="Y16" i="1"/>
  <c r="AU27" i="1" s="1"/>
  <c r="U18" i="1"/>
  <c r="U41" i="1"/>
  <c r="O18" i="1"/>
  <c r="O41" i="1"/>
  <c r="F23" i="1"/>
  <c r="T41" i="1"/>
  <c r="T66" i="1"/>
  <c r="BG65" i="1"/>
  <c r="AJ65" i="1"/>
  <c r="BG64" i="1"/>
  <c r="AJ64" i="1"/>
  <c r="BG63" i="1"/>
  <c r="AJ63" i="1"/>
  <c r="BG62" i="1"/>
  <c r="AJ62" i="1"/>
  <c r="BG61" i="1"/>
  <c r="AJ61" i="1"/>
  <c r="BG60" i="1"/>
  <c r="AJ60" i="1"/>
  <c r="BG59" i="1"/>
  <c r="AJ59" i="1"/>
  <c r="BG58" i="1"/>
  <c r="AJ58" i="1"/>
  <c r="BG57" i="1"/>
  <c r="AJ57" i="1"/>
  <c r="BG51" i="1"/>
  <c r="AJ51" i="1"/>
  <c r="BG50" i="1"/>
  <c r="AJ50" i="1"/>
  <c r="K18" i="1"/>
  <c r="BD3" i="1"/>
  <c r="BD27" i="1"/>
  <c r="AG27" i="1"/>
  <c r="BD40" i="1"/>
  <c r="AG32" i="1"/>
  <c r="BC23" i="1"/>
  <c r="BD36" i="1"/>
  <c r="AG28" i="1"/>
  <c r="BD32" i="1"/>
  <c r="AG6" i="1"/>
  <c r="AG36" i="1"/>
  <c r="BD24" i="1"/>
  <c r="AG40" i="1"/>
  <c r="AG24" i="1"/>
  <c r="BD28" i="1"/>
  <c r="AG4" i="1"/>
  <c r="AG39" i="1"/>
  <c r="AG35" i="1"/>
  <c r="AG31" i="1"/>
  <c r="AG23" i="1"/>
  <c r="BD39" i="1"/>
  <c r="BD35" i="1"/>
  <c r="BD31" i="1"/>
  <c r="BD23" i="1"/>
  <c r="AG14" i="1"/>
  <c r="BD14" i="1"/>
  <c r="BD6" i="1"/>
  <c r="BD4" i="1"/>
  <c r="AG38" i="1"/>
  <c r="AG34" i="1"/>
  <c r="AG30" i="1"/>
  <c r="AG26" i="1"/>
  <c r="AG22" i="1"/>
  <c r="BD38" i="1"/>
  <c r="BD34" i="1"/>
  <c r="BD30" i="1"/>
  <c r="BD26" i="1"/>
  <c r="BD22" i="1"/>
  <c r="AG12" i="1"/>
  <c r="AG5" i="1"/>
  <c r="AG3" i="1"/>
  <c r="AG37" i="1"/>
  <c r="AG33" i="1"/>
  <c r="AG29" i="1"/>
  <c r="AG25" i="1"/>
  <c r="BD37" i="1"/>
  <c r="BD33" i="1"/>
  <c r="BD29" i="1"/>
  <c r="BD25" i="1"/>
  <c r="BD12" i="1"/>
  <c r="BD5" i="1"/>
  <c r="AZ19" i="1" l="1"/>
  <c r="S69" i="1" s="1"/>
  <c r="BA69" i="1" s="1"/>
  <c r="BG69" i="1" s="1"/>
  <c r="AC19" i="1"/>
  <c r="P77" i="1" s="1"/>
  <c r="BG66" i="1"/>
  <c r="E59" i="1" s="1"/>
  <c r="AJ66" i="1"/>
  <c r="C59" i="1" s="1"/>
  <c r="BC33" i="1"/>
  <c r="AF38" i="1"/>
  <c r="C10" i="34"/>
  <c r="X3" i="1"/>
  <c r="X7" i="1"/>
  <c r="X8" i="1"/>
  <c r="BJ4" i="1"/>
  <c r="BK4" i="1" s="1"/>
  <c r="AM7" i="1"/>
  <c r="BJ8" i="1"/>
  <c r="BJ7" i="1"/>
  <c r="AM8" i="1"/>
  <c r="AF29" i="1"/>
  <c r="BR23" i="1"/>
  <c r="BC22" i="1"/>
  <c r="AD68" i="1"/>
  <c r="AJ68" i="1" s="1"/>
  <c r="AD40" i="1"/>
  <c r="BQ40" i="1"/>
  <c r="BS40" i="1" s="1"/>
  <c r="AT25" i="1"/>
  <c r="AV25" i="1" s="1"/>
  <c r="BQ23" i="1"/>
  <c r="BS23" i="1" s="1"/>
  <c r="S2" i="3"/>
  <c r="C33" i="1" s="1"/>
  <c r="F90" i="33"/>
  <c r="G90" i="33" s="1"/>
  <c r="E87" i="33"/>
  <c r="D102" i="33"/>
  <c r="X5" i="1"/>
  <c r="X11" i="1"/>
  <c r="X9" i="1"/>
  <c r="X6" i="1"/>
  <c r="X10" i="1"/>
  <c r="BC27" i="1"/>
  <c r="AJ15" i="1"/>
  <c r="C29" i="1"/>
  <c r="BC28" i="1"/>
  <c r="AU24" i="1"/>
  <c r="AU37" i="1"/>
  <c r="BR32" i="1"/>
  <c r="E28" i="1"/>
  <c r="G99" i="33"/>
  <c r="BR26" i="1"/>
  <c r="BR31" i="1"/>
  <c r="AM6" i="1"/>
  <c r="AB6" i="1" s="1"/>
  <c r="AE6" i="1" s="1"/>
  <c r="BQ27" i="1"/>
  <c r="BS27" i="1" s="1"/>
  <c r="AM3" i="1"/>
  <c r="AB3" i="1" s="1"/>
  <c r="AE3" i="1" s="1"/>
  <c r="AM11" i="1"/>
  <c r="BJ11" i="1"/>
  <c r="AM9" i="1"/>
  <c r="BJ9" i="1"/>
  <c r="AM10" i="1"/>
  <c r="BJ10" i="1"/>
  <c r="BJ5" i="1"/>
  <c r="BK5" i="1" s="1"/>
  <c r="BL5" i="1" s="1"/>
  <c r="BC18" i="1"/>
  <c r="AH18" i="1"/>
  <c r="C52" i="1" s="1"/>
  <c r="BR36" i="1"/>
  <c r="AU28" i="1"/>
  <c r="AF33" i="1"/>
  <c r="BC26" i="1"/>
  <c r="AU22" i="1"/>
  <c r="BC36" i="1"/>
  <c r="BR40" i="1"/>
  <c r="AU32" i="1"/>
  <c r="AU31" i="1"/>
  <c r="AF35" i="1"/>
  <c r="AU30" i="1"/>
  <c r="C75" i="1"/>
  <c r="BE18" i="1"/>
  <c r="E52" i="1" s="1"/>
  <c r="AD31" i="1"/>
  <c r="AN34" i="1"/>
  <c r="AO34" i="1" s="1"/>
  <c r="AT22" i="1"/>
  <c r="AV22" i="1" s="1"/>
  <c r="AT29" i="1"/>
  <c r="AV29" i="1" s="1"/>
  <c r="BK36" i="1"/>
  <c r="BL36" i="1" s="1"/>
  <c r="BK24" i="1"/>
  <c r="BL24" i="1" s="1"/>
  <c r="BQ37" i="1"/>
  <c r="BS37" i="1" s="1"/>
  <c r="BQ31" i="1"/>
  <c r="BS31" i="1" s="1"/>
  <c r="BQ25" i="1"/>
  <c r="BS25" i="1" s="1"/>
  <c r="E75" i="1"/>
  <c r="BG13" i="1"/>
  <c r="BC32" i="1"/>
  <c r="AF24" i="1"/>
  <c r="BC37" i="1"/>
  <c r="BR30" i="1"/>
  <c r="BR39" i="1"/>
  <c r="AF37" i="1"/>
  <c r="BC30" i="1"/>
  <c r="BR34" i="1"/>
  <c r="AF22" i="1"/>
  <c r="BC40" i="1"/>
  <c r="AF32" i="1"/>
  <c r="AU36" i="1"/>
  <c r="BR29" i="1"/>
  <c r="AU25" i="1"/>
  <c r="BC34" i="1"/>
  <c r="BR38" i="1"/>
  <c r="AF26" i="1"/>
  <c r="AG18" i="1"/>
  <c r="C50" i="1" s="1"/>
  <c r="AF39" i="1"/>
  <c r="AU23" i="1"/>
  <c r="BR35" i="1"/>
  <c r="BC24" i="1"/>
  <c r="BA32" i="1"/>
  <c r="AN40" i="1"/>
  <c r="AO40" i="1" s="1"/>
  <c r="AN28" i="1"/>
  <c r="AO28" i="1" s="1"/>
  <c r="AT35" i="1"/>
  <c r="AV35" i="1" s="1"/>
  <c r="AT23" i="1"/>
  <c r="AV23" i="1" s="1"/>
  <c r="BK30" i="1"/>
  <c r="BL30" i="1" s="1"/>
  <c r="BR24" i="1"/>
  <c r="AF36" i="1"/>
  <c r="AU40" i="1"/>
  <c r="AD70" i="1"/>
  <c r="AJ70" i="1" s="1"/>
  <c r="BC25" i="1"/>
  <c r="BR33" i="1"/>
  <c r="AU29" i="1"/>
  <c r="BQ22" i="1"/>
  <c r="BS22" i="1" s="1"/>
  <c r="BC38" i="1"/>
  <c r="AF30" i="1"/>
  <c r="AU34" i="1"/>
  <c r="AU35" i="1"/>
  <c r="AU39" i="1"/>
  <c r="AD69" i="1"/>
  <c r="AJ69" i="1" s="1"/>
  <c r="BA68" i="1"/>
  <c r="BG68" i="1" s="1"/>
  <c r="BR28" i="1"/>
  <c r="AF40" i="1"/>
  <c r="BC29" i="1"/>
  <c r="BR37" i="1"/>
  <c r="AF25" i="1"/>
  <c r="AU33" i="1"/>
  <c r="BQ24" i="1"/>
  <c r="BS24" i="1" s="1"/>
  <c r="BR22" i="1"/>
  <c r="AF34" i="1"/>
  <c r="AU38" i="1"/>
  <c r="BC31" i="1"/>
  <c r="BC35" i="1"/>
  <c r="AF31" i="1"/>
  <c r="AF27" i="1"/>
  <c r="D71" i="1"/>
  <c r="F71" i="1" s="1"/>
  <c r="BR27" i="1"/>
  <c r="AD74" i="1"/>
  <c r="AJ74" i="1" s="1"/>
  <c r="E29" i="1"/>
  <c r="AF28" i="1"/>
  <c r="BR25" i="1"/>
  <c r="AU26" i="1"/>
  <c r="AF23" i="1"/>
  <c r="BC39" i="1"/>
  <c r="C28" i="1"/>
  <c r="G96" i="33"/>
  <c r="D72" i="1"/>
  <c r="F72" i="1" s="1"/>
  <c r="BD41" i="1"/>
  <c r="E62" i="1" s="1"/>
  <c r="AG41" i="1"/>
  <c r="C62" i="1" s="1"/>
  <c r="BA15" i="1"/>
  <c r="BG15" i="1" s="1"/>
  <c r="AT34" i="1"/>
  <c r="AV34" i="1" s="1"/>
  <c r="BJ3" i="1"/>
  <c r="BK3" i="1" s="1"/>
  <c r="BA22" i="1"/>
  <c r="BF18" i="1"/>
  <c r="BA39" i="1"/>
  <c r="BA33" i="1"/>
  <c r="AN22" i="1"/>
  <c r="AO22" i="1" s="1"/>
  <c r="AN29" i="1"/>
  <c r="AO29" i="1" s="1"/>
  <c r="AN23" i="1"/>
  <c r="AO23" i="1" s="1"/>
  <c r="AT36" i="1"/>
  <c r="AV36" i="1" s="1"/>
  <c r="AT30" i="1"/>
  <c r="AV30" i="1" s="1"/>
  <c r="BK37" i="1"/>
  <c r="BL37" i="1" s="1"/>
  <c r="BK31" i="1"/>
  <c r="BL31" i="1" s="1"/>
  <c r="BQ38" i="1"/>
  <c r="BS38" i="1" s="1"/>
  <c r="BQ32" i="1"/>
  <c r="BS32" i="1" s="1"/>
  <c r="BQ26" i="1"/>
  <c r="BD18" i="1"/>
  <c r="E50" i="1" s="1"/>
  <c r="AI18" i="1"/>
  <c r="AF18" i="1"/>
  <c r="BA74" i="1"/>
  <c r="BG74" i="1" s="1"/>
  <c r="AD16" i="1"/>
  <c r="AJ16" i="1" s="1"/>
  <c r="BJ6" i="1"/>
  <c r="BK6" i="1" s="1"/>
  <c r="F45" i="1"/>
  <c r="F14" i="1" s="1"/>
  <c r="F16" i="1" s="1"/>
  <c r="F69" i="1"/>
  <c r="BA16" i="1"/>
  <c r="BG16" i="1" s="1"/>
  <c r="F88" i="33"/>
  <c r="G88" i="33" s="1"/>
  <c r="AD37" i="1"/>
  <c r="C36" i="1"/>
  <c r="C74" i="1" s="1"/>
  <c r="AE40" i="1"/>
  <c r="AD24" i="1"/>
  <c r="AN39" i="1"/>
  <c r="AO39" i="1" s="1"/>
  <c r="AN33" i="1"/>
  <c r="AO33" i="1" s="1"/>
  <c r="AN27" i="1"/>
  <c r="AO27" i="1" s="1"/>
  <c r="AT40" i="1"/>
  <c r="AV40" i="1" s="1"/>
  <c r="AT28" i="1"/>
  <c r="AV28" i="1" s="1"/>
  <c r="BK22" i="1"/>
  <c r="BL22" i="1" s="1"/>
  <c r="BK35" i="1"/>
  <c r="BL35" i="1" s="1"/>
  <c r="BK29" i="1"/>
  <c r="BL29" i="1" s="1"/>
  <c r="BK23" i="1"/>
  <c r="BL23" i="1" s="1"/>
  <c r="BQ36" i="1"/>
  <c r="BS36" i="1" s="1"/>
  <c r="BQ30" i="1"/>
  <c r="BS30" i="1" s="1"/>
  <c r="D70" i="1"/>
  <c r="F70" i="1" s="1"/>
  <c r="E36" i="1"/>
  <c r="C21" i="1"/>
  <c r="AD29" i="1"/>
  <c r="AN38" i="1"/>
  <c r="AO38" i="1" s="1"/>
  <c r="AN32" i="1"/>
  <c r="AO32" i="1" s="1"/>
  <c r="AN26" i="1"/>
  <c r="AO26" i="1" s="1"/>
  <c r="AT39" i="1"/>
  <c r="AV39" i="1" s="1"/>
  <c r="AT33" i="1"/>
  <c r="AV33" i="1" s="1"/>
  <c r="AT27" i="1"/>
  <c r="AV27" i="1" s="1"/>
  <c r="BK40" i="1"/>
  <c r="BL40" i="1" s="1"/>
  <c r="BK34" i="1"/>
  <c r="BL34" i="1" s="1"/>
  <c r="BK28" i="1"/>
  <c r="BL28" i="1" s="1"/>
  <c r="BQ35" i="1"/>
  <c r="BS35" i="1" s="1"/>
  <c r="BQ29" i="1"/>
  <c r="BS29" i="1" s="1"/>
  <c r="G97" i="33"/>
  <c r="BA29" i="1"/>
  <c r="AN37" i="1"/>
  <c r="AO37" i="1" s="1"/>
  <c r="AN31" i="1"/>
  <c r="AO31" i="1" s="1"/>
  <c r="AN25" i="1"/>
  <c r="AO25" i="1" s="1"/>
  <c r="AT38" i="1"/>
  <c r="AV38" i="1" s="1"/>
  <c r="AT32" i="1"/>
  <c r="AV32" i="1" s="1"/>
  <c r="AT26" i="1"/>
  <c r="AV26" i="1" s="1"/>
  <c r="BK39" i="1"/>
  <c r="BL39" i="1" s="1"/>
  <c r="BK33" i="1"/>
  <c r="BL33" i="1" s="1"/>
  <c r="BK27" i="1"/>
  <c r="BL27" i="1" s="1"/>
  <c r="BQ34" i="1"/>
  <c r="BS34" i="1" s="1"/>
  <c r="BQ28" i="1"/>
  <c r="BS28" i="1" s="1"/>
  <c r="H14" i="34"/>
  <c r="C22" i="1"/>
  <c r="AD32" i="1"/>
  <c r="E22" i="1"/>
  <c r="BB29" i="1"/>
  <c r="BA40" i="1"/>
  <c r="AN36" i="1"/>
  <c r="AO36" i="1" s="1"/>
  <c r="AN30" i="1"/>
  <c r="AO30" i="1" s="1"/>
  <c r="AT37" i="1"/>
  <c r="AV37" i="1" s="1"/>
  <c r="AT31" i="1"/>
  <c r="AV31" i="1" s="1"/>
  <c r="BK38" i="1"/>
  <c r="BL38" i="1" s="1"/>
  <c r="BK32" i="1"/>
  <c r="BL32" i="1" s="1"/>
  <c r="BK26" i="1"/>
  <c r="BL26" i="1" s="1"/>
  <c r="BQ39" i="1"/>
  <c r="BS39" i="1" s="1"/>
  <c r="BQ33" i="1"/>
  <c r="BS33" i="1" s="1"/>
  <c r="BA26" i="1"/>
  <c r="P23" i="1"/>
  <c r="W23" i="1" s="1"/>
  <c r="AE31" i="1"/>
  <c r="K66" i="1"/>
  <c r="E25" i="1" s="1"/>
  <c r="P25" i="1"/>
  <c r="W25" i="1" s="1"/>
  <c r="BA35" i="1"/>
  <c r="AD30" i="1"/>
  <c r="BA25" i="1"/>
  <c r="BA31" i="1"/>
  <c r="BP41" i="1"/>
  <c r="E57" i="1" s="1"/>
  <c r="BA37" i="1"/>
  <c r="AD36" i="1"/>
  <c r="AE24" i="1"/>
  <c r="AD33" i="1"/>
  <c r="AD22" i="1"/>
  <c r="AM5" i="1"/>
  <c r="AB5" i="1" s="1"/>
  <c r="AE5" i="1" s="1"/>
  <c r="AD35" i="1"/>
  <c r="BA36" i="1"/>
  <c r="BJ12" i="1"/>
  <c r="AY12" i="1" s="1"/>
  <c r="BB12" i="1" s="1"/>
  <c r="BB32" i="1"/>
  <c r="AD23" i="1"/>
  <c r="BA30" i="1"/>
  <c r="BA24" i="1"/>
  <c r="AM41" i="1"/>
  <c r="C56" i="1" s="1"/>
  <c r="BB40" i="1"/>
  <c r="BB34" i="1"/>
  <c r="AY41" i="1"/>
  <c r="E55" i="1" s="1"/>
  <c r="AS41" i="1"/>
  <c r="C57" i="1" s="1"/>
  <c r="BA34" i="1"/>
  <c r="AN24" i="1"/>
  <c r="AO24" i="1" s="1"/>
  <c r="BA28" i="1"/>
  <c r="AD25" i="1"/>
  <c r="AD39" i="1"/>
  <c r="AD28" i="1"/>
  <c r="AM4" i="1"/>
  <c r="BA38" i="1"/>
  <c r="BJ14" i="1"/>
  <c r="BB38" i="1"/>
  <c r="P37" i="1"/>
  <c r="W37" i="1" s="1"/>
  <c r="BJ41" i="1"/>
  <c r="E56" i="1" s="1"/>
  <c r="AD34" i="1"/>
  <c r="AM14" i="1"/>
  <c r="AN14" i="1" s="1"/>
  <c r="AN35" i="1"/>
  <c r="AO35" i="1" s="1"/>
  <c r="BA23" i="1"/>
  <c r="BG23" i="1" s="1"/>
  <c r="AD27" i="1"/>
  <c r="AM12" i="1"/>
  <c r="AB12" i="1" s="1"/>
  <c r="AE12" i="1" s="1"/>
  <c r="X14" i="1"/>
  <c r="C19" i="3"/>
  <c r="C11" i="34" s="1"/>
  <c r="X3" i="3"/>
  <c r="AD38" i="1"/>
  <c r="BK25" i="1"/>
  <c r="BB27" i="1"/>
  <c r="Y9" i="3"/>
  <c r="P27" i="1"/>
  <c r="W27" i="1" s="1"/>
  <c r="P31" i="1"/>
  <c r="W31" i="1" s="1"/>
  <c r="P33" i="1"/>
  <c r="W33" i="1" s="1"/>
  <c r="AT24" i="1"/>
  <c r="AE26" i="1"/>
  <c r="BB39" i="1"/>
  <c r="BB33" i="1"/>
  <c r="P28" i="1"/>
  <c r="W28" i="1" s="1"/>
  <c r="P39" i="1"/>
  <c r="W39" i="1" s="1"/>
  <c r="P22" i="1"/>
  <c r="W22" i="1" s="1"/>
  <c r="X12" i="1"/>
  <c r="AB41" i="1"/>
  <c r="C55" i="1" s="1"/>
  <c r="P36" i="1"/>
  <c r="W36" i="1" s="1"/>
  <c r="P24" i="1"/>
  <c r="W24" i="1" s="1"/>
  <c r="P26" i="1"/>
  <c r="W26" i="1" s="1"/>
  <c r="AD26" i="1"/>
  <c r="BA27" i="1"/>
  <c r="P30" i="1"/>
  <c r="W30" i="1" s="1"/>
  <c r="P32" i="1"/>
  <c r="W32" i="1" s="1"/>
  <c r="P34" i="1"/>
  <c r="W34" i="1" s="1"/>
  <c r="P35" i="1"/>
  <c r="W35" i="1" s="1"/>
  <c r="X4" i="1"/>
  <c r="P38" i="1"/>
  <c r="W38" i="1" s="1"/>
  <c r="P40" i="1"/>
  <c r="W40" i="1" s="1"/>
  <c r="P29" i="1"/>
  <c r="W29" i="1" s="1"/>
  <c r="Y8" i="3"/>
  <c r="X14" i="3"/>
  <c r="X10" i="3"/>
  <c r="Y6" i="3"/>
  <c r="X13" i="3"/>
  <c r="X11" i="3"/>
  <c r="Y4" i="3"/>
  <c r="X5" i="3"/>
  <c r="Y12" i="3"/>
  <c r="X7" i="3"/>
  <c r="AC18" i="1" l="1"/>
  <c r="C48" i="1" s="1"/>
  <c r="AZ18" i="1"/>
  <c r="E48" i="1" s="1"/>
  <c r="S77" i="1"/>
  <c r="AJ39" i="1"/>
  <c r="D61" i="1"/>
  <c r="D66" i="1"/>
  <c r="D65" i="1" s="1"/>
  <c r="D64" i="1"/>
  <c r="D45" i="1"/>
  <c r="D14" i="1" s="1"/>
  <c r="D49" i="1"/>
  <c r="D62" i="1"/>
  <c r="D54" i="1"/>
  <c r="D47" i="1"/>
  <c r="D63" i="1"/>
  <c r="D9" i="1"/>
  <c r="D11" i="1"/>
  <c r="D38" i="1" s="1"/>
  <c r="D48" i="1"/>
  <c r="D60" i="1"/>
  <c r="BG67" i="1"/>
  <c r="AJ67" i="1"/>
  <c r="BG26" i="1"/>
  <c r="AJ38" i="1"/>
  <c r="AJ29" i="1"/>
  <c r="BG24" i="1"/>
  <c r="BG37" i="1"/>
  <c r="AJ27" i="1"/>
  <c r="BL6" i="1"/>
  <c r="AY4" i="1"/>
  <c r="BA4" i="1" s="1"/>
  <c r="BL4" i="1"/>
  <c r="E102" i="33"/>
  <c r="AY7" i="1"/>
  <c r="BK7" i="1"/>
  <c r="BL7" i="1" s="1"/>
  <c r="AJ35" i="1"/>
  <c r="BG22" i="1"/>
  <c r="BK8" i="1"/>
  <c r="BL8" i="1" s="1"/>
  <c r="AY8" i="1"/>
  <c r="AB7" i="1"/>
  <c r="AN7" i="1"/>
  <c r="AO7" i="1" s="1"/>
  <c r="AJ34" i="1"/>
  <c r="AN8" i="1"/>
  <c r="AO8" i="1" s="1"/>
  <c r="AB8" i="1"/>
  <c r="BG28" i="1"/>
  <c r="BG35" i="1"/>
  <c r="F87" i="33"/>
  <c r="F102" i="33" s="1"/>
  <c r="AN3" i="1"/>
  <c r="AD3" i="1" s="1"/>
  <c r="AJ37" i="1"/>
  <c r="I14" i="34"/>
  <c r="J14" i="34" s="1"/>
  <c r="G16" i="34" s="1"/>
  <c r="AJ25" i="1"/>
  <c r="AN6" i="1"/>
  <c r="AO6" i="1" s="1"/>
  <c r="AF41" i="1"/>
  <c r="AJ22" i="1"/>
  <c r="AY5" i="1"/>
  <c r="BA5" i="1" s="1"/>
  <c r="BA70" i="1"/>
  <c r="BA77" i="1" s="1"/>
  <c r="AJ40" i="1"/>
  <c r="AJ23" i="1"/>
  <c r="AY6" i="1"/>
  <c r="BB6" i="1" s="1"/>
  <c r="BG32" i="1"/>
  <c r="BG31" i="1"/>
  <c r="AJ32" i="1"/>
  <c r="BC41" i="1"/>
  <c r="AN11" i="1"/>
  <c r="AO11" i="1" s="1"/>
  <c r="AB11" i="1"/>
  <c r="AJ28" i="1"/>
  <c r="AJ77" i="1"/>
  <c r="BR41" i="1"/>
  <c r="AU41" i="1"/>
  <c r="BK10" i="1"/>
  <c r="BL10" i="1" s="1"/>
  <c r="AY10" i="1"/>
  <c r="AN10" i="1"/>
  <c r="AO10" i="1" s="1"/>
  <c r="AB10" i="1"/>
  <c r="BK9" i="1"/>
  <c r="BL9" i="1" s="1"/>
  <c r="AY9" i="1"/>
  <c r="AB9" i="1"/>
  <c r="AN9" i="1"/>
  <c r="AO9" i="1" s="1"/>
  <c r="AY11" i="1"/>
  <c r="BK11" i="1"/>
  <c r="BL11" i="1" s="1"/>
  <c r="BL3" i="1"/>
  <c r="AJ24" i="1"/>
  <c r="AJ30" i="1"/>
  <c r="BG30" i="1"/>
  <c r="BG36" i="1"/>
  <c r="AJ36" i="1"/>
  <c r="AJ31" i="1"/>
  <c r="BG29" i="1"/>
  <c r="BQ41" i="1"/>
  <c r="AY3" i="1"/>
  <c r="BA3" i="1" s="1"/>
  <c r="BG39" i="1"/>
  <c r="AJ33" i="1"/>
  <c r="BG25" i="1"/>
  <c r="AD77" i="1"/>
  <c r="BS26" i="1"/>
  <c r="BS41" i="1" s="1"/>
  <c r="BG40" i="1"/>
  <c r="AN41" i="1"/>
  <c r="AT41" i="1"/>
  <c r="C25" i="1"/>
  <c r="E33" i="1"/>
  <c r="E24" i="1"/>
  <c r="E74" i="1"/>
  <c r="E23" i="1"/>
  <c r="C24" i="1"/>
  <c r="C23" i="1"/>
  <c r="BG38" i="1"/>
  <c r="AE41" i="1"/>
  <c r="C63" i="1" s="1"/>
  <c r="AN5" i="1"/>
  <c r="AN12" i="1"/>
  <c r="AD12" i="1" s="1"/>
  <c r="AJ12" i="1" s="1"/>
  <c r="AD41" i="1"/>
  <c r="BK12" i="1"/>
  <c r="BA12" i="1" s="1"/>
  <c r="BG12" i="1" s="1"/>
  <c r="BJ18" i="1"/>
  <c r="BG34" i="1"/>
  <c r="BB41" i="1"/>
  <c r="E63" i="1" s="1"/>
  <c r="AO14" i="1"/>
  <c r="BA41" i="1"/>
  <c r="AB14" i="1"/>
  <c r="AD14" i="1" s="1"/>
  <c r="AB4" i="1"/>
  <c r="AE4" i="1" s="1"/>
  <c r="AN4" i="1"/>
  <c r="AO4" i="1" s="1"/>
  <c r="AY14" i="1"/>
  <c r="BK14" i="1"/>
  <c r="AM18" i="1"/>
  <c r="C20" i="3"/>
  <c r="C12" i="34" s="1"/>
  <c r="BL25" i="1"/>
  <c r="BL41" i="1" s="1"/>
  <c r="BK41" i="1"/>
  <c r="AJ26" i="1"/>
  <c r="AO41" i="1"/>
  <c r="BG33" i="1"/>
  <c r="BG27" i="1"/>
  <c r="P41" i="1"/>
  <c r="AV24" i="1"/>
  <c r="AV41" i="1" s="1"/>
  <c r="C61" i="1" l="1"/>
  <c r="D16" i="1"/>
  <c r="D53" i="1"/>
  <c r="D46" i="1"/>
  <c r="D18" i="1"/>
  <c r="E61" i="1"/>
  <c r="G87" i="33"/>
  <c r="G102" i="33" s="1"/>
  <c r="G105" i="33" s="1"/>
  <c r="G106" i="33" s="1"/>
  <c r="L17" i="1" s="1"/>
  <c r="AB17" i="1" s="1"/>
  <c r="AJ17" i="1" s="1"/>
  <c r="BB4" i="1"/>
  <c r="BG4" i="1" s="1"/>
  <c r="BA6" i="1"/>
  <c r="BG6" i="1" s="1"/>
  <c r="BA7" i="1"/>
  <c r="BB7" i="1"/>
  <c r="AD7" i="1"/>
  <c r="AE7" i="1"/>
  <c r="AE8" i="1"/>
  <c r="AD8" i="1"/>
  <c r="BA8" i="1"/>
  <c r="BB8" i="1"/>
  <c r="AD6" i="1"/>
  <c r="AJ6" i="1" s="1"/>
  <c r="AO3" i="1"/>
  <c r="BK18" i="1"/>
  <c r="C58" i="1"/>
  <c r="C54" i="1" s="1"/>
  <c r="BB5" i="1"/>
  <c r="BG5" i="1" s="1"/>
  <c r="BG70" i="1"/>
  <c r="BG77" i="1" s="1"/>
  <c r="AY18" i="1"/>
  <c r="E47" i="1" s="1"/>
  <c r="AD10" i="1"/>
  <c r="AE10" i="1"/>
  <c r="E58" i="1"/>
  <c r="E54" i="1" s="1"/>
  <c r="AD9" i="1"/>
  <c r="AE9" i="1"/>
  <c r="BA9" i="1"/>
  <c r="BB9" i="1"/>
  <c r="BA10" i="1"/>
  <c r="BB10" i="1"/>
  <c r="AD11" i="1"/>
  <c r="AE11" i="1"/>
  <c r="BA11" i="1"/>
  <c r="BB11" i="1"/>
  <c r="BB3" i="1"/>
  <c r="BG3" i="1" s="1"/>
  <c r="AJ41" i="1"/>
  <c r="D42" i="1" s="1"/>
  <c r="E42" i="1" s="1"/>
  <c r="F74" i="1"/>
  <c r="F77" i="1"/>
  <c r="F76" i="1"/>
  <c r="F75" i="1"/>
  <c r="K77" i="1"/>
  <c r="D74" i="1"/>
  <c r="D76" i="1"/>
  <c r="D77" i="1"/>
  <c r="D75" i="1"/>
  <c r="BL12" i="1"/>
  <c r="AO5" i="1"/>
  <c r="AD5" i="1"/>
  <c r="AJ5" i="1" s="1"/>
  <c r="AO12" i="1"/>
  <c r="BG41" i="1"/>
  <c r="AE14" i="1"/>
  <c r="AJ14" i="1" s="1"/>
  <c r="BL14" i="1"/>
  <c r="BA14" i="1"/>
  <c r="BB14" i="1"/>
  <c r="AN18" i="1"/>
  <c r="AD4" i="1"/>
  <c r="C21" i="3"/>
  <c r="C13" i="34" s="1"/>
  <c r="AJ3" i="1"/>
  <c r="BG8" i="1" l="1"/>
  <c r="AJ7" i="1"/>
  <c r="BG7" i="1"/>
  <c r="AJ8" i="1"/>
  <c r="AB18" i="1"/>
  <c r="C47" i="1" s="1"/>
  <c r="BG11" i="1"/>
  <c r="AJ9" i="1"/>
  <c r="AJ11" i="1"/>
  <c r="BG9" i="1"/>
  <c r="C53" i="1"/>
  <c r="BG10" i="1"/>
  <c r="E53" i="1"/>
  <c r="AJ10" i="1"/>
  <c r="BB18" i="1"/>
  <c r="E51" i="1" s="1"/>
  <c r="AO18" i="1"/>
  <c r="BL18" i="1"/>
  <c r="AJ4" i="1"/>
  <c r="AD18" i="1"/>
  <c r="C49" i="1" s="1"/>
  <c r="AE18" i="1"/>
  <c r="C51" i="1" s="1"/>
  <c r="BG14" i="1"/>
  <c r="BA18" i="1"/>
  <c r="E49" i="1" s="1"/>
  <c r="C22" i="3"/>
  <c r="C14" i="34" s="1"/>
  <c r="BG18" i="1" l="1"/>
  <c r="AJ18" i="1"/>
  <c r="E18" i="1"/>
  <c r="C46" i="1"/>
  <c r="C45" i="1" s="1"/>
  <c r="C18" i="1"/>
  <c r="E46" i="1"/>
  <c r="E45" i="1" s="1"/>
  <c r="E14" i="1" s="1"/>
  <c r="C23" i="3"/>
  <c r="C15" i="34" s="1"/>
  <c r="C14" i="1" l="1"/>
  <c r="C16" i="1" s="1"/>
  <c r="E16" i="1"/>
  <c r="C24" i="3"/>
  <c r="C16" i="34" s="1"/>
  <c r="C25" i="3" l="1"/>
  <c r="C17" i="34" s="1"/>
  <c r="C26" i="3" l="1"/>
  <c r="C18" i="34" s="1"/>
  <c r="C27" i="3" l="1"/>
  <c r="C19" i="34" s="1"/>
  <c r="C28" i="3" l="1"/>
  <c r="C20" i="34" s="1"/>
  <c r="H9" i="34" s="1"/>
  <c r="I9" i="34" l="1"/>
  <c r="J9" i="34" s="1"/>
  <c r="G11" i="34" l="1"/>
  <c r="H11" i="34"/>
  <c r="J11" i="34"/>
  <c r="I11" i="34"/>
  <c r="H16" i="34"/>
  <c r="J16" i="34"/>
  <c r="I16" i="34"/>
  <c r="G4" i="34" l="1"/>
  <c r="G5" i="34"/>
  <c r="G3" i="34"/>
  <c r="G2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104" authorId="0" shapeId="0" xr:uid="{00000000-0006-0000-0100-000001000000}">
      <text>
        <r>
          <rPr>
            <b/>
            <sz val="9"/>
            <color rgb="FF000000"/>
            <rFont val="Tahoma"/>
            <family val="2"/>
            <charset val="238"/>
          </rPr>
          <t>Autor:</t>
        </r>
        <r>
          <rPr>
            <sz val="9"/>
            <color rgb="FF000000"/>
            <rFont val="Tahoma"/>
            <family val="2"/>
            <charset val="238"/>
          </rPr>
          <t xml:space="preserve">
</t>
        </r>
        <r>
          <rPr>
            <sz val="9"/>
            <color rgb="FF000000"/>
            <rFont val="Tahoma"/>
            <family val="2"/>
            <charset val="238"/>
          </rPr>
          <t xml:space="preserve">wprowadź tylko </t>
        </r>
        <r>
          <rPr>
            <u/>
            <sz val="9"/>
            <color rgb="FF000000"/>
            <rFont val="Tahoma"/>
            <family val="2"/>
            <charset val="238"/>
          </rPr>
          <t>wartość dodatnią</t>
        </r>
        <r>
          <rPr>
            <sz val="9"/>
            <color rgb="FF000000"/>
            <rFont val="Tahoma"/>
            <family val="2"/>
            <charset val="238"/>
          </rPr>
          <t xml:space="preserve"> ( np. 15000) 
</t>
        </r>
        <r>
          <rPr>
            <sz val="9"/>
            <color rgb="FF000000"/>
            <rFont val="Tahoma"/>
            <family val="2"/>
            <charset val="238"/>
          </rPr>
          <t xml:space="preserve">z konta księgowego </t>
        </r>
        <r>
          <rPr>
            <u/>
            <sz val="9"/>
            <color rgb="FF000000"/>
            <rFont val="Tahoma"/>
            <family val="2"/>
            <charset val="238"/>
          </rPr>
          <t>40510610</t>
        </r>
        <r>
          <rPr>
            <sz val="9"/>
            <color rgb="FF000000"/>
            <rFont val="Tahoma"/>
            <family val="2"/>
            <charset val="238"/>
          </rPr>
          <t xml:space="preserve">
</t>
        </r>
        <r>
          <rPr>
            <sz val="9"/>
            <color rgb="FF000000"/>
            <rFont val="Tahoma"/>
            <family val="2"/>
            <charset val="238"/>
          </rPr>
          <t xml:space="preserve">
</t>
        </r>
        <r>
          <rPr>
            <sz val="9"/>
            <color rgb="FF000000"/>
            <rFont val="Tahoma"/>
            <family val="2"/>
            <charset val="238"/>
          </rPr>
          <t>( ZUS obliczy się sam w komórce obok 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Maciej Andrzejewski</author>
    <author>Piotr Gajewski</author>
  </authors>
  <commentList>
    <comment ref="B1" authorId="0" shapeId="0" xr:uid="{00000000-0006-0000-0200-000001000000}">
      <text>
        <r>
          <rPr>
            <sz val="10"/>
            <color indexed="81"/>
            <rFont val="Tahoma"/>
            <family val="2"/>
          </rPr>
          <t xml:space="preserve">Z listy rozwijanej w żółtym polu wybierz numer MPK swojej kawiarni
</t>
        </r>
      </text>
    </comment>
    <comment ref="I1" authorId="0" shapeId="0" xr:uid="{00000000-0006-0000-0200-000002000000}">
      <text>
        <r>
          <rPr>
            <sz val="11"/>
            <color indexed="81"/>
            <rFont val="Tahoma"/>
            <family val="2"/>
          </rPr>
          <t>Wpisz imię i nazwisko pracownika</t>
        </r>
      </text>
    </comment>
    <comment ref="J1" authorId="0" shapeId="0" xr:uid="{00000000-0006-0000-0200-000003000000}">
      <text>
        <r>
          <rPr>
            <sz val="11"/>
            <color indexed="81"/>
            <rFont val="Calibri"/>
            <family val="2"/>
            <scheme val="minor"/>
          </rPr>
          <t>Wybierz nazwę stanowiska z listy</t>
        </r>
      </text>
    </comment>
    <comment ref="K1" authorId="0" shapeId="0" xr:uid="{00000000-0006-0000-0200-000004000000}">
      <text>
        <r>
          <rPr>
            <sz val="11"/>
            <color indexed="81"/>
            <rFont val="Calibri"/>
            <family val="2"/>
            <scheme val="minor"/>
          </rPr>
          <t>Wymiar etatu pracownika: 100%; 75%; 50%; 25% lub inny</t>
        </r>
      </text>
    </comment>
    <comment ref="L1" authorId="0" shapeId="0" xr:uid="{00000000-0006-0000-0200-000005000000}">
      <text>
        <r>
          <rPr>
            <sz val="11"/>
            <color rgb="FF000000"/>
            <rFont val="Calibri"/>
            <family val="2"/>
          </rPr>
          <t>Wpisz stawkę brutto pracownika</t>
        </r>
      </text>
    </comment>
    <comment ref="M1" authorId="0" shapeId="0" xr:uid="{00000000-0006-0000-0200-000006000000}">
      <text>
        <r>
          <rPr>
            <sz val="11"/>
            <color rgb="FF000000"/>
            <rFont val="Calibri"/>
            <family val="2"/>
          </rPr>
          <t>Wpisz planowaną ilość godzin pracy</t>
        </r>
      </text>
    </comment>
    <comment ref="N1" authorId="0" shapeId="0" xr:uid="{00000000-0006-0000-0200-000007000000}">
      <text>
        <r>
          <rPr>
            <sz val="11"/>
            <color indexed="81"/>
            <rFont val="Calibri"/>
            <family val="2"/>
            <scheme val="minor"/>
          </rPr>
          <t xml:space="preserve">Wpisz planowaną ilość godzin, które pracownik spędzi na zwolnieniu lekarskim, a za które przysługuje mu wynagrodzenie płatne przez nas. 
</t>
        </r>
      </text>
    </comment>
    <comment ref="O1" authorId="0" shapeId="0" xr:uid="{00000000-0006-0000-0200-000008000000}">
      <text>
        <r>
          <rPr>
            <sz val="11"/>
            <color rgb="FF000000"/>
            <rFont val="Calibri"/>
            <family val="2"/>
          </rPr>
          <t>Wpisz ilość godzin, którą pracownik spędzi na urlopie</t>
        </r>
      </text>
    </comment>
    <comment ref="P1" authorId="0" shapeId="0" xr:uid="{00000000-0006-0000-0200-000009000000}">
      <text>
        <r>
          <rPr>
            <sz val="11"/>
            <color indexed="81"/>
            <rFont val="Calibri"/>
            <family val="2"/>
            <scheme val="minor"/>
          </rPr>
          <t>Wpisz planowany Bonus managerski - sugestie co do jego wysokości zobaczysz po prawej stronie w kolumnie 'Suggested Bonus' po wypełnieniu zakładki Bonus
Bonus jest księgowany w całości w koszty danej kawiarni, jeśli dzielicie się kosztami premii któregoś z managerów (na przykład managera na bench) między kawiarniami w regionie - wpisz tylko tę część, która należy do Twojej kawiarni</t>
        </r>
      </text>
    </comment>
    <comment ref="Q1" authorId="0" shapeId="0" xr:uid="{00000000-0006-0000-0200-00000A000000}">
      <text>
        <r>
          <rPr>
            <sz val="9"/>
            <color indexed="81"/>
            <rFont val="Tahoma"/>
            <family val="2"/>
            <charset val="238"/>
          </rPr>
          <t>Wybierz "Tak", gdy Partner może pracować maksymalnie 7h w ciągu doby.</t>
        </r>
      </text>
    </comment>
    <comment ref="S1" authorId="0" shapeId="0" xr:uid="{00000000-0006-0000-0200-00000B000000}">
      <text>
        <r>
          <rPr>
            <sz val="11"/>
            <color indexed="81"/>
            <rFont val="Calibri"/>
            <family val="2"/>
            <scheme val="minor"/>
          </rPr>
          <t>Wpisz faktycznie przepracowaną ilość godzin.</t>
        </r>
      </text>
    </comment>
    <comment ref="T1" authorId="0" shapeId="0" xr:uid="{00000000-0006-0000-0200-00000C000000}">
      <text>
        <r>
          <rPr>
            <sz val="11"/>
            <color indexed="81"/>
            <rFont val="Calibri"/>
            <family val="2"/>
            <scheme val="minor"/>
          </rPr>
          <t xml:space="preserve">Wpisz ilość godzin, które pracownik spędził na zwolnieniu lekarskim, a za które przysługuje mu wynagrodzenie płatne przez nas. 
</t>
        </r>
      </text>
    </comment>
    <comment ref="U1" authorId="0" shapeId="0" xr:uid="{00000000-0006-0000-0200-00000D000000}">
      <text>
        <r>
          <rPr>
            <sz val="11"/>
            <color indexed="81"/>
            <rFont val="Calibri"/>
            <family val="2"/>
            <scheme val="minor"/>
          </rPr>
          <t>Wpisz ilość godzin, które pracownik spędził na urlopie wypoczynkowym</t>
        </r>
      </text>
    </comment>
    <comment ref="V1" authorId="0" shapeId="0" xr:uid="{00000000-0006-0000-0200-00000E000000}">
      <text>
        <r>
          <rPr>
            <sz val="11"/>
            <color indexed="81"/>
            <rFont val="Calibri"/>
            <family val="2"/>
            <scheme val="minor"/>
          </rPr>
          <t>Wpisz planowany Bonus managerski - sugestie co do jego wysokości zobaczysz po prawej stronie w kolumnie 'Suggested Bonus' po wypełnieniu zakładki Bonus
Bonus jest księgowany w całości w koszty danej kawiarni, jeśli dzielicie się kosztami premii któregoś z managerów (na przykład managera na bench) między kawiarniami w regionie - wpisz tylko tę część, która należy do Twojej kawiarni</t>
        </r>
      </text>
    </comment>
    <comment ref="W1" authorId="0" shapeId="0" xr:uid="{00000000-0006-0000-0200-00000F000000}">
      <text>
        <r>
          <rPr>
            <sz val="11"/>
            <color indexed="81"/>
            <rFont val="Calibri"/>
            <family val="2"/>
            <scheme val="minor"/>
          </rPr>
          <t xml:space="preserve">Kolumna służy do wprowadzenia ewentualnego rozksięgowania kosztów managerskich na region. 
- &gt; </t>
        </r>
        <r>
          <rPr>
            <b/>
            <sz val="11"/>
            <color indexed="81"/>
            <rFont val="Calibri"/>
            <family val="2"/>
            <scheme val="minor"/>
          </rPr>
          <t xml:space="preserve">Jeśli całość kosztu managera ponosi Twoja kawiarnia wpisz 100%
</t>
        </r>
        <r>
          <rPr>
            <sz val="11"/>
            <color indexed="81"/>
            <rFont val="Calibri"/>
            <family val="2"/>
            <scheme val="minor"/>
          </rPr>
          <t xml:space="preserve">
- &gt; </t>
        </r>
        <r>
          <rPr>
            <b/>
            <sz val="11"/>
            <color indexed="81"/>
            <rFont val="Calibri"/>
            <family val="2"/>
            <scheme val="minor"/>
          </rPr>
          <t xml:space="preserve">Jeśli manager jest zatrudniony na określony etat jednak Twoja  kawiarnia ponosi tylko jakiś % jego wynagrodzenia - wpisz ten %.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X1" authorId="0" shapeId="0" xr:uid="{00000000-0006-0000-0200-000010000000}">
      <text>
        <r>
          <rPr>
            <sz val="11"/>
            <color indexed="81"/>
            <rFont val="Calibri"/>
            <family val="2"/>
            <scheme val="minor"/>
          </rPr>
          <t xml:space="preserve">Wymiar etatu pracownika w danym miesiącu w godzinach:
</t>
        </r>
      </text>
    </comment>
    <comment ref="AB1" authorId="0" shapeId="0" xr:uid="{00000000-0006-0000-0200-000011000000}">
      <text>
        <r>
          <rPr>
            <sz val="10"/>
            <color indexed="81"/>
            <rFont val="Tahoma"/>
            <family val="2"/>
          </rPr>
          <t>GROSS BASE SALARY/ETAT*PLANNED WORKING HOURS*STORE COST</t>
        </r>
      </text>
    </comment>
    <comment ref="AC1" authorId="0" shapeId="0" xr:uid="{00000000-0006-0000-0200-000012000000}">
      <text>
        <r>
          <rPr>
            <sz val="10"/>
            <color indexed="81"/>
            <rFont val="Tahoma"/>
            <family val="2"/>
          </rPr>
          <t>=BONUS PLAN</t>
        </r>
      </text>
    </comment>
    <comment ref="AD1" authorId="0" shapeId="0" xr:uid="{00000000-0006-0000-0200-000013000000}">
      <text>
        <r>
          <rPr>
            <sz val="10"/>
            <color indexed="81"/>
            <rFont val="Tahoma"/>
            <family val="2"/>
          </rPr>
          <t>(BASIC SALARY MANAGER+BONUS PLAN+COMP&amp;BEN+JPA ACCRUAL)* SOCIAL INSURANCE (16,93%)</t>
        </r>
      </text>
    </comment>
    <comment ref="AF1" authorId="0" shapeId="0" xr:uid="{00000000-0006-0000-0200-000014000000}">
      <text>
        <r>
          <rPr>
            <sz val="10"/>
            <color indexed="81"/>
            <rFont val="Tahoma"/>
            <family val="2"/>
          </rPr>
          <t>EKWIWALENT LICZONY NA PODSTAWIE STANOWISKA * ETAT * STORE COST
EKWIWALENT JEST ZALEŻNY OD ETATU PRACOWNIKA</t>
        </r>
      </text>
    </comment>
    <comment ref="AG1" authorId="0" shapeId="0" xr:uid="{00000000-0006-0000-0200-000015000000}">
      <text>
        <r>
          <rPr>
            <sz val="10"/>
            <color indexed="81"/>
            <rFont val="Tahoma"/>
            <family val="2"/>
          </rPr>
          <t xml:space="preserve">TYPE OF EMPLOYMENT (WYMIAR ETATU) * STAWKA PFRON * STORE COST
PFRON JEST NALICZANY OD ETATU PRACOWNIKA
</t>
        </r>
      </text>
    </comment>
    <comment ref="AH1" authorId="0" shapeId="0" xr:uid="{00000000-0006-0000-0200-000016000000}">
      <text>
        <r>
          <rPr>
            <sz val="10"/>
            <color indexed="81"/>
            <rFont val="Tahoma"/>
            <family val="2"/>
          </rPr>
          <t>ZALEŻNY OD STANOWISKA PRACOWNIKA * STORE COST.
COMP&amp;BEN JEST NIEZALEŻNY OD ETATU PRACOWNIKA WIĘC ZAWSZE BĘDZIE TO PEŁNA PULA</t>
        </r>
      </text>
    </comment>
    <comment ref="AI1" authorId="0" shapeId="0" xr:uid="{00000000-0006-0000-0200-000017000000}">
      <text>
        <r>
          <rPr>
            <sz val="10"/>
            <color indexed="81"/>
            <rFont val="Tahoma"/>
            <family val="2"/>
          </rPr>
          <t>JPA ACCRUAL JEST NALICZANY TYLKO DLA POSITION 'SM'</t>
        </r>
      </text>
    </comment>
    <comment ref="AM1" authorId="0" shapeId="0" xr:uid="{00000000-0006-0000-0200-000018000000}">
      <text>
        <r>
          <rPr>
            <sz val="10"/>
            <color indexed="81"/>
            <rFont val="Tahoma"/>
            <family val="2"/>
          </rPr>
          <t>GROSS BASE SALARY/ETAT* SICK LEAVE HOURS *20%
I o 20 zmniejsza się Basic Salary Manager i Social Insurance w Manager - Target</t>
        </r>
      </text>
    </comment>
    <comment ref="AN1" authorId="0" shapeId="0" xr:uid="{00000000-0006-0000-0200-000019000000}">
      <text>
        <r>
          <rPr>
            <sz val="10"/>
            <color indexed="81"/>
            <rFont val="Tahoma"/>
            <family val="2"/>
          </rPr>
          <t>BASIC SALARY MANAGER (W SEKCJI SICK LEAVE) * SOCIAL INSURANCE (16,93%) *20%</t>
        </r>
      </text>
    </comment>
    <comment ref="AY1" authorId="0" shapeId="0" xr:uid="{00000000-0006-0000-0200-00001A000000}">
      <text>
        <r>
          <rPr>
            <sz val="10"/>
            <color indexed="81"/>
            <rFont val="Tahoma"/>
            <family val="2"/>
          </rPr>
          <t>GROSS BASE SALARY/ETAT*PLANNED WORKING HOURS*STORE COST</t>
        </r>
      </text>
    </comment>
    <comment ref="AZ1" authorId="0" shapeId="0" xr:uid="{00000000-0006-0000-0200-00001B000000}">
      <text>
        <r>
          <rPr>
            <sz val="10"/>
            <color indexed="81"/>
            <rFont val="Tahoma"/>
            <family val="2"/>
          </rPr>
          <t>=BONUS PLAN</t>
        </r>
      </text>
    </comment>
    <comment ref="BA1" authorId="0" shapeId="0" xr:uid="{00000000-0006-0000-0200-00001C000000}">
      <text>
        <r>
          <rPr>
            <sz val="10"/>
            <color indexed="81"/>
            <rFont val="Tahoma"/>
            <family val="2"/>
          </rPr>
          <t>(BASIC SALARY MANAGER+BONUS PLAN+COMP&amp;BEN+JPA ACCRUAL)* SOCIAL INSURANCE (16,93%)</t>
        </r>
      </text>
    </comment>
    <comment ref="BC1" authorId="0" shapeId="0" xr:uid="{00000000-0006-0000-0200-00001D000000}">
      <text>
        <r>
          <rPr>
            <sz val="10"/>
            <color indexed="81"/>
            <rFont val="Tahoma"/>
            <family val="2"/>
          </rPr>
          <t>EKWIWALENT LICZONY NA PODSTAWIE STANOWISKA * ETAT * STORE COST
EKWIWALENT JEST ZALEŻNY OD ETATU PRACOWNIKA</t>
        </r>
      </text>
    </comment>
    <comment ref="BD1" authorId="0" shapeId="0" xr:uid="{00000000-0006-0000-0200-00001E000000}">
      <text>
        <r>
          <rPr>
            <sz val="10"/>
            <color indexed="81"/>
            <rFont val="Tahoma"/>
            <family val="2"/>
          </rPr>
          <t xml:space="preserve">TYPE OF EMPLOYMENT (WYMIAR ETATU) * STAWKA PFRON * STORE COST
PFRON JEST NALICZANY OD ETATU PRACOWNIKA
</t>
        </r>
      </text>
    </comment>
    <comment ref="BE1" authorId="0" shapeId="0" xr:uid="{00000000-0006-0000-0200-00001F000000}">
      <text>
        <r>
          <rPr>
            <sz val="10"/>
            <color indexed="81"/>
            <rFont val="Tahoma"/>
            <family val="2"/>
          </rPr>
          <t>ZALEŻNY OD STANOWISKA PRACOWNIKA * STORE COST.
COMP&amp;BEN JEST NIEZALEŻNY OD ETATU PRACOWNIKA WIĘC ZAWSZE BĘDZIE TO PEŁNA PULA</t>
        </r>
      </text>
    </comment>
    <comment ref="BF1" authorId="0" shapeId="0" xr:uid="{00000000-0006-0000-0200-000020000000}">
      <text>
        <r>
          <rPr>
            <sz val="10"/>
            <color indexed="81"/>
            <rFont val="Tahoma"/>
            <family val="2"/>
          </rPr>
          <t>JPA ACCRUAL JEST NALICZANY TYLKO DLA POSITION 'SM'</t>
        </r>
      </text>
    </comment>
    <comment ref="BJ1" authorId="0" shapeId="0" xr:uid="{00000000-0006-0000-0200-000021000000}">
      <text>
        <r>
          <rPr>
            <sz val="10"/>
            <color indexed="81"/>
            <rFont val="Tahoma"/>
            <family val="2"/>
          </rPr>
          <t>GROSS BASE SALARY/ETAT* SICK LEAVE HOURS *20%
I o 20 zmniejsza się Basic Salary Manager i Social Insurance w Manager - Target</t>
        </r>
      </text>
    </comment>
    <comment ref="BK1" authorId="0" shapeId="0" xr:uid="{00000000-0006-0000-0200-000022000000}">
      <text>
        <r>
          <rPr>
            <sz val="10"/>
            <color indexed="81"/>
            <rFont val="Tahoma"/>
            <family val="2"/>
          </rPr>
          <t>BASIC SALARY MANAGER (W SEKCJI SICK LEAVE) * SOCIAL INSURANCE (16,93%) *20%</t>
        </r>
      </text>
    </comment>
    <comment ref="C4" authorId="0" shapeId="0" xr:uid="{00000000-0006-0000-0200-000023000000}">
      <text>
        <r>
          <rPr>
            <sz val="11"/>
            <color indexed="81"/>
            <rFont val="Calibri"/>
            <family val="2"/>
            <scheme val="minor"/>
          </rPr>
          <t>Na początku miesiąca uzupełnij kolumnę Target
- wybierz miesiąc, na który planujesz koszty
- zaplanuj sprzedaż i transakcje
- zaplanuj SPLH Target
- wpisz ilość godzin NC i T (ilość godzin NC i T zaplanujesz również w zakładce STAFFING rozbijając ją na poszczególnych partnerów)</t>
        </r>
      </text>
    </comment>
    <comment ref="D4" authorId="0" shapeId="0" xr:uid="{00000000-0006-0000-0200-000024000000}">
      <text>
        <r>
          <rPr>
            <sz val="11"/>
            <color indexed="81"/>
            <rFont val="Calibri"/>
            <family val="2"/>
            <scheme val="minor"/>
          </rPr>
          <t>W kolumnie AOP po wybraniu miesiąca powinny się znaleźć dane finansowe dostępne w AOP.
Uzupełnij zaplanowaną w AOP ilość godzin, NC, H i T.
W plikach AOP wartość Total Working Hours to 'Total Hours'</t>
        </r>
      </text>
    </comment>
    <comment ref="E4" authorId="0" shapeId="0" xr:uid="{00000000-0006-0000-0200-000025000000}">
      <text>
        <r>
          <rPr>
            <sz val="10"/>
            <color indexed="81"/>
            <rFont val="Tahoma"/>
            <family val="2"/>
          </rPr>
          <t>Po zakończonym miesiącu uzupełnij kolumnę Estimation
- uzupełnij faktyczną wartość sprzedaży i ilość transakcji
- uzupełnij faktyczną ilość godzin NC i T</t>
        </r>
      </text>
    </comment>
    <comment ref="F4" authorId="0" shapeId="0" xr:uid="{00000000-0006-0000-0200-000026000000}">
      <text>
        <r>
          <rPr>
            <sz val="11"/>
            <color indexed="81"/>
            <rFont val="Calibri"/>
            <family val="2"/>
            <scheme val="minor"/>
          </rPr>
          <t>Po zamknięciu P&amp;L możesz wpisać aktualne wartości zaksięgowane w P&amp;L aby zobaczyć gdzie różnią się od Twoich wyliczeń.</t>
        </r>
      </text>
    </comment>
    <comment ref="Y4" authorId="0" shapeId="0" xr:uid="{00000000-0006-0000-0200-000027000000}">
      <text>
        <r>
          <rPr>
            <sz val="11"/>
            <color rgb="FF000000"/>
            <rFont val="Calibri"/>
            <family val="2"/>
          </rPr>
          <t xml:space="preserve">W AmRest Coffee w 2018 roku:
</t>
        </r>
        <r>
          <rPr>
            <sz val="11"/>
            <color rgb="FF000000"/>
            <rFont val="Calibri"/>
            <family val="2"/>
          </rPr>
          <t xml:space="preserve">ubezpieczenia społeczne:
</t>
        </r>
        <r>
          <rPr>
            <sz val="11"/>
            <color rgb="FF000000"/>
            <rFont val="Calibri"/>
            <family val="2"/>
          </rPr>
          <t xml:space="preserve">- emerytalne 9,76% 
</t>
        </r>
        <r>
          <rPr>
            <sz val="11"/>
            <color rgb="FF000000"/>
            <rFont val="Calibri"/>
            <family val="2"/>
          </rPr>
          <t xml:space="preserve">- rentowe 6,5%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ubezpieczenie wypadkowe 0,67%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http://amnet/PL/HR/PayrollComp/Documents/Kopia%20obciążenia%20składkowe%202018.xlsx</t>
        </r>
      </text>
    </comment>
    <comment ref="B5" authorId="0" shapeId="0" xr:uid="{00000000-0006-0000-0200-000028000000}">
      <text>
        <r>
          <rPr>
            <sz val="11"/>
            <color indexed="81"/>
            <rFont val="Calibri"/>
            <family val="2"/>
            <scheme val="minor"/>
          </rPr>
          <t xml:space="preserve">Wybierz miesiąc na który chcesz zaplanować koszty
</t>
        </r>
      </text>
    </comment>
    <comment ref="B7" authorId="0" shapeId="0" xr:uid="{00000000-0006-0000-0200-000029000000}">
      <text>
        <r>
          <rPr>
            <sz val="11"/>
            <color indexed="81"/>
            <rFont val="Calibri"/>
            <family val="2"/>
            <scheme val="minor"/>
          </rPr>
          <t>Ilość dni roboczych w danym miesiącu w których Twoja kawiarnia będzie otwarta.</t>
        </r>
      </text>
    </comment>
    <comment ref="B8" authorId="0" shapeId="0" xr:uid="{00000000-0006-0000-0200-00002A000000}">
      <text>
        <r>
          <rPr>
            <sz val="11"/>
            <color indexed="81"/>
            <rFont val="Calibri"/>
            <family val="2"/>
            <scheme val="minor"/>
          </rPr>
          <t>Ilość godzin pełnego etatu w danym miesiącu wg kalendarza czasu pracy</t>
        </r>
      </text>
    </comment>
    <comment ref="B9" authorId="0" shapeId="0" xr:uid="{00000000-0006-0000-0200-00002B000000}">
      <text>
        <r>
          <rPr>
            <sz val="11"/>
            <color rgb="FF000000"/>
            <rFont val="Calibri"/>
            <family val="2"/>
          </rPr>
          <t>Zaplanuj sprzedaż na dany miesiąc</t>
        </r>
      </text>
    </comment>
    <comment ref="B11" authorId="0" shapeId="0" xr:uid="{00000000-0006-0000-0200-00002C000000}">
      <text>
        <r>
          <rPr>
            <sz val="11"/>
            <color indexed="81"/>
            <rFont val="Calibri"/>
            <family val="2"/>
            <scheme val="minor"/>
          </rPr>
          <t>Zaplanuj ilość transakcji na dany miesiąc</t>
        </r>
      </text>
    </comment>
    <comment ref="B13" authorId="0" shapeId="0" xr:uid="{00000000-0006-0000-0200-00002D000000}">
      <text>
        <r>
          <rPr>
            <sz val="9"/>
            <color rgb="FF000000"/>
            <rFont val="Tahoma"/>
            <family val="2"/>
            <charset val="238"/>
          </rPr>
          <t>Średnia dzienna ilość godzin, w krótej pracują Partnerzy.</t>
        </r>
      </text>
    </comment>
    <comment ref="C13" authorId="1" shapeId="0" xr:uid="{00000000-0006-0000-0200-00002E000000}">
      <text>
        <r>
          <rPr>
            <sz val="9"/>
            <color rgb="FF000000"/>
            <rFont val="Tahoma"/>
            <family val="2"/>
            <charset val="238"/>
          </rPr>
          <t xml:space="preserve">Aby uzyskać najdokładniejsze dane.
</t>
        </r>
        <r>
          <rPr>
            <sz val="9"/>
            <color rgb="FF000000"/>
            <rFont val="Tahoma"/>
            <family val="2"/>
            <charset val="238"/>
          </rPr>
          <t xml:space="preserve">Przykład: miesiąc 30 dni, 4 niedziele, godziny pracy od 6:00 do 22:00 pn-so, nd 8:00-21:00
</t>
        </r>
        <r>
          <rPr>
            <sz val="9"/>
            <color rgb="FF000000"/>
            <rFont val="Tahoma"/>
            <family val="2"/>
            <charset val="238"/>
          </rPr>
          <t xml:space="preserve">
</t>
        </r>
        <r>
          <rPr>
            <sz val="9"/>
            <color rgb="FF000000"/>
            <rFont val="Tahoma"/>
            <family val="2"/>
            <charset val="238"/>
          </rPr>
          <t xml:space="preserve">Policz średnią mnożąc 26 dni * ilość godzin pracy 16h (bo 22:00-6:00) = 416
</t>
        </r>
        <r>
          <rPr>
            <sz val="9"/>
            <color rgb="FF000000"/>
            <rFont val="Tahoma"/>
            <family val="2"/>
            <charset val="238"/>
          </rPr>
          <t xml:space="preserve">Dodaj niedziele: 4 dni * godziny pracy 13h (bo 21:00-8:00) = 52
</t>
        </r>
        <r>
          <rPr>
            <sz val="9"/>
            <color rgb="FF000000"/>
            <rFont val="Tahoma"/>
            <family val="2"/>
            <charset val="238"/>
          </rPr>
          <t xml:space="preserve">Razem 416 +52 = 468
</t>
        </r>
        <r>
          <rPr>
            <sz val="9"/>
            <color rgb="FF000000"/>
            <rFont val="Tahoma"/>
            <family val="2"/>
            <charset val="238"/>
          </rPr>
          <t xml:space="preserve">
</t>
        </r>
        <r>
          <rPr>
            <sz val="9"/>
            <color rgb="FF000000"/>
            <rFont val="Tahoma"/>
            <family val="2"/>
            <charset val="238"/>
          </rPr>
          <t xml:space="preserve">Podziel przez ilość dni miesiąca, w przykładzie 30 daje wynik = 15,6
</t>
        </r>
        <r>
          <rPr>
            <sz val="9"/>
            <color rgb="FF000000"/>
            <rFont val="Tahoma"/>
            <family val="2"/>
            <charset val="238"/>
          </rPr>
          <t xml:space="preserve">
</t>
        </r>
        <r>
          <rPr>
            <sz val="9"/>
            <color rgb="FF000000"/>
            <rFont val="Tahoma"/>
            <family val="2"/>
            <charset val="238"/>
          </rPr>
          <t xml:space="preserve">LUB
</t>
        </r>
        <r>
          <rPr>
            <sz val="9"/>
            <color rgb="FF000000"/>
            <rFont val="Tahoma"/>
            <family val="2"/>
            <charset val="238"/>
          </rPr>
          <t xml:space="preserve">zapisz to formułą:
</t>
        </r>
        <r>
          <rPr>
            <sz val="9"/>
            <color rgb="FF000000"/>
            <rFont val="Tahoma"/>
            <family val="2"/>
            <charset val="238"/>
          </rPr>
          <t>=(26*(22-6)+4*(21-8))/30</t>
        </r>
      </text>
    </comment>
    <comment ref="Y13" authorId="0" shapeId="0" xr:uid="{00000000-0006-0000-0200-00002F000000}">
      <text>
        <r>
          <rPr>
            <sz val="11"/>
            <color indexed="81"/>
            <rFont val="Calibri"/>
            <family val="2"/>
            <scheme val="minor"/>
          </rPr>
          <t>Możesz zmienić wartość składnki PFRON jeśli jest taka potrzeba.</t>
        </r>
      </text>
    </comment>
    <comment ref="Y16" authorId="0" shapeId="0" xr:uid="{00000000-0006-0000-0200-000030000000}">
      <text>
        <r>
          <rPr>
            <sz val="10"/>
            <color indexed="81"/>
            <rFont val="Tahoma"/>
            <family val="2"/>
          </rPr>
          <t>http://amnet/PL/HR/PayrollComp/Documents/AMREST_COFFEE_REGULAMIN%20PRACY_CZERWIEC_2017.doc</t>
        </r>
      </text>
    </comment>
    <comment ref="V17" authorId="0" shapeId="0" xr:uid="{00000000-0006-0000-0200-000031000000}">
      <text>
        <r>
          <rPr>
            <sz val="9"/>
            <color indexed="81"/>
            <rFont val="Tahoma"/>
            <family val="2"/>
            <charset val="238"/>
          </rPr>
          <t>Rzeczywista wartość rezerwy urlopowej.
Wprowadź wartość z P&amp;L dodając wartości z grupy Payroll Manager i Social Contribution Mng</t>
        </r>
      </text>
    </comment>
    <comment ref="B18" authorId="0" shapeId="0" xr:uid="{00000000-0006-0000-0200-000032000000}">
      <text>
        <r>
          <rPr>
            <b/>
            <sz val="11"/>
            <color indexed="81"/>
            <rFont val="Calibri"/>
            <family val="2"/>
            <scheme val="minor"/>
          </rPr>
          <t>FIXED COL do zarejestrowania w DOS+</t>
        </r>
        <r>
          <rPr>
            <sz val="11"/>
            <color indexed="81"/>
            <rFont val="Calibri"/>
            <family val="2"/>
            <scheme val="minor"/>
          </rPr>
          <t xml:space="preserve">
FIXED COL to koszty dające się przewidzieć, zawierające między innymi wynagrodzenia managerów, premie, opłaty za ADP czy planowane premie crew i KP.
Linie w P&amp;L, które wchodzą w kwotę FIXED COL są poniżej zaznaczone na jasnozielono.</t>
        </r>
      </text>
    </comment>
    <comment ref="I20" authorId="0" shapeId="0" xr:uid="{00000000-0006-0000-0200-000033000000}">
      <text>
        <r>
          <rPr>
            <sz val="11"/>
            <color indexed="81"/>
            <rFont val="Calibri"/>
            <family val="2"/>
            <scheme val="minor"/>
          </rPr>
          <t>Wpisz imię i nazwisko pracownika</t>
        </r>
      </text>
    </comment>
    <comment ref="J20" authorId="0" shapeId="0" xr:uid="{00000000-0006-0000-0200-000034000000}">
      <text>
        <r>
          <rPr>
            <sz val="11"/>
            <color indexed="81"/>
            <rFont val="Calibri"/>
            <family val="2"/>
            <scheme val="minor"/>
          </rPr>
          <t>Wybierz nazwę stanowiska z listy</t>
        </r>
      </text>
    </comment>
    <comment ref="K20" authorId="0" shapeId="0" xr:uid="{00000000-0006-0000-0200-000035000000}">
      <text>
        <r>
          <rPr>
            <sz val="11"/>
            <color rgb="FF000000"/>
            <rFont val="Calibri"/>
            <family val="2"/>
          </rPr>
          <t>Wymiar etatu pracownika: 100%; 75%; 50%; 25% lub inny</t>
        </r>
      </text>
    </comment>
    <comment ref="L20" authorId="0" shapeId="0" xr:uid="{00000000-0006-0000-0200-000036000000}">
      <text>
        <r>
          <rPr>
            <sz val="11"/>
            <color indexed="81"/>
            <rFont val="Calibri"/>
            <family val="2"/>
            <scheme val="minor"/>
          </rPr>
          <t>Wpisz stawkę brutto pracownika</t>
        </r>
      </text>
    </comment>
    <comment ref="M20" authorId="0" shapeId="0" xr:uid="{00000000-0006-0000-0200-000037000000}">
      <text>
        <r>
          <rPr>
            <sz val="11"/>
            <color rgb="FF000000"/>
            <rFont val="Calibri"/>
            <family val="2"/>
          </rPr>
          <t>Wpisz planowaną ilość godzin pracy</t>
        </r>
      </text>
    </comment>
    <comment ref="N20" authorId="0" shapeId="0" xr:uid="{00000000-0006-0000-0200-000038000000}">
      <text>
        <r>
          <rPr>
            <sz val="11"/>
            <color indexed="81"/>
            <rFont val="Calibri"/>
            <family val="2"/>
            <scheme val="minor"/>
          </rPr>
          <t xml:space="preserve">Wpisz planowaną ilość godzin, które pracownik spędzi na zwolnieniu lekarskim, a za które przysługuje mu wynagrodzenie płatne przez nas. 
</t>
        </r>
      </text>
    </comment>
    <comment ref="O20" authorId="0" shapeId="0" xr:uid="{00000000-0006-0000-0200-000039000000}">
      <text>
        <r>
          <rPr>
            <sz val="11"/>
            <color rgb="FF000000"/>
            <rFont val="Calibri"/>
            <family val="2"/>
          </rPr>
          <t>Wpisz ilość godzin, którą pracownik spędzi na urlopie</t>
        </r>
      </text>
    </comment>
    <comment ref="P20" authorId="0" shapeId="0" xr:uid="{00000000-0006-0000-0200-00003A000000}">
      <text>
        <r>
          <rPr>
            <sz val="11"/>
            <color indexed="81"/>
            <rFont val="Calibri"/>
            <family val="2"/>
            <scheme val="minor"/>
          </rPr>
          <t xml:space="preserve">Wymiar etatu pracownika w danym miesiącu w godzinach:
</t>
        </r>
      </text>
    </comment>
    <comment ref="Q20" authorId="0" shapeId="0" xr:uid="{00000000-0006-0000-0200-00003B000000}">
      <text>
        <r>
          <rPr>
            <sz val="9"/>
            <color indexed="81"/>
            <rFont val="Tahoma"/>
            <family val="2"/>
            <charset val="238"/>
          </rPr>
          <t>Wybierz "Tak", gdy Partner może pracować maksymalnie 7h w ciągu doby.</t>
        </r>
      </text>
    </comment>
    <comment ref="S20" authorId="0" shapeId="0" xr:uid="{00000000-0006-0000-0200-00003C000000}">
      <text>
        <r>
          <rPr>
            <sz val="11"/>
            <color indexed="81"/>
            <rFont val="Calibri"/>
            <family val="2"/>
            <scheme val="minor"/>
          </rPr>
          <t>Wpisz faktycznie przepracowaną ilość godzin.</t>
        </r>
      </text>
    </comment>
    <comment ref="T20" authorId="0" shapeId="0" xr:uid="{00000000-0006-0000-0200-00003D000000}">
      <text>
        <r>
          <rPr>
            <sz val="11"/>
            <color indexed="81"/>
            <rFont val="Calibri"/>
            <family val="2"/>
            <scheme val="minor"/>
          </rPr>
          <t xml:space="preserve">Wpisz ilość godzin, które pracownik spędził na zwolnieniu lekarskim, a za które przysługuje mu wynagrodzenie płatne przez nas. 
</t>
        </r>
      </text>
    </comment>
    <comment ref="U20" authorId="0" shapeId="0" xr:uid="{00000000-0006-0000-0200-00003E000000}">
      <text>
        <r>
          <rPr>
            <sz val="11"/>
            <color indexed="81"/>
            <rFont val="Calibri"/>
            <family val="2"/>
            <scheme val="minor"/>
          </rPr>
          <t>Wpisz ilość godzin, które pracownik spędził na urlopie wypoczynkowym</t>
        </r>
      </text>
    </comment>
    <comment ref="V20" authorId="0" shapeId="0" xr:uid="{00000000-0006-0000-0200-00003F000000}">
      <text>
        <r>
          <rPr>
            <sz val="11"/>
            <color indexed="81"/>
            <rFont val="Calibri"/>
            <family val="2"/>
            <scheme val="minor"/>
          </rPr>
          <t>Wpisz kwotę premii przyznajej pracownikowi</t>
        </r>
      </text>
    </comment>
    <comment ref="W20" authorId="0" shapeId="0" xr:uid="{00000000-0006-0000-0200-000040000000}">
      <text>
        <r>
          <rPr>
            <sz val="11"/>
            <color indexed="81"/>
            <rFont val="Calibri"/>
            <family val="2"/>
            <scheme val="minor"/>
          </rPr>
          <t>Alert poinformuje Cię, jeśli zaplanowałeś pracownikowi za mało lub za dużo godzin w danym miesiącu w odniesieniu do jego etatu</t>
        </r>
      </text>
    </comment>
    <comment ref="Y20" authorId="0" shapeId="0" xr:uid="{00000000-0006-0000-0200-000041000000}">
      <text>
        <r>
          <rPr>
            <sz val="11"/>
            <color indexed="81"/>
            <rFont val="Calibri"/>
            <family val="2"/>
            <scheme val="minor"/>
          </rPr>
          <t>W tej kolumnie znajdziesz stawkę partnera do wpisania w Human Resources &gt;&gt; Hourly Job kiedy loguje się do pracy jako Barista</t>
        </r>
      </text>
    </comment>
    <comment ref="B21" authorId="0" shapeId="0" xr:uid="{00000000-0006-0000-0200-000042000000}">
      <text>
        <r>
          <rPr>
            <sz val="11"/>
            <color rgb="FF000000"/>
            <rFont val="Calibri"/>
            <family val="2"/>
          </rPr>
          <t xml:space="preserve">MANAGER WORKING HOURS WITHOUT SICK LEAVE HOURS AND HOLIDAY HOURS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WORKING HOURS INCLUDE TRAINING HOURS</t>
        </r>
      </text>
    </comment>
    <comment ref="B22" authorId="0" shapeId="0" xr:uid="{00000000-0006-0000-0200-000043000000}">
      <text>
        <r>
          <rPr>
            <sz val="11"/>
            <color rgb="FF000000"/>
            <rFont val="Calibri"/>
            <family val="2"/>
          </rPr>
          <t xml:space="preserve">CREW WORKING HOURS WITHOUT SICK LEAVE HOURS AND HOLIDAY HOURS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WORKING HOURS INCLUDE TRAINING HOURS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W aplikacji DOS+ Crew working hours znajduje się w linii </t>
        </r>
        <r>
          <rPr>
            <b/>
            <sz val="11"/>
            <color rgb="FF000000"/>
            <rFont val="Calibri"/>
            <family val="2"/>
          </rPr>
          <t>Crew hours</t>
        </r>
      </text>
    </comment>
    <comment ref="B23" authorId="0" shapeId="0" xr:uid="{00000000-0006-0000-0200-000044000000}">
      <text>
        <r>
          <rPr>
            <sz val="9"/>
            <color rgb="FF000000"/>
            <rFont val="Tahoma"/>
            <family val="2"/>
          </rPr>
          <t>TRANSACTIONS/TOTAL HOURS</t>
        </r>
      </text>
    </comment>
    <comment ref="B24" authorId="0" shapeId="0" xr:uid="{00000000-0006-0000-0200-000045000000}">
      <text>
        <r>
          <rPr>
            <sz val="9"/>
            <color indexed="81"/>
            <rFont val="Tahoma"/>
            <family val="2"/>
          </rPr>
          <t xml:space="preserve">TRANSACTION/TOTAL HOURS-NC HOURS
</t>
        </r>
      </text>
    </comment>
    <comment ref="B25" authorId="0" shapeId="0" xr:uid="{00000000-0006-0000-0200-000046000000}">
      <text>
        <r>
          <rPr>
            <sz val="11"/>
            <color indexed="81"/>
            <rFont val="Calibri"/>
            <family val="2"/>
            <scheme val="minor"/>
          </rPr>
          <t>Ilość etatów w przeliczeniu na 'pełne etaty' np.: 1 pracownik 0,25 etatu + 1 pracownik 0,75 etatu + 1 pracownik 0,5 etatu = 1,5 pełnego etatu</t>
        </r>
      </text>
    </comment>
    <comment ref="B27" authorId="0" shapeId="0" xr:uid="{00000000-0006-0000-0200-000047000000}">
      <text>
        <r>
          <rPr>
            <sz val="11"/>
            <color indexed="81"/>
            <rFont val="Calibri"/>
            <family val="2"/>
            <scheme val="minor"/>
          </rPr>
          <t xml:space="preserve">NON COVERAGE HOURS
</t>
        </r>
      </text>
    </comment>
    <comment ref="B28" authorId="0" shapeId="0" xr:uid="{00000000-0006-0000-0200-000048000000}">
      <text>
        <r>
          <rPr>
            <sz val="11"/>
            <color indexed="81"/>
            <rFont val="Calibri"/>
            <family val="2"/>
            <scheme val="minor"/>
          </rPr>
          <t>HOLIDAY HOURS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B29" authorId="0" shapeId="0" xr:uid="{00000000-0006-0000-0200-000049000000}">
      <text>
        <r>
          <rPr>
            <sz val="11"/>
            <color indexed="81"/>
            <rFont val="Calibri"/>
            <family val="2"/>
            <scheme val="minor"/>
          </rPr>
          <t xml:space="preserve">SICK LEAVE HOURS
</t>
        </r>
      </text>
    </comment>
    <comment ref="B30" authorId="0" shapeId="0" xr:uid="{00000000-0006-0000-0200-00004A000000}">
      <text>
        <r>
          <rPr>
            <sz val="11"/>
            <color indexed="81"/>
            <rFont val="Calibri"/>
            <family val="2"/>
            <scheme val="minor"/>
          </rPr>
          <t>TRAINING HOURS</t>
        </r>
      </text>
    </comment>
    <comment ref="B32" authorId="0" shapeId="0" xr:uid="{00000000-0006-0000-0200-00004B000000}">
      <text>
        <r>
          <rPr>
            <sz val="9"/>
            <color indexed="81"/>
            <rFont val="Tahoma"/>
            <family val="2"/>
            <charset val="238"/>
          </rPr>
          <t>Wybierz jeden z Planów TPLH</t>
        </r>
      </text>
    </comment>
    <comment ref="B33" authorId="0" shapeId="0" xr:uid="{00000000-0006-0000-0200-00004C000000}">
      <text>
        <r>
          <rPr>
            <sz val="11"/>
            <color indexed="81"/>
            <rFont val="Calibri"/>
            <family val="2"/>
            <scheme val="minor"/>
          </rPr>
          <t>Sugerowany TPLH na podstawie wprowadzonych danych.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35" authorId="0" shapeId="0" xr:uid="{00000000-0006-0000-0200-00004D000000}">
      <text>
        <r>
          <rPr>
            <sz val="11"/>
            <color indexed="81"/>
            <rFont val="Calibri"/>
            <family val="2"/>
            <scheme val="minor"/>
          </rPr>
          <t>TPLH = TRANSACTIONS / TOTAL WORKING HOURS (including Non Coverage and Training)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36" authorId="0" shapeId="0" xr:uid="{00000000-0006-0000-0200-00004E000000}">
      <text>
        <r>
          <rPr>
            <b/>
            <sz val="11"/>
            <color indexed="81"/>
            <rFont val="Calibri"/>
            <family val="2"/>
            <scheme val="minor"/>
          </rPr>
          <t>TOTAL WORKING HOURS</t>
        </r>
        <r>
          <rPr>
            <sz val="11"/>
            <color indexed="81"/>
            <rFont val="Calibri"/>
            <family val="2"/>
            <scheme val="minor"/>
          </rPr>
          <t xml:space="preserve"> to suma godzin przepracowanych przez Managerów i Crew bez godzin urlopowych i zwolnień lekarskich.
W aplikacji DOS+ Total working hours znajduje się w linii </t>
        </r>
        <r>
          <rPr>
            <b/>
            <sz val="11"/>
            <color indexed="81"/>
            <rFont val="Calibri"/>
            <family val="2"/>
            <scheme val="minor"/>
          </rPr>
          <t>Total Hours</t>
        </r>
      </text>
    </comment>
    <comment ref="B38" authorId="0" shapeId="0" xr:uid="{00000000-0006-0000-0200-00004F000000}">
      <text>
        <r>
          <rPr>
            <sz val="11"/>
            <color indexed="81"/>
            <rFont val="Calibri"/>
            <family val="2"/>
            <scheme val="minor"/>
          </rPr>
          <t>Godziny coverage + non coverage bez godzin urlopowych i zwolnień lekarskich</t>
        </r>
      </text>
    </comment>
    <comment ref="I42" authorId="0" shapeId="0" xr:uid="{00000000-0006-0000-0200-000050000000}">
      <text>
        <r>
          <rPr>
            <sz val="11"/>
            <color rgb="FF000000"/>
            <rFont val="Calibri"/>
            <family val="2"/>
          </rPr>
          <t>Wpisz imię i nazwisko pracownika</t>
        </r>
      </text>
    </comment>
    <comment ref="J42" authorId="0" shapeId="0" xr:uid="{00000000-0006-0000-0200-000051000000}">
      <text>
        <r>
          <rPr>
            <sz val="11"/>
            <color indexed="81"/>
            <rFont val="Calibri"/>
            <family val="2"/>
            <scheme val="minor"/>
          </rPr>
          <t>Wybierz nazwę stanowiska z listy</t>
        </r>
      </text>
    </comment>
    <comment ref="L42" authorId="0" shapeId="0" xr:uid="{00000000-0006-0000-0200-000052000000}">
      <text>
        <r>
          <rPr>
            <sz val="11"/>
            <color rgb="FF000000"/>
            <rFont val="Calibri"/>
            <family val="2"/>
          </rPr>
          <t>Wpisz stawkę brutto pracownika</t>
        </r>
      </text>
    </comment>
    <comment ref="M42" authorId="0" shapeId="0" xr:uid="{00000000-0006-0000-0200-000053000000}">
      <text>
        <r>
          <rPr>
            <sz val="11"/>
            <color indexed="81"/>
            <rFont val="Calibri"/>
            <family val="2"/>
            <scheme val="minor"/>
          </rPr>
          <t>Wpisz planowaną ilość godzin pracy</t>
        </r>
      </text>
    </comment>
    <comment ref="S42" authorId="0" shapeId="0" xr:uid="{00000000-0006-0000-0200-000054000000}">
      <text>
        <r>
          <rPr>
            <sz val="11"/>
            <color indexed="81"/>
            <rFont val="Calibri"/>
            <family val="2"/>
            <scheme val="minor"/>
          </rPr>
          <t>Wpisz faktycznie przepracowaną ilość godzin.</t>
        </r>
      </text>
    </comment>
    <comment ref="V42" authorId="0" shapeId="0" xr:uid="{00000000-0006-0000-0200-000055000000}">
      <text>
        <r>
          <rPr>
            <sz val="11"/>
            <color indexed="81"/>
            <rFont val="Calibri"/>
            <family val="2"/>
            <scheme val="minor"/>
          </rPr>
          <t>Wpisz kwotę premii przyznajej pracownikowi</t>
        </r>
      </text>
    </comment>
    <comment ref="X42" authorId="0" shapeId="0" xr:uid="{00000000-0006-0000-0200-000056000000}">
      <text>
        <r>
          <rPr>
            <sz val="11"/>
            <color indexed="81"/>
            <rFont val="Calibri"/>
            <family val="2"/>
            <scheme val="minor"/>
          </rPr>
          <t>W tej kolumnie znajdziesz stawkę partnera do wpisania w Human Resources &gt;&gt; Hourly Job kiedy loguje się do pracy jako Barista</t>
        </r>
      </text>
    </comment>
    <comment ref="B47" authorId="0" shapeId="0" xr:uid="{00000000-0006-0000-0200-000057000000}">
      <text>
        <r>
          <rPr>
            <sz val="11"/>
            <color rgb="FF000000"/>
            <rFont val="Calibri"/>
            <family val="2"/>
          </rPr>
          <t xml:space="preserve">Na linię </t>
        </r>
        <r>
          <rPr>
            <b/>
            <sz val="11"/>
            <color rgb="FF000000"/>
            <rFont val="Calibri"/>
            <family val="2"/>
          </rPr>
          <t>Payroll Manager</t>
        </r>
        <r>
          <rPr>
            <sz val="11"/>
            <color rgb="FF000000"/>
            <rFont val="Calibri"/>
            <family val="2"/>
          </rPr>
          <t xml:space="preserve"> w P&amp;L składa się:
</t>
        </r>
        <r>
          <rPr>
            <sz val="11"/>
            <color rgb="FF000000"/>
            <rFont val="Calibri"/>
            <family val="2"/>
          </rPr>
          <t xml:space="preserve">- podstawowe wynagrodzenie managerów na umowie o pracę
</t>
        </r>
        <r>
          <rPr>
            <sz val="11"/>
            <color rgb="FF000000"/>
            <rFont val="Calibri"/>
            <family val="2"/>
          </rPr>
          <t xml:space="preserve">- ekwiwalent za odzież roboczą zależny od stanowiska
</t>
        </r>
        <r>
          <rPr>
            <sz val="11"/>
            <color rgb="FF000000"/>
            <rFont val="Calibri"/>
            <family val="2"/>
          </rPr>
          <t xml:space="preserve">- wynagrodzenie urlopowe
</t>
        </r>
        <r>
          <rPr>
            <sz val="11"/>
            <color rgb="FF000000"/>
            <rFont val="Calibri"/>
            <family val="2"/>
          </rPr>
          <t>- wynagrodzenie za godziny na zwolnieniu lekarskim</t>
        </r>
      </text>
    </comment>
    <comment ref="B48" authorId="0" shapeId="0" xr:uid="{00000000-0006-0000-0200-000058000000}">
      <text>
        <r>
          <rPr>
            <sz val="11"/>
            <color rgb="FF000000"/>
            <rFont val="Calibri"/>
            <family val="2"/>
          </rPr>
          <t xml:space="preserve">Na linię </t>
        </r>
        <r>
          <rPr>
            <b/>
            <sz val="11"/>
            <color rgb="FF000000"/>
            <rFont val="Calibri"/>
            <family val="2"/>
          </rPr>
          <t>Bonus Manager</t>
        </r>
        <r>
          <rPr>
            <sz val="11"/>
            <color rgb="FF000000"/>
            <rFont val="Calibri"/>
            <family val="2"/>
          </rPr>
          <t xml:space="preserve"> w P&amp;L składa się:
</t>
        </r>
        <r>
          <rPr>
            <sz val="11"/>
            <color rgb="FF000000"/>
            <rFont val="Calibri"/>
            <family val="2"/>
          </rPr>
          <t xml:space="preserve">- premia managera (OPS + AOP)
</t>
        </r>
        <r>
          <rPr>
            <sz val="11"/>
            <color rgb="FF000000"/>
            <rFont val="Calibri"/>
            <family val="2"/>
          </rPr>
          <t xml:space="preserve">- rezerwa na premię JPA
</t>
        </r>
        <r>
          <rPr>
            <sz val="11"/>
            <color rgb="FF000000"/>
            <rFont val="Calibri"/>
            <family val="2"/>
          </rPr>
          <t>- premia District Managera</t>
        </r>
      </text>
    </comment>
    <comment ref="B49" authorId="0" shapeId="0" xr:uid="{00000000-0006-0000-0200-000059000000}">
      <text>
        <r>
          <rPr>
            <sz val="11"/>
            <color rgb="FF000000"/>
            <rFont val="Calibri"/>
            <family val="2"/>
          </rPr>
          <t xml:space="preserve">Na linię </t>
        </r>
        <r>
          <rPr>
            <b/>
            <sz val="11"/>
            <color rgb="FF000000"/>
            <rFont val="Calibri"/>
            <family val="2"/>
          </rPr>
          <t>Social Contribution Manager</t>
        </r>
        <r>
          <rPr>
            <sz val="11"/>
            <color rgb="FF000000"/>
            <rFont val="Calibri"/>
            <family val="2"/>
          </rPr>
          <t xml:space="preserve"> w P&amp;L składają się narzuty od pozostałych składników wynagrodzenia, które podlegają pod ZUS</t>
        </r>
      </text>
    </comment>
    <comment ref="B54" authorId="0" shapeId="0" xr:uid="{00000000-0006-0000-0200-00005A000000}">
      <text>
        <r>
          <rPr>
            <sz val="11"/>
            <color indexed="81"/>
            <rFont val="Calibri"/>
            <family val="2"/>
            <scheme val="minor"/>
          </rPr>
          <t xml:space="preserve">Na linię </t>
        </r>
        <r>
          <rPr>
            <b/>
            <sz val="11"/>
            <color indexed="81"/>
            <rFont val="Calibri"/>
            <family val="2"/>
            <scheme val="minor"/>
          </rPr>
          <t>Payroll Crew</t>
        </r>
        <r>
          <rPr>
            <sz val="11"/>
            <color indexed="81"/>
            <rFont val="Calibri"/>
            <family val="2"/>
            <scheme val="minor"/>
          </rPr>
          <t xml:space="preserve"> w P&amp;L składają się:
Basic salary crew - wynagrodzenie pracowników na umowę o pracę
Accrual for basic salary - crew - rezerwa na wynagrodzenie pracowników na umowie o pracę
Overtime salary - crew - wynagrodzenie za nadgodziny pracowników na umowie o pracę
Accrual for overtime salary - crew - rezerwa na wynagrodzenie pracowników na umowie o pracę
Salary for night hours - crew - wynagrodzenie za pracę w godzinach nocnych dla pracowników na umowie o pracę
Accrual - salary for night hours - crew - rezerwa na wynagrodzenie za pracę w godzinach nocnych dla pracowników na umowie o pracę
Sick leave salary - crew - wynagrodzenie za godziny zwolnienia lekarskiego dla pracowników na umowie o pracę
Accrual for Sick Leave salary - crew - rezerwa na wynagrodzenie za godziny zwolnienia lekarskiego dla pracowników na umowie o pracę
Holiday pay - crew - wynagrodzenie urlopowe dla pracowników na umowie o pracę
Accrual for holiday pay - crew - rezerwa na wynagrodzenie urlopowe dla pracowników na umowie o pracę
Equivalent for unused holiday crew - ekwiwalent za niewykorzystany urlop dla pracowników na umowie o pracę
Working clothes equvalent - crew - ekwiwalent za odzież roboczą dla pracowników na umowie o pracę
Accrual work.clothes equivalent - crew - rezerwa na ekwiwalent za odzież roboczą dla pracowników na umowie o pracę
Civil contracts salaries - crew - wynagrodzenie pracowników na umowach cywilnoprawnych
Accrual for Civil contract salaries - crew rezerwa na wynagrodzenie pracowników na umowach cywilnoprawnyc</t>
        </r>
        <r>
          <rPr>
            <sz val="10"/>
            <color indexed="81"/>
            <rFont val="Tahoma"/>
            <family val="2"/>
          </rPr>
          <t>h</t>
        </r>
      </text>
    </comment>
    <comment ref="B60" authorId="0" shapeId="0" xr:uid="{00000000-0006-0000-0200-00005B000000}">
      <text>
        <r>
          <rPr>
            <sz val="11"/>
            <color indexed="81"/>
            <rFont val="Calibri"/>
            <family val="2"/>
            <scheme val="minor"/>
          </rPr>
          <t xml:space="preserve">Na linię </t>
        </r>
        <r>
          <rPr>
            <b/>
            <sz val="11"/>
            <color indexed="81"/>
            <rFont val="Calibri"/>
            <family val="2"/>
            <scheme val="minor"/>
          </rPr>
          <t>Bonus Crew</t>
        </r>
        <r>
          <rPr>
            <sz val="11"/>
            <color indexed="81"/>
            <rFont val="Calibri"/>
            <family val="2"/>
            <scheme val="minor"/>
          </rPr>
          <t xml:space="preserve"> w P&amp;L składa się:
- bonus district coffee mastera
- bonus 'poleć przyjaciela'
- bonus Crew
- bonus KP dla Umowy Zlecenie
- bonus KP na UP jest księgowany w linii </t>
        </r>
        <r>
          <rPr>
            <b/>
            <sz val="11"/>
            <color indexed="81"/>
            <rFont val="Calibri"/>
            <family val="2"/>
            <scheme val="minor"/>
          </rPr>
          <t>Other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61" authorId="0" shapeId="0" xr:uid="{00000000-0006-0000-0200-00005C000000}">
      <text>
        <r>
          <rPr>
            <sz val="11"/>
            <color rgb="FF000000"/>
            <rFont val="Calibri"/>
            <family val="2"/>
          </rPr>
          <t>Na linię</t>
        </r>
        <r>
          <rPr>
            <b/>
            <sz val="11"/>
            <color rgb="FF000000"/>
            <rFont val="Calibri"/>
            <family val="2"/>
          </rPr>
          <t xml:space="preserve"> Social Contribution Crew</t>
        </r>
        <r>
          <rPr>
            <sz val="11"/>
            <color rgb="FF000000"/>
            <rFont val="Calibri"/>
            <family val="2"/>
          </rPr>
          <t xml:space="preserve"> w P&amp;L składają się narzuty od pozostałych składników wynagrodzenia, które podlegają pod ZUS</t>
        </r>
      </text>
    </comment>
    <comment ref="B62" authorId="0" shapeId="0" xr:uid="{00000000-0006-0000-0200-00005D000000}">
      <text>
        <r>
          <rPr>
            <sz val="11"/>
            <color indexed="81"/>
            <rFont val="Calibri"/>
            <family val="2"/>
            <scheme val="minor"/>
          </rPr>
          <t xml:space="preserve">Na linię </t>
        </r>
        <r>
          <rPr>
            <b/>
            <sz val="11"/>
            <color indexed="81"/>
            <rFont val="Calibri"/>
            <family val="2"/>
            <scheme val="minor"/>
          </rPr>
          <t xml:space="preserve">Disability Fund </t>
        </r>
        <r>
          <rPr>
            <sz val="11"/>
            <color indexed="81"/>
            <rFont val="Calibri"/>
            <family val="2"/>
            <scheme val="minor"/>
          </rPr>
          <t>w P&amp;L składają się:
- składki na PFRON
- wyksięgowanie PFRON zależne od ilości zatrudnionych osób niepełnosprawnych i ich etatów oraz stopnia niepełnosprawności</t>
        </r>
      </text>
    </comment>
    <comment ref="B64" authorId="0" shapeId="0" xr:uid="{00000000-0006-0000-0200-00005E000000}">
      <text>
        <r>
          <rPr>
            <sz val="11"/>
            <color indexed="81"/>
            <rFont val="Calibri"/>
            <family val="2"/>
            <scheme val="minor"/>
          </rPr>
          <t xml:space="preserve">W linii </t>
        </r>
        <r>
          <rPr>
            <b/>
            <sz val="11"/>
            <color indexed="81"/>
            <rFont val="Calibri"/>
            <family val="2"/>
            <scheme val="minor"/>
          </rPr>
          <t>Other</t>
        </r>
        <r>
          <rPr>
            <sz val="11"/>
            <color indexed="81"/>
            <rFont val="Calibri"/>
            <family val="2"/>
            <scheme val="minor"/>
          </rPr>
          <t xml:space="preserve"> w P&amp;L księgowane są:
- pozostałe koszty niepodlegające pod inne kategorie
- opłaty za badania lekarskie
- opłaty za ADP
- premia KP dla pracowników na Umowie o pracę</t>
        </r>
      </text>
    </comment>
    <comment ref="B66" authorId="0" shapeId="0" xr:uid="{00000000-0006-0000-0200-00005F000000}">
      <text>
        <r>
          <rPr>
            <sz val="9"/>
            <color indexed="81"/>
            <rFont val="Tahoma"/>
            <family val="2"/>
            <charset val="238"/>
          </rPr>
          <t>Na DRIVERS składają się prowizje do agregatorów, np. GLOVO</t>
        </r>
      </text>
    </comment>
    <comment ref="B68" authorId="1" shapeId="0" xr:uid="{00000000-0006-0000-0200-000060000000}">
      <text>
        <r>
          <rPr>
            <sz val="9"/>
            <color indexed="81"/>
            <rFont val="Tahoma"/>
            <family val="2"/>
            <charset val="238"/>
          </rPr>
          <t>Liczba wszystkich Partnerów (na podstawie wprowadzonych nazw stanowisk)</t>
        </r>
      </text>
    </comment>
    <comment ref="B69" authorId="1" shapeId="0" xr:uid="{00000000-0006-0000-0200-000061000000}">
      <text>
        <r>
          <rPr>
            <sz val="9"/>
            <color indexed="81"/>
            <rFont val="Tahoma"/>
            <family val="2"/>
            <charset val="238"/>
          </rPr>
          <t>Liczba wszystkich Partnerów (na podstawie wprowadzonych nazw stanowisk)</t>
        </r>
      </text>
    </comment>
    <comment ref="B70" authorId="1" shapeId="0" xr:uid="{00000000-0006-0000-0200-000062000000}">
      <text>
        <r>
          <rPr>
            <sz val="9"/>
            <color indexed="81"/>
            <rFont val="Tahoma"/>
            <family val="2"/>
            <charset val="238"/>
          </rPr>
          <t>Liczba wszystkich Partnerów zatrudnionych na umowę o pracę</t>
        </r>
      </text>
    </comment>
    <comment ref="B71" authorId="1" shapeId="0" xr:uid="{00000000-0006-0000-0200-000063000000}">
      <text>
        <r>
          <rPr>
            <sz val="9"/>
            <color indexed="81"/>
            <rFont val="Tahoma"/>
            <family val="2"/>
            <charset val="238"/>
          </rPr>
          <t>Liczba partnerów zatrudnionych na umowę o pracę z wyłączeniem Managerów</t>
        </r>
      </text>
    </comment>
    <comment ref="B72" authorId="1" shapeId="0" xr:uid="{00000000-0006-0000-0200-000064000000}">
      <text>
        <r>
          <rPr>
            <sz val="9"/>
            <color indexed="81"/>
            <rFont val="Tahoma"/>
            <family val="2"/>
            <charset val="238"/>
          </rPr>
          <t>Liczba Partnerów zatrudnionych na umowę zlecenie</t>
        </r>
      </text>
    </comment>
    <comment ref="B74" authorId="1" shapeId="0" xr:uid="{00000000-0006-0000-0200-000065000000}">
      <text>
        <r>
          <rPr>
            <sz val="9"/>
            <color indexed="81"/>
            <rFont val="Tahoma"/>
            <family val="2"/>
            <charset val="238"/>
          </rPr>
          <t>Liczba godzin wszystkich Partnerów</t>
        </r>
      </text>
    </comment>
    <comment ref="B75" authorId="1" shapeId="0" xr:uid="{00000000-0006-0000-0200-000066000000}">
      <text>
        <r>
          <rPr>
            <sz val="9"/>
            <color indexed="81"/>
            <rFont val="Tahoma"/>
            <family val="2"/>
            <charset val="238"/>
          </rPr>
          <t>Liczba godzin wszystkich partnerów zatrudnionych na umowę o pracę</t>
        </r>
      </text>
    </comment>
    <comment ref="S75" authorId="0" shapeId="0" xr:uid="{00000000-0006-0000-0200-000067000000}">
      <text>
        <r>
          <rPr>
            <b/>
            <sz val="9"/>
            <color indexed="81"/>
            <rFont val="Tahoma"/>
            <family val="2"/>
            <charset val="238"/>
          </rPr>
          <t>estimation PPK MGR</t>
        </r>
      </text>
    </comment>
    <comment ref="T75" authorId="0" shapeId="0" xr:uid="{00000000-0006-0000-0200-000068000000}">
      <text>
        <r>
          <rPr>
            <b/>
            <sz val="9"/>
            <color indexed="81"/>
            <rFont val="Tahoma"/>
            <family val="2"/>
            <charset val="238"/>
          </rPr>
          <t>estimation PPK CREW</t>
        </r>
      </text>
    </comment>
    <comment ref="B76" authorId="1" shapeId="0" xr:uid="{00000000-0006-0000-0200-000069000000}">
      <text>
        <r>
          <rPr>
            <sz val="9"/>
            <color indexed="81"/>
            <rFont val="Tahoma"/>
            <family val="2"/>
            <charset val="238"/>
          </rPr>
          <t>Liczba godzin wszystkich Partnerów zatrudnionych na umowę o pracę z pominięciem Managerów</t>
        </r>
      </text>
    </comment>
    <comment ref="S76" authorId="2" shapeId="0" xr:uid="{C488F233-C0E4-465E-AF2B-64FB95265211}">
      <text>
        <r>
          <rPr>
            <b/>
            <sz val="9"/>
            <color indexed="81"/>
            <rFont val="Tahoma"/>
            <family val="2"/>
            <charset val="238"/>
          </rPr>
          <t>TRX delivery</t>
        </r>
      </text>
    </comment>
    <comment ref="T76" authorId="2" shapeId="0" xr:uid="{E5C3875D-7E93-4A9C-95A1-DF314D0EB8CB}">
      <text>
        <r>
          <rPr>
            <b/>
            <sz val="9"/>
            <color indexed="81"/>
            <rFont val="Tahoma"/>
            <family val="2"/>
            <charset val="238"/>
          </rPr>
          <t>Cost per drop YTD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77" authorId="1" shapeId="0" xr:uid="{00000000-0006-0000-0200-00006A000000}">
      <text>
        <r>
          <rPr>
            <sz val="9"/>
            <color indexed="81"/>
            <rFont val="Tahoma"/>
            <family val="2"/>
            <charset val="238"/>
          </rPr>
          <t>Liczba godzin wszystkich Partnerów zatrudnionych na umowę zlecenie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31" authorId="0" shapeId="0" xr:uid="{00000000-0006-0000-0600-000001000000}">
      <text>
        <r>
          <rPr>
            <sz val="9"/>
            <color indexed="81"/>
            <rFont val="Tahoma"/>
            <family val="2"/>
          </rPr>
          <t>TRANSACTIONS/TOTAL HOURS</t>
        </r>
      </text>
    </comment>
    <comment ref="G36" authorId="0" shapeId="0" xr:uid="{00000000-0006-0000-0600-000002000000}">
      <text>
        <r>
          <rPr>
            <sz val="11"/>
            <color indexed="81"/>
            <rFont val="Calibri"/>
            <family val="2"/>
            <scheme val="minor"/>
          </rPr>
          <t>Wpisz planowaną ilość godzin pracy</t>
        </r>
      </text>
    </comment>
    <comment ref="G38" authorId="0" shapeId="0" xr:uid="{00000000-0006-0000-0600-000003000000}">
      <text>
        <r>
          <rPr>
            <sz val="10"/>
            <color indexed="81"/>
            <rFont val="Tahoma"/>
            <family val="2"/>
          </rPr>
          <t>Wpisz ilość godzin, którą pracownik spędzi na urlopie</t>
        </r>
      </text>
    </comment>
    <comment ref="G39" authorId="0" shapeId="0" xr:uid="{00000000-0006-0000-0600-000004000000}">
      <text>
        <r>
          <rPr>
            <sz val="11"/>
            <color indexed="81"/>
            <rFont val="Calibri"/>
            <family val="2"/>
            <scheme val="minor"/>
          </rPr>
          <t xml:space="preserve">Wpisz planowaną ilość godzin, które pracownik spędzi na zwolnieniu lekarskim, a za które przysługuje mu wynagrodzenie płatne przez nas. 
</t>
        </r>
      </text>
    </comment>
    <comment ref="G45" authorId="0" shapeId="0" xr:uid="{00000000-0006-0000-0600-000005000000}">
      <text>
        <r>
          <rPr>
            <sz val="11"/>
            <color indexed="81"/>
            <rFont val="Calibri"/>
            <family val="2"/>
            <scheme val="minor"/>
          </rPr>
          <t>Zaplanuj sprzedaż na dany miesiąc</t>
        </r>
      </text>
    </comment>
    <comment ref="G46" authorId="0" shapeId="0" xr:uid="{00000000-0006-0000-0600-000006000000}">
      <text>
        <r>
          <rPr>
            <sz val="11"/>
            <color indexed="81"/>
            <rFont val="Calibri"/>
            <family val="2"/>
            <scheme val="minor"/>
          </rPr>
          <t>Zaplanuj ilość transakcji na dany miesiąc</t>
        </r>
      </text>
    </comment>
    <comment ref="G51" authorId="0" shapeId="0" xr:uid="{00000000-0006-0000-0600-000007000000}">
      <text>
        <r>
          <rPr>
            <sz val="9"/>
            <color indexed="81"/>
            <rFont val="Tahoma"/>
            <family val="2"/>
          </rPr>
          <t xml:space="preserve">WORKING HOURS WITHOUT SICK LEAVE HOURS AND HOLIDAY HOURS
</t>
        </r>
      </text>
    </comment>
    <comment ref="G59" authorId="0" shapeId="0" xr:uid="{00000000-0006-0000-0600-000008000000}">
      <text>
        <r>
          <rPr>
            <sz val="11"/>
            <color indexed="81"/>
            <rFont val="Tahoma"/>
            <family val="2"/>
          </rPr>
          <t xml:space="preserve">HOLIDAY HOURS
</t>
        </r>
      </text>
    </comment>
    <comment ref="G60" authorId="0" shapeId="0" xr:uid="{00000000-0006-0000-0600-000009000000}">
      <text>
        <r>
          <rPr>
            <sz val="11"/>
            <color indexed="81"/>
            <rFont val="Calibri"/>
            <family val="2"/>
            <scheme val="minor"/>
          </rPr>
          <t>SICK LEAVE HOURS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1" authorId="0" shapeId="0" xr:uid="{00000000-0006-0000-0600-00000A000000}">
      <text>
        <r>
          <rPr>
            <sz val="10"/>
            <color indexed="81"/>
            <rFont val="Tahoma"/>
            <family val="2"/>
          </rPr>
          <t>Wpisz ilość godzin, którą pracownik spędzi na urlopie</t>
        </r>
      </text>
    </comment>
    <comment ref="G65" authorId="0" shapeId="0" xr:uid="{00000000-0006-0000-0600-00000B000000}">
      <text>
        <r>
          <rPr>
            <sz val="11"/>
            <color indexed="81"/>
            <rFont val="Calibri"/>
            <family val="2"/>
            <scheme val="minor"/>
          </rPr>
          <t xml:space="preserve">Wpisz planowaną ilość godzin, które pracownik spędzi na zwolnieniu lekarskim, a za które przysługuje mu wynagrodzenie płatne przez nas. 
</t>
        </r>
      </text>
    </comment>
  </commentList>
</comments>
</file>

<file path=xl/sharedStrings.xml><?xml version="1.0" encoding="utf-8"?>
<sst xmlns="http://schemas.openxmlformats.org/spreadsheetml/2006/main" count="879" uniqueCount="615">
  <si>
    <t>SUPPORT</t>
  </si>
  <si>
    <r>
      <t xml:space="preserve">W przypadku kłopotów lub pytań - napisz do </t>
    </r>
    <r>
      <rPr>
        <b/>
        <sz val="11"/>
        <color theme="1"/>
        <rFont val="Calibri"/>
        <family val="2"/>
        <scheme val="minor"/>
      </rPr>
      <t>maciej.andrzejewski@amrest.eu</t>
    </r>
    <r>
      <rPr>
        <sz val="11"/>
        <color theme="1"/>
        <rFont val="Calibri"/>
        <family val="2"/>
        <charset val="238"/>
        <scheme val="minor"/>
      </rPr>
      <t xml:space="preserve"> załączając plik, którego używasz wraz z opisem tego co się stało.</t>
    </r>
  </si>
  <si>
    <t>W całym pliku uzupełniaj tylko żółte pola. Większość pól ma opis w komentarzu, który wyjaśnia skąd bierze się jakaś wartość lub jak jest obliczana. Wszystkie księgowania i obliczenia są potwierdzone z Payroll.</t>
  </si>
  <si>
    <t>Po tym jak zaplanujesz dany miesiąc kliknij Plik &gt; Zapisz jako &gt; MPK_Nazwamiesiąca</t>
  </si>
  <si>
    <t>Wklejanie AOP oraz Planu TPLH</t>
  </si>
  <si>
    <t>W Amreport wygeneruj dane AOP, koniecznie z rozwiniętymi wszystkimi kategoriami COL, a następnie wyeksportuj go do excela.</t>
  </si>
  <si>
    <r>
      <t xml:space="preserve">Otwórz pobrany plik a następnie kliknij  w lewym górnym rogu aby zaznaczyć cały arkusz i naciśnij </t>
    </r>
    <r>
      <rPr>
        <b/>
        <sz val="11"/>
        <color theme="1"/>
        <rFont val="Calibri"/>
        <family val="2"/>
        <scheme val="minor"/>
      </rPr>
      <t>CTRL+C</t>
    </r>
  </si>
  <si>
    <r>
      <t xml:space="preserve">Otwórz zakładkę AOP w kalkulatorze kosztów pracy. Kliknij w komórkę A1 w lewym górnym rogu a następnie wklej AOP skrótem klawiaturowym </t>
    </r>
    <r>
      <rPr>
        <b/>
        <sz val="11"/>
        <color theme="1"/>
        <rFont val="Calibri"/>
        <family val="2"/>
        <scheme val="minor"/>
      </rPr>
      <t>CTRL+V</t>
    </r>
  </si>
  <si>
    <r>
      <t xml:space="preserve">Przejdź do arkusza </t>
    </r>
    <r>
      <rPr>
        <b/>
        <sz val="11"/>
        <color theme="1"/>
        <rFont val="Calibri"/>
        <family val="2"/>
        <charset val="238"/>
        <scheme val="minor"/>
      </rPr>
      <t>TPLH PLAN</t>
    </r>
    <r>
      <rPr>
        <sz val="11"/>
        <color theme="1"/>
        <rFont val="Calibri"/>
        <family val="2"/>
        <charset val="238"/>
        <scheme val="minor"/>
      </rPr>
      <t xml:space="preserve"> i wklej otrzymany od </t>
    </r>
    <r>
      <rPr>
        <b/>
        <sz val="11"/>
        <color theme="1"/>
        <rFont val="Calibri"/>
        <family val="2"/>
        <charset val="238"/>
        <scheme val="minor"/>
      </rPr>
      <t>DM</t>
    </r>
    <r>
      <rPr>
        <sz val="11"/>
        <color theme="1"/>
        <rFont val="Calibri"/>
        <family val="2"/>
        <charset val="238"/>
        <scheme val="minor"/>
      </rPr>
      <t xml:space="preserve"> plan TPLH na cały rok. Wklejając użyj funkcji "</t>
    </r>
    <r>
      <rPr>
        <b/>
        <sz val="11"/>
        <color theme="1"/>
        <rFont val="Calibri"/>
        <family val="2"/>
        <charset val="238"/>
        <scheme val="minor"/>
      </rPr>
      <t>wklej wartości</t>
    </r>
    <r>
      <rPr>
        <sz val="11"/>
        <color theme="1"/>
        <rFont val="Calibri"/>
        <family val="2"/>
        <charset val="238"/>
        <scheme val="minor"/>
      </rPr>
      <t>".</t>
    </r>
  </si>
  <si>
    <t>Planowanie nowego miesiąca - TARGET</t>
  </si>
  <si>
    <t>W żółtym polu z listy rozwijanej wybierz swój numer MPK</t>
  </si>
  <si>
    <r>
      <t xml:space="preserve">Z listy rozwijanej wybierz miesiąc, który chcesz zaplanować. </t>
    </r>
    <r>
      <rPr>
        <b/>
        <sz val="11"/>
        <rFont val="Calibri"/>
        <family val="2"/>
        <charset val="238"/>
        <scheme val="minor"/>
      </rPr>
      <t>Wprowadź ilość dni otwartej kawiarni w miesiącu.</t>
    </r>
  </si>
  <si>
    <r>
      <t xml:space="preserve">W kolumnie Target uzupełnij żółte pola: </t>
    </r>
    <r>
      <rPr>
        <b/>
        <sz val="11"/>
        <color theme="1"/>
        <rFont val="Calibri"/>
        <family val="2"/>
        <scheme val="minor"/>
      </rPr>
      <t>Sales, Transactions, Średnią dzienną ilość godzin pracy kawiarni,</t>
    </r>
  </si>
  <si>
    <r>
      <t xml:space="preserve">NC Hours </t>
    </r>
    <r>
      <rPr>
        <sz val="11"/>
        <color theme="1"/>
        <rFont val="Calibri"/>
        <family val="2"/>
        <charset val="238"/>
        <scheme val="minor"/>
      </rPr>
      <t>(z danych otrzymanych w pliku Managers Schedule)</t>
    </r>
    <r>
      <rPr>
        <b/>
        <sz val="11"/>
        <color theme="1"/>
        <rFont val="Calibri"/>
        <family val="2"/>
        <charset val="238"/>
        <scheme val="minor"/>
      </rPr>
      <t>, Training hours, SPLH Target.</t>
    </r>
  </si>
  <si>
    <r>
      <t xml:space="preserve">Wybier </t>
    </r>
    <r>
      <rPr>
        <b/>
        <sz val="11"/>
        <color theme="1"/>
        <rFont val="Calibri"/>
        <family val="2"/>
        <charset val="238"/>
        <scheme val="minor"/>
      </rPr>
      <t xml:space="preserve">Matrix Plan </t>
    </r>
    <r>
      <rPr>
        <sz val="11"/>
        <color theme="1"/>
        <rFont val="Calibri"/>
        <family val="2"/>
        <charset val="238"/>
        <scheme val="minor"/>
      </rPr>
      <t>do któego chcesz się porównywać:</t>
    </r>
  </si>
  <si>
    <r>
      <t xml:space="preserve">Plan A: </t>
    </r>
    <r>
      <rPr>
        <sz val="11"/>
        <color theme="1"/>
        <rFont val="Calibri"/>
        <family val="2"/>
        <charset val="238"/>
        <scheme val="minor"/>
      </rPr>
      <t>TPLH z danych historycznych krajów CCE</t>
    </r>
  </si>
  <si>
    <r>
      <t xml:space="preserve">Plan B: </t>
    </r>
    <r>
      <rPr>
        <sz val="11"/>
        <color theme="1"/>
        <rFont val="Calibri"/>
        <family val="2"/>
        <charset val="238"/>
        <scheme val="minor"/>
      </rPr>
      <t>TPLH z danych historycznych - mieszane rynki CCE i Niemiecki</t>
    </r>
  </si>
  <si>
    <r>
      <t xml:space="preserve">Plan C: </t>
    </r>
    <r>
      <rPr>
        <sz val="11"/>
        <color theme="1"/>
        <rFont val="Calibri"/>
        <family val="2"/>
        <charset val="238"/>
        <scheme val="minor"/>
      </rPr>
      <t>TPLH z danych historycznych z rynku Niemieckiego</t>
    </r>
  </si>
  <si>
    <r>
      <rPr>
        <sz val="11"/>
        <color theme="1"/>
        <rFont val="Calibri"/>
        <family val="2"/>
        <charset val="238"/>
        <scheme val="minor"/>
      </rPr>
      <t xml:space="preserve">W linii </t>
    </r>
    <r>
      <rPr>
        <b/>
        <sz val="11"/>
        <color theme="1"/>
        <rFont val="Calibri"/>
        <family val="2"/>
        <charset val="238"/>
        <scheme val="minor"/>
      </rPr>
      <t xml:space="preserve">TPLH TARGET </t>
    </r>
    <r>
      <rPr>
        <sz val="11"/>
        <color theme="1"/>
        <rFont val="Calibri"/>
        <family val="2"/>
        <charset val="238"/>
        <scheme val="minor"/>
      </rPr>
      <t>wprowadź TPLH który chcesz osiągnąć. Jeżeli zgadzasz się z sugestią, przepisz TPLH SUGGESTED, jeżeli wiesz, że możesz wypracować lepszy TPLH wprowadź wyższą wartość.</t>
    </r>
  </si>
  <si>
    <r>
      <t>Przejdź do części</t>
    </r>
    <r>
      <rPr>
        <b/>
        <sz val="11"/>
        <color theme="1"/>
        <rFont val="Calibri"/>
        <family val="2"/>
        <scheme val="minor"/>
      </rPr>
      <t xml:space="preserve"> Manager Target</t>
    </r>
    <r>
      <rPr>
        <sz val="11"/>
        <color theme="1"/>
        <rFont val="Calibri"/>
        <family val="2"/>
        <charset val="238"/>
        <scheme val="minor"/>
      </rPr>
      <t xml:space="preserve"> i uzupełnij dane zgodnie z opisem w kolumnach.</t>
    </r>
  </si>
  <si>
    <r>
      <rPr>
        <b/>
        <sz val="11"/>
        <color theme="1"/>
        <rFont val="Calibri"/>
        <family val="2"/>
        <charset val="238"/>
        <scheme val="minor"/>
      </rPr>
      <t xml:space="preserve">Stawka brutto </t>
    </r>
    <r>
      <rPr>
        <sz val="11"/>
        <color theme="1"/>
        <rFont val="Calibri"/>
        <family val="2"/>
        <charset val="238"/>
        <scheme val="minor"/>
      </rPr>
      <t>będzie widoczna tylko w momencie wprowadzenia jej do komórki,</t>
    </r>
  </si>
  <si>
    <r>
      <t xml:space="preserve">poproś swojego </t>
    </r>
    <r>
      <rPr>
        <b/>
        <sz val="11"/>
        <color theme="1"/>
        <rFont val="Calibri"/>
        <family val="2"/>
        <charset val="238"/>
        <scheme val="minor"/>
      </rPr>
      <t>SM</t>
    </r>
    <r>
      <rPr>
        <sz val="11"/>
        <color theme="1"/>
        <rFont val="Calibri"/>
        <family val="2"/>
        <charset val="238"/>
        <scheme val="minor"/>
      </rPr>
      <t xml:space="preserve"> o wprowadzenie stawek. Wartości dodatnie wprowadzone do komórki</t>
    </r>
  </si>
  <si>
    <t>odznaczą się zielonym "ptaszkiem".</t>
  </si>
  <si>
    <r>
      <t xml:space="preserve">Kolumna </t>
    </r>
    <r>
      <rPr>
        <b/>
        <sz val="11"/>
        <color theme="1"/>
        <rFont val="Calibri"/>
        <family val="2"/>
        <scheme val="minor"/>
      </rPr>
      <t xml:space="preserve">Planowany czas pracy </t>
    </r>
    <r>
      <rPr>
        <sz val="11"/>
        <color theme="1"/>
        <rFont val="Calibri"/>
        <family val="2"/>
        <charset val="238"/>
        <scheme val="minor"/>
      </rPr>
      <t>służy do wpisania aktualnych godzin pracy.</t>
    </r>
  </si>
  <si>
    <r>
      <t xml:space="preserve">Kolumna </t>
    </r>
    <r>
      <rPr>
        <b/>
        <sz val="11"/>
        <color theme="1"/>
        <rFont val="Calibri"/>
        <family val="2"/>
        <scheme val="minor"/>
      </rPr>
      <t>Zwolnienia lekarskie</t>
    </r>
    <r>
      <rPr>
        <sz val="11"/>
        <color theme="1"/>
        <rFont val="Calibri"/>
        <family val="2"/>
        <charset val="238"/>
        <scheme val="minor"/>
      </rPr>
      <t xml:space="preserve"> służy do wpisania godzin zwolnienia lekarskiego.</t>
    </r>
  </si>
  <si>
    <r>
      <t xml:space="preserve">Kolumna </t>
    </r>
    <r>
      <rPr>
        <b/>
        <sz val="11"/>
        <color theme="1"/>
        <rFont val="Calibri"/>
        <family val="2"/>
        <scheme val="minor"/>
      </rPr>
      <t>Urlop</t>
    </r>
    <r>
      <rPr>
        <sz val="11"/>
        <color theme="1"/>
        <rFont val="Calibri"/>
        <family val="2"/>
        <charset val="238"/>
        <scheme val="minor"/>
      </rPr>
      <t xml:space="preserve"> służy do wpisania zaplanowanych godzin urlopowych.</t>
    </r>
  </si>
  <si>
    <t>Suma planowanego czasu pracy, zwonienia lekarskiego i urlopu powinna się równać etatowi w danym miesiącu (kolor neutralny komórki).</t>
  </si>
  <si>
    <r>
      <t xml:space="preserve">Kolorem jasnym czerwonym zostały oznaczone </t>
    </r>
    <r>
      <rPr>
        <b/>
        <sz val="11"/>
        <color theme="1"/>
        <rFont val="Calibri"/>
        <family val="2"/>
        <charset val="238"/>
        <scheme val="minor"/>
      </rPr>
      <t>niedogodziny</t>
    </r>
    <r>
      <rPr>
        <sz val="11"/>
        <color theme="1"/>
        <rFont val="Calibri"/>
        <family val="2"/>
        <charset val="238"/>
        <scheme val="minor"/>
      </rPr>
      <t xml:space="preserve">, pomarańczowym - </t>
    </r>
    <r>
      <rPr>
        <b/>
        <sz val="11"/>
        <color theme="1"/>
        <rFont val="Calibri"/>
        <family val="2"/>
        <charset val="238"/>
        <scheme val="minor"/>
      </rPr>
      <t>nadgodziny</t>
    </r>
    <r>
      <rPr>
        <sz val="11"/>
        <color theme="1"/>
        <rFont val="Calibri"/>
        <family val="2"/>
        <charset val="238"/>
        <scheme val="minor"/>
      </rPr>
      <t>. Do wyjaśnienia na DOS+</t>
    </r>
  </si>
  <si>
    <r>
      <t xml:space="preserve">Jeżeli Twój manager jest objęty skróconym czasem pracy w związku z niepełnosprawnością (max 7h zmiana) wybierz </t>
    </r>
    <r>
      <rPr>
        <b/>
        <sz val="11"/>
        <color theme="1"/>
        <rFont val="Calibri"/>
        <family val="2"/>
        <charset val="238"/>
        <scheme val="minor"/>
      </rPr>
      <t xml:space="preserve">Tak </t>
    </r>
    <r>
      <rPr>
        <sz val="11"/>
        <color theme="1"/>
        <rFont val="Calibri"/>
        <family val="2"/>
        <charset val="238"/>
        <scheme val="minor"/>
      </rPr>
      <t xml:space="preserve">w kolumnie </t>
    </r>
    <r>
      <rPr>
        <b/>
        <sz val="11"/>
        <color theme="1"/>
        <rFont val="Calibri"/>
        <family val="2"/>
        <charset val="238"/>
        <scheme val="minor"/>
      </rPr>
      <t>ON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</si>
  <si>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Pole </t>
    </r>
    <r>
      <rPr>
        <b/>
        <sz val="11"/>
        <color theme="1"/>
        <rFont val="Calibri"/>
        <family val="2"/>
        <scheme val="minor"/>
      </rPr>
      <t>Holiday accrual</t>
    </r>
    <r>
      <rPr>
        <sz val="11"/>
        <color theme="1"/>
        <rFont val="Calibri"/>
        <family val="2"/>
        <scheme val="minor"/>
      </rPr>
      <t xml:space="preserve"> obliczy się na podstawie wypełnionego arkusza "Rezerwa urlopowa". Instrukcja wypełnienia znajduje się na tym arkuszu. Poproś SM o pomoc.</t>
    </r>
  </si>
  <si>
    <r>
      <t xml:space="preserve">Wprowadzając Manager Bench, poprość SM/DM o wprowadzenie stawki managera z bench i ustalcie </t>
    </r>
    <r>
      <rPr>
        <b/>
        <sz val="11"/>
        <color theme="1"/>
        <rFont val="Calibri"/>
        <family val="2"/>
        <charset val="238"/>
        <scheme val="minor"/>
      </rPr>
      <t>wymiar etatu</t>
    </r>
    <r>
      <rPr>
        <sz val="11"/>
        <color theme="1"/>
        <rFont val="Calibri"/>
        <family val="2"/>
        <charset val="238"/>
        <scheme val="minor"/>
      </rPr>
      <t>, jako procent rozksięgowania managera w regionie.</t>
    </r>
  </si>
  <si>
    <r>
      <t xml:space="preserve">Przejdź do zakładki </t>
    </r>
    <r>
      <rPr>
        <b/>
        <sz val="11"/>
        <color theme="1"/>
        <rFont val="Calibri"/>
        <family val="2"/>
        <scheme val="minor"/>
      </rPr>
      <t>BONUS</t>
    </r>
    <r>
      <rPr>
        <sz val="11"/>
        <color theme="1"/>
        <rFont val="Calibri"/>
        <family val="2"/>
        <charset val="238"/>
        <scheme val="minor"/>
      </rPr>
      <t xml:space="preserve"> i uzupełnij wartości </t>
    </r>
    <r>
      <rPr>
        <b/>
        <sz val="11"/>
        <color theme="1"/>
        <rFont val="Calibri"/>
        <family val="2"/>
        <scheme val="minor"/>
      </rPr>
      <t>Sales i Ops Profit</t>
    </r>
    <r>
      <rPr>
        <sz val="11"/>
        <color theme="1"/>
        <rFont val="Calibri"/>
        <family val="2"/>
        <charset val="238"/>
        <scheme val="minor"/>
      </rPr>
      <t xml:space="preserve">. Dzięki temu excel wyliczy sugerowaną premię i podpowie Ci ją w kolumnie </t>
    </r>
    <r>
      <rPr>
        <b/>
        <sz val="11"/>
        <color theme="1"/>
        <rFont val="Calibri"/>
        <family val="2"/>
        <scheme val="minor"/>
      </rPr>
      <t>Bonus Manager</t>
    </r>
  </si>
  <si>
    <r>
      <t xml:space="preserve">W kolumnie </t>
    </r>
    <r>
      <rPr>
        <b/>
        <sz val="11"/>
        <color theme="1"/>
        <rFont val="Calibri"/>
        <family val="2"/>
        <scheme val="minor"/>
      </rPr>
      <t xml:space="preserve">Bonus Plan </t>
    </r>
    <r>
      <rPr>
        <sz val="11"/>
        <color theme="1"/>
        <rFont val="Calibri"/>
        <family val="2"/>
        <scheme val="minor"/>
      </rPr>
      <t>możesz albo wpisać wartość sugerowanego bonusa, albo zaplanować inny jeśli wystąpiła jakaś sytuacja szczególna.</t>
    </r>
  </si>
  <si>
    <r>
      <rPr>
        <i/>
        <sz val="11"/>
        <color theme="1"/>
        <rFont val="Calibri"/>
        <family val="2"/>
        <scheme val="minor"/>
      </rPr>
      <t xml:space="preserve">*Jeśli koszt któregoś managera jest rozksięgowywany na kilka lokalizacji w kolumnie </t>
    </r>
    <r>
      <rPr>
        <b/>
        <i/>
        <sz val="11"/>
        <color theme="1"/>
        <rFont val="Calibri"/>
        <family val="2"/>
        <scheme val="minor"/>
      </rPr>
      <t>Store cost</t>
    </r>
    <r>
      <rPr>
        <i/>
        <sz val="11"/>
        <color theme="1"/>
        <rFont val="Calibri"/>
        <family val="2"/>
        <scheme val="minor"/>
      </rPr>
      <t xml:space="preserve"> możesz określij jaki procent wynagrodzenia stanowi koszt Twojej kawiarni</t>
    </r>
  </si>
  <si>
    <r>
      <t xml:space="preserve">Wypełnij analogicznie część dla </t>
    </r>
    <r>
      <rPr>
        <b/>
        <sz val="11"/>
        <color theme="1"/>
        <rFont val="Calibri"/>
        <family val="2"/>
        <scheme val="minor"/>
      </rPr>
      <t>Baristów na umowie o pracę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b/>
        <sz val="11"/>
        <color theme="1"/>
        <rFont val="Calibri"/>
        <family val="2"/>
        <scheme val="minor"/>
      </rPr>
      <t xml:space="preserve">Baristów na umowie zlecenie. </t>
    </r>
    <r>
      <rPr>
        <sz val="11"/>
        <color theme="1"/>
        <rFont val="Calibri"/>
        <family val="2"/>
        <scheme val="minor"/>
      </rPr>
      <t xml:space="preserve">Kolumna Etat podpowie Ci ile minimalnie godzin musi wypracować dany partner. </t>
    </r>
  </si>
  <si>
    <t>Jeśli zaplanujesz partnerowi za mało lub za dużo godzin excel poinformuje Cię o tym wyświetlając komunikat</t>
  </si>
  <si>
    <r>
      <t xml:space="preserve">Również i w tym wypadku posiadając Partnera z niepełnosprawnością zmniejszającą etat, wybierz </t>
    </r>
    <r>
      <rPr>
        <b/>
        <sz val="11"/>
        <color theme="1"/>
        <rFont val="Calibri"/>
        <family val="2"/>
        <charset val="238"/>
        <scheme val="minor"/>
      </rPr>
      <t>Tak</t>
    </r>
    <r>
      <rPr>
        <sz val="11"/>
        <color theme="1"/>
        <rFont val="Calibri"/>
        <family val="2"/>
        <charset val="238"/>
        <scheme val="minor"/>
      </rPr>
      <t xml:space="preserve"> w kolumnie </t>
    </r>
    <r>
      <rPr>
        <b/>
        <sz val="11"/>
        <color theme="1"/>
        <rFont val="Calibri"/>
        <family val="2"/>
        <charset val="238"/>
        <scheme val="minor"/>
      </rPr>
      <t>ON</t>
    </r>
    <r>
      <rPr>
        <sz val="11"/>
        <color theme="1"/>
        <rFont val="Calibri"/>
        <family val="2"/>
        <charset val="238"/>
        <scheme val="minor"/>
      </rPr>
      <t>, aby dopasować wysokość etatu.</t>
    </r>
  </si>
  <si>
    <r>
      <t xml:space="preserve">W sekcji </t>
    </r>
    <r>
      <rPr>
        <b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charset val="238"/>
        <scheme val="minor"/>
      </rPr>
      <t xml:space="preserve"> zaplanuj wysokość Bonusów na dany miesiąc oraz kosztów ADP czy opłat związanych z badaniami lekarskimi.</t>
    </r>
  </si>
  <si>
    <r>
      <t xml:space="preserve">Oktreśl wysokość </t>
    </r>
    <r>
      <rPr>
        <b/>
        <sz val="11"/>
        <color theme="1"/>
        <rFont val="Calibri"/>
        <family val="2"/>
        <charset val="238"/>
        <scheme val="minor"/>
      </rPr>
      <t xml:space="preserve">PPK </t>
    </r>
    <r>
      <rPr>
        <sz val="11"/>
        <color theme="1"/>
        <rFont val="Calibri"/>
        <family val="2"/>
        <charset val="238"/>
        <scheme val="minor"/>
      </rPr>
      <t>dla Managerów i Crew jeżeli występuje.</t>
    </r>
  </si>
  <si>
    <r>
      <t xml:space="preserve">W wierszu </t>
    </r>
    <r>
      <rPr>
        <b/>
        <sz val="11"/>
        <color theme="1"/>
        <rFont val="Calibri"/>
        <family val="2"/>
        <charset val="238"/>
        <scheme val="minor"/>
      </rPr>
      <t>Drivers</t>
    </r>
    <r>
      <rPr>
        <sz val="11"/>
        <color theme="1"/>
        <rFont val="Calibri"/>
        <family val="2"/>
        <charset val="238"/>
        <scheme val="minor"/>
      </rPr>
      <t xml:space="preserve"> zaplanuj prowizję dla agregatorów (np. Glovo, UberEats, PysznePL).</t>
    </r>
  </si>
  <si>
    <r>
      <t xml:space="preserve">Na podstawie wprowadzonych przez Ciebie danych zobaczysz po lewej stronie swoje główne </t>
    </r>
    <r>
      <rPr>
        <b/>
        <sz val="11"/>
        <color theme="1"/>
        <rFont val="Calibri"/>
        <family val="2"/>
        <scheme val="minor"/>
      </rPr>
      <t>KPI</t>
    </r>
    <r>
      <rPr>
        <sz val="11"/>
        <color theme="1"/>
        <rFont val="Calibri"/>
        <family val="2"/>
        <charset val="238"/>
        <scheme val="minor"/>
      </rPr>
      <t xml:space="preserve"> oraz </t>
    </r>
    <r>
      <rPr>
        <b/>
        <sz val="11"/>
        <color theme="1"/>
        <rFont val="Calibri"/>
        <family val="2"/>
        <scheme val="minor"/>
      </rPr>
      <t xml:space="preserve">P&amp;L. </t>
    </r>
    <r>
      <rPr>
        <sz val="11"/>
        <color theme="1"/>
        <rFont val="Calibri"/>
        <family val="2"/>
        <scheme val="minor"/>
      </rPr>
      <t>Będziesz mógł porównać wartości z tymi zaplanowanymi w AOP</t>
    </r>
  </si>
  <si>
    <t>Podsumowanie miesiąca - ESTIMATION</t>
  </si>
  <si>
    <r>
      <t xml:space="preserve">W kolumnie </t>
    </r>
    <r>
      <rPr>
        <b/>
        <sz val="11"/>
        <color theme="1"/>
        <rFont val="Calibri"/>
        <family val="2"/>
        <scheme val="minor"/>
      </rPr>
      <t>Estimation</t>
    </r>
    <r>
      <rPr>
        <sz val="11"/>
        <color theme="1"/>
        <rFont val="Calibri"/>
        <family val="2"/>
        <charset val="238"/>
        <scheme val="minor"/>
      </rPr>
      <t xml:space="preserve"> wpisz osiągnięte wyniki: </t>
    </r>
    <r>
      <rPr>
        <b/>
        <sz val="11"/>
        <color theme="1"/>
        <rFont val="Calibri"/>
        <family val="2"/>
        <scheme val="minor"/>
      </rPr>
      <t>Sales, Transactions, NC Hours, Training hours</t>
    </r>
  </si>
  <si>
    <r>
      <t>W części Manager Estimation uzupełnij ilości godzin:</t>
    </r>
    <r>
      <rPr>
        <b/>
        <sz val="11"/>
        <color theme="1"/>
        <rFont val="Calibri"/>
        <family val="2"/>
        <scheme val="minor"/>
      </rPr>
      <t xml:space="preserve"> Rzeczywisty czas pracy, Zwolnienia lekarskie, Urlop </t>
    </r>
    <r>
      <rPr>
        <sz val="11"/>
        <color theme="1"/>
        <rFont val="Calibri"/>
        <family val="2"/>
        <scheme val="minor"/>
      </rPr>
      <t xml:space="preserve">oraz </t>
    </r>
    <r>
      <rPr>
        <b/>
        <sz val="11"/>
        <color theme="1"/>
        <rFont val="Calibri"/>
        <family val="2"/>
        <scheme val="minor"/>
      </rPr>
      <t>Estimated bonus</t>
    </r>
  </si>
  <si>
    <r>
      <t xml:space="preserve"> oraz </t>
    </r>
    <r>
      <rPr>
        <b/>
        <sz val="11"/>
        <color theme="1"/>
        <rFont val="Calibri"/>
        <family val="2"/>
        <charset val="238"/>
        <scheme val="minor"/>
      </rPr>
      <t>rzeczywistą wartość rezerwy urlopowej</t>
    </r>
    <r>
      <rPr>
        <sz val="11"/>
        <color theme="1"/>
        <rFont val="Calibri"/>
        <family val="2"/>
        <charset val="238"/>
        <scheme val="minor"/>
      </rPr>
      <t>.</t>
    </r>
  </si>
  <si>
    <r>
      <t>W częściach</t>
    </r>
    <r>
      <rPr>
        <b/>
        <sz val="11"/>
        <color theme="1"/>
        <rFont val="Calibri"/>
        <family val="2"/>
        <scheme val="minor"/>
      </rPr>
      <t xml:space="preserve"> Umowa o pracę </t>
    </r>
    <r>
      <rPr>
        <sz val="11"/>
        <color theme="1"/>
        <rFont val="Calibri"/>
        <family val="2"/>
        <scheme val="minor"/>
      </rPr>
      <t xml:space="preserve">i </t>
    </r>
    <r>
      <rPr>
        <b/>
        <sz val="11"/>
        <color theme="1"/>
        <rFont val="Calibri"/>
        <family val="2"/>
        <scheme val="minor"/>
      </rPr>
      <t>Umowa zlecenie uzupełnij Czas pracy, Urlop i Zwolnienie lekarskie.</t>
    </r>
  </si>
  <si>
    <r>
      <t xml:space="preserve">Wpisz również wysokość przyznanego partnerom </t>
    </r>
    <r>
      <rPr>
        <b/>
        <sz val="11"/>
        <color theme="1"/>
        <rFont val="Calibri"/>
        <family val="2"/>
        <scheme val="minor"/>
      </rPr>
      <t>Bonusa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b/>
        <sz val="11"/>
        <color theme="1"/>
        <rFont val="Calibri"/>
        <family val="2"/>
        <scheme val="minor"/>
      </rPr>
      <t>Bonus KP</t>
    </r>
  </si>
  <si>
    <r>
      <t>I rzeczywistą</t>
    </r>
    <r>
      <rPr>
        <b/>
        <sz val="11"/>
        <color theme="1"/>
        <rFont val="Calibri"/>
        <family val="2"/>
        <charset val="238"/>
        <scheme val="minor"/>
      </rPr>
      <t xml:space="preserve"> wartość prowizji agregatorów</t>
    </r>
    <r>
      <rPr>
        <sz val="11"/>
        <color theme="1"/>
        <rFont val="Calibri"/>
        <family val="2"/>
        <charset val="238"/>
        <scheme val="minor"/>
      </rPr>
      <t>.</t>
    </r>
  </si>
  <si>
    <t>Zakładka staffing</t>
  </si>
  <si>
    <t>Zakładka staffing ma nam pomóc w długoterminowym planowaniu zatrudnienia w kawiarni.</t>
  </si>
  <si>
    <r>
      <t xml:space="preserve">Podobnie jak w cześci CALCULATOR, zaplanuj </t>
    </r>
    <r>
      <rPr>
        <b/>
        <sz val="11"/>
        <color theme="1"/>
        <rFont val="Calibri"/>
        <family val="2"/>
        <charset val="238"/>
        <scheme val="minor"/>
      </rPr>
      <t xml:space="preserve">Sales </t>
    </r>
    <r>
      <rPr>
        <sz val="11"/>
        <color theme="1"/>
        <rFont val="Calibri"/>
        <family val="2"/>
        <charset val="238"/>
        <scheme val="minor"/>
      </rPr>
      <t>na podstawie AOP lub DOS+, jeżeli jest już Ci znany.</t>
    </r>
  </si>
  <si>
    <r>
      <t xml:space="preserve">Wprowadź pozostałe dane: </t>
    </r>
    <r>
      <rPr>
        <b/>
        <sz val="11"/>
        <color theme="1"/>
        <rFont val="Calibri"/>
        <family val="2"/>
        <charset val="238"/>
        <scheme val="minor"/>
      </rPr>
      <t>Transaction, Open Days Store, AVG Daily Openieng Store.</t>
    </r>
  </si>
  <si>
    <r>
      <t xml:space="preserve">Wybierz </t>
    </r>
    <r>
      <rPr>
        <b/>
        <sz val="11"/>
        <color theme="1"/>
        <rFont val="Calibri"/>
        <family val="2"/>
        <charset val="238"/>
        <scheme val="minor"/>
      </rPr>
      <t>Matrix Plan</t>
    </r>
    <r>
      <rPr>
        <sz val="11"/>
        <color theme="1"/>
        <rFont val="Calibri"/>
        <family val="2"/>
        <charset val="238"/>
        <scheme val="minor"/>
      </rPr>
      <t xml:space="preserve"> dla sugerowanego TPLH. Możesz wybrać na każdy miesiąc inny Plan.</t>
    </r>
  </si>
  <si>
    <t>Otrzymasz Sugerowany TPLH i na jego podstawie sugerowany Budżet Godzin.</t>
  </si>
  <si>
    <t>Sam zadecyduj, czy chcesz wybrać TPLH zgodny z sugestią czy wypracujesz wyższy TPLH.</t>
  </si>
  <si>
    <r>
      <t xml:space="preserve">Wprowadź tę wartość w wierszu </t>
    </r>
    <r>
      <rPr>
        <b/>
        <sz val="11"/>
        <color theme="1"/>
        <rFont val="Calibri"/>
        <family val="2"/>
        <charset val="238"/>
        <scheme val="minor"/>
      </rPr>
      <t>TPLH Target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</si>
  <si>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Zaplanuj jak wysoki planujesz Staffing wprowadzając </t>
    </r>
    <r>
      <rPr>
        <b/>
        <sz val="11"/>
        <color theme="1"/>
        <rFont val="Calibri"/>
        <family val="2"/>
        <charset val="238"/>
        <scheme val="minor"/>
      </rPr>
      <t>Staffing Target</t>
    </r>
    <r>
      <rPr>
        <sz val="11"/>
        <color theme="1"/>
        <rFont val="Calibri"/>
        <family val="2"/>
        <charset val="238"/>
        <scheme val="minor"/>
      </rPr>
      <t xml:space="preserve"> w wartości procentowej.</t>
    </r>
  </si>
  <si>
    <t>Otrzymasz Budżet godzin odpowiadający wprowadzonym przez Ciebie niżej danym.</t>
  </si>
  <si>
    <r>
      <t xml:space="preserve">Wartość </t>
    </r>
    <r>
      <rPr>
        <b/>
        <sz val="11"/>
        <color theme="1"/>
        <rFont val="Calibri"/>
        <family val="2"/>
        <charset val="238"/>
        <scheme val="minor"/>
      </rPr>
      <t>FTE</t>
    </r>
    <r>
      <rPr>
        <sz val="11"/>
        <color theme="1"/>
        <rFont val="Calibri"/>
        <family val="2"/>
        <charset val="238"/>
        <scheme val="minor"/>
      </rPr>
      <t xml:space="preserve"> mówi ile etatów potrzebujesz i ile posiadasz, a ostatni wiersz informuje, jak bardzo różnisz się od swojego planowania w wymiarze godzinowym.</t>
    </r>
  </si>
  <si>
    <t>Kolor czerwony oznacza konieczność zatrudnienia nowego Partnera na sugerowaną ilość godzin, zielony informuje, że posiadasz jeszcze wyższy Staffing niż zaplanowany.</t>
  </si>
  <si>
    <t>Poniżej wprowadż dane osobowe, stanowiska, etaty (100% to pełny etat). Automatycznie otrzymasz ilość godzin do wypracowania. Zaplanuj Urlopy w kolumnie Holiday (wyrażone godzinowo).</t>
  </si>
  <si>
    <r>
      <t xml:space="preserve">Ilość godzin urlopu atuomatycznie odejmie </t>
    </r>
    <r>
      <rPr>
        <b/>
        <sz val="11"/>
        <color theme="1"/>
        <rFont val="Calibri"/>
        <family val="2"/>
        <charset val="238"/>
        <scheme val="minor"/>
      </rPr>
      <t>working hours</t>
    </r>
    <r>
      <rPr>
        <sz val="11"/>
        <color theme="1"/>
        <rFont val="Calibri"/>
        <family val="2"/>
        <charset val="238"/>
        <scheme val="minor"/>
      </rPr>
      <t xml:space="preserve">. Zaplanuj także godziny </t>
    </r>
    <r>
      <rPr>
        <b/>
        <sz val="11"/>
        <color theme="1"/>
        <rFont val="Calibri"/>
        <family val="2"/>
        <charset val="238"/>
        <scheme val="minor"/>
      </rPr>
      <t>NC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b/>
        <sz val="11"/>
        <color theme="1"/>
        <rFont val="Calibri"/>
        <family val="2"/>
        <charset val="238"/>
        <scheme val="minor"/>
      </rPr>
      <t>Treningi</t>
    </r>
    <r>
      <rPr>
        <sz val="11"/>
        <color theme="1"/>
        <rFont val="Calibri"/>
        <family val="2"/>
        <charset val="238"/>
        <scheme val="minor"/>
      </rPr>
      <t xml:space="preserve"> dla każdego członka załogi. Te dane także obniżą ilość dostępnych godzin w budżecie.</t>
    </r>
  </si>
  <si>
    <t>Planuj zawsze z wyprzedzieniem trzymiesięcznym, biorąc pod uwagę ewentualne rozwiązanie umowy przynajmniej co drugi miesiąc, dzięki temu będziesz mieć Staffing zawsze pod kontrolą.</t>
  </si>
  <si>
    <t>Drukowanie</t>
  </si>
  <si>
    <t>Wersja do druku jest wyskalowana do poniższego widoku. Pozostałe strony nie będą się drukować.</t>
  </si>
  <si>
    <t>Krok 1</t>
  </si>
  <si>
    <t>Korzystając z raportu P&amp;L, przejdź do G&amp;L Listingu w na koncie Payroll Manager</t>
  </si>
  <si>
    <t>Krok 2</t>
  </si>
  <si>
    <t>Przepisz kwotę rezerwy z poprzedniego miesiąca w poniższą tabelkę</t>
  </si>
  <si>
    <t>Krok 3</t>
  </si>
  <si>
    <t xml:space="preserve">Przejdź do AmReports -&gt; Online Reports -&gt; Monthly Reports -&gt; Urlopy </t>
  </si>
  <si>
    <t>Do tabelki poniżej przepisz wartosci z kolumny "Urlop Rezerwa (na dd.mm.rrrr)" dla SM i podwładnych.</t>
  </si>
  <si>
    <t>NARZĘDZIE</t>
  </si>
  <si>
    <t>UZUPEŁNIJ tylko żółte pola</t>
  </si>
  <si>
    <t>MPK restauracji</t>
  </si>
  <si>
    <t>Nazwa restauracji</t>
  </si>
  <si>
    <t>rezerwa na miesiąc</t>
  </si>
  <si>
    <t>lp.</t>
  </si>
  <si>
    <t>Nazwisko i Imię pracownika</t>
  </si>
  <si>
    <t>ilość dni urlopu niewykorzystanego /dni/</t>
  </si>
  <si>
    <t>stawka miesięczna wynagrodzenia brutto /zł/</t>
  </si>
  <si>
    <t>kwota rezerwy 
konto księgowe 40510610</t>
  </si>
  <si>
    <t>składka ZUS
konto księgowe 40610110</t>
  </si>
  <si>
    <t xml:space="preserve">RAZEM rezerwa na niewykorzystany urlop (Razem rezerwa + ZUS) </t>
  </si>
  <si>
    <t>Manager Bench</t>
  </si>
  <si>
    <t>Manager Maternity</t>
  </si>
  <si>
    <t>RAZEM</t>
  </si>
  <si>
    <t>wprowadź wartość rezerwy z zeszłego (starego) miesiąca</t>
  </si>
  <si>
    <t>Rezerwa z nowego miesiąca</t>
  </si>
  <si>
    <t>Kwota do raportu DOS+</t>
  </si>
  <si>
    <t>KAWIARNIA</t>
  </si>
  <si>
    <t>MANAGER TARGET</t>
  </si>
  <si>
    <t>Imię i Nazwisko</t>
  </si>
  <si>
    <t>Stanowisko</t>
  </si>
  <si>
    <t>Wymiar etatu</t>
  </si>
  <si>
    <t>Stawka brutto</t>
  </si>
  <si>
    <t>Planowany czas pracy</t>
  </si>
  <si>
    <t>Zwolnienie lekarskie</t>
  </si>
  <si>
    <t>Urlop</t>
  </si>
  <si>
    <t>Bonus Plan</t>
  </si>
  <si>
    <t>ON</t>
  </si>
  <si>
    <t>MANAGER ESTIMATION</t>
  </si>
  <si>
    <t>Rzeczywisty czas pracy</t>
  </si>
  <si>
    <t>Bonus Estimation</t>
  </si>
  <si>
    <t>Store cost</t>
  </si>
  <si>
    <t>Etat</t>
  </si>
  <si>
    <t>VARIABLES</t>
  </si>
  <si>
    <t>MANAGER - TARGET</t>
  </si>
  <si>
    <t>Basic salary manager</t>
  </si>
  <si>
    <t>Social insurance</t>
  </si>
  <si>
    <t>FGŚP + Fundusz Pracy</t>
  </si>
  <si>
    <t>Equivalent</t>
  </si>
  <si>
    <t>PFRON</t>
  </si>
  <si>
    <t>Comp&amp;Ben</t>
  </si>
  <si>
    <t>JPA Accrual</t>
  </si>
  <si>
    <t>COL TOTAL</t>
  </si>
  <si>
    <t>MANAGER - SICK LEAVE</t>
  </si>
  <si>
    <t>Social insurance:</t>
  </si>
  <si>
    <t>Sick Leave Salary</t>
  </si>
  <si>
    <t>MANAGER - ESTIMATION</t>
  </si>
  <si>
    <t xml:space="preserve">Dawid Szeluga </t>
  </si>
  <si>
    <t>SM</t>
  </si>
  <si>
    <t>SOCIAL INSURANCE</t>
  </si>
  <si>
    <t>COL</t>
  </si>
  <si>
    <t>TARGET</t>
  </si>
  <si>
    <t>AOP</t>
  </si>
  <si>
    <t>ESTIMATION</t>
  </si>
  <si>
    <t>P&amp;L</t>
  </si>
  <si>
    <t>Dawid Apel</t>
  </si>
  <si>
    <t>ASM</t>
  </si>
  <si>
    <t>GROSS BASE SALARY/ETAT* SICK LEAVE HOURS *20%
I o 20% zmniejsza się Basic Salary Manager i Social Insurance w Manager - Target</t>
  </si>
  <si>
    <t>MONTH</t>
  </si>
  <si>
    <t>WRZESIEŃ</t>
  </si>
  <si>
    <t xml:space="preserve">Zuzanna Makowska </t>
  </si>
  <si>
    <t>SSV-PM</t>
  </si>
  <si>
    <t>Weronika Bieńkowska</t>
  </si>
  <si>
    <t>SSV</t>
  </si>
  <si>
    <t>OPEN DAYS STORE</t>
  </si>
  <si>
    <t>Nikola Studzińska</t>
  </si>
  <si>
    <t>FULL CONTRACT IS (IN HOURS)</t>
  </si>
  <si>
    <t>Kamil Kamiński</t>
  </si>
  <si>
    <t>SALES</t>
  </si>
  <si>
    <t>TRANSACTIONS</t>
  </si>
  <si>
    <t>AVG DAILY OPENING HOURS</t>
  </si>
  <si>
    <t>EQUIVALENT CREW</t>
  </si>
  <si>
    <t>DM costs</t>
  </si>
  <si>
    <t>COL%</t>
  </si>
  <si>
    <t>DOS+ accrual</t>
  </si>
  <si>
    <t>Holiday accrual</t>
  </si>
  <si>
    <t>ETAT</t>
  </si>
  <si>
    <t>FIXED COL</t>
  </si>
  <si>
    <t>MANAGER TOTAL:</t>
  </si>
  <si>
    <t>UMOWA O PRACĘ - TARGET</t>
  </si>
  <si>
    <t>UMOWA O PRACĘ - ESTIMATION</t>
  </si>
  <si>
    <t>Bonus</t>
  </si>
  <si>
    <t>ALERT:</t>
  </si>
  <si>
    <t>Hourly Job - Barista</t>
  </si>
  <si>
    <t>Basic salary crew</t>
  </si>
  <si>
    <t>PFRON:</t>
  </si>
  <si>
    <t>UMOWA O PRACĘ - PLAN - SICK LEAVE</t>
  </si>
  <si>
    <t>UMOWA O PRACĘ - HOLIDAY - TARGET</t>
  </si>
  <si>
    <t>UMOWA O PRACĘ - ESTIMATION - SICK LEAVE</t>
  </si>
  <si>
    <t>UMOWA O PRACĘ - HOLIDAY - ESTIMATION</t>
  </si>
  <si>
    <t>MANAGER WORKING HOURS</t>
  </si>
  <si>
    <t>CREW WORKING HOURS</t>
  </si>
  <si>
    <t>Hanna Domachowska</t>
  </si>
  <si>
    <t>BT</t>
  </si>
  <si>
    <t>TPLH (Total)</t>
  </si>
  <si>
    <t>Gabriela Znojek</t>
  </si>
  <si>
    <t>B</t>
  </si>
  <si>
    <t>TPLH (Coverage)</t>
  </si>
  <si>
    <t>TOTAL CONTRACTS</t>
  </si>
  <si>
    <t>NON COVERAGE</t>
  </si>
  <si>
    <t>HOLIDAY</t>
  </si>
  <si>
    <t>SICK LEAVE</t>
  </si>
  <si>
    <t>TRAINING</t>
  </si>
  <si>
    <t>MATRIX PLAN</t>
  </si>
  <si>
    <t>Plan A</t>
  </si>
  <si>
    <t>TPLH SUGGESTED</t>
  </si>
  <si>
    <t>TPLH TARGET</t>
  </si>
  <si>
    <t>TOTAL WORKING HOURS</t>
  </si>
  <si>
    <t>WORKING HOURS BUDGET</t>
  </si>
  <si>
    <t xml:space="preserve"> </t>
  </si>
  <si>
    <t>Check what would be the TPLH improvement impact on your store COL</t>
  </si>
  <si>
    <t>TPLH improvement</t>
  </si>
  <si>
    <t>COL savings</t>
  </si>
  <si>
    <t>COL % influence</t>
  </si>
  <si>
    <t>UMOWA O PRACĘ TOTAL:</t>
  </si>
  <si>
    <t>7.0</t>
  </si>
  <si>
    <t>UMOWA ZLECENIE - TARGET</t>
  </si>
  <si>
    <t>UMOWA ZLECENIE- ESTIMATION</t>
  </si>
  <si>
    <t>UMOWA ZLECENIE- TARGET</t>
  </si>
  <si>
    <t>PLAN</t>
  </si>
  <si>
    <t>Wiktoria Lenart</t>
  </si>
  <si>
    <t>Wiktoria Walczak</t>
  </si>
  <si>
    <t>MANAGER</t>
  </si>
  <si>
    <t>Marysia Szulczyk</t>
  </si>
  <si>
    <t>Payroll Manager</t>
  </si>
  <si>
    <t>Zuzanna Dworak</t>
  </si>
  <si>
    <t>Bonus Manager</t>
  </si>
  <si>
    <t>Aleksandra Płużycka</t>
  </si>
  <si>
    <t>Social Contribution Manager</t>
  </si>
  <si>
    <t>Maja Piasecka</t>
  </si>
  <si>
    <t>Disability Fund Manager</t>
  </si>
  <si>
    <t>Julia Zimnicka</t>
  </si>
  <si>
    <t>Social Fund Manager</t>
  </si>
  <si>
    <t>Julia Gnieciak</t>
  </si>
  <si>
    <t>Other Manager</t>
  </si>
  <si>
    <t>Magdalena Wiśniewska</t>
  </si>
  <si>
    <t>CREW</t>
  </si>
  <si>
    <t>Zuzanna Gzula</t>
  </si>
  <si>
    <t>Payroll Crew</t>
  </si>
  <si>
    <t>Gabriela Suwald</t>
  </si>
  <si>
    <t>Basic Salary Crew</t>
  </si>
  <si>
    <t>Agnieszka Charmuszko</t>
  </si>
  <si>
    <t>Sick leave salary-crew</t>
  </si>
  <si>
    <t>Julia Szulc</t>
  </si>
  <si>
    <t>Holiday pay-crew</t>
  </si>
  <si>
    <t>Katarzyna Magryta</t>
  </si>
  <si>
    <t>Working clothes equivalent-crew</t>
  </si>
  <si>
    <t>Emilia Ebert</t>
  </si>
  <si>
    <t>Civil contracts salaries-crew</t>
  </si>
  <si>
    <t>Uczeń</t>
  </si>
  <si>
    <t>Bonus Crew</t>
  </si>
  <si>
    <t>Aleksandra Kurowska</t>
  </si>
  <si>
    <t>Social Contribution Crew</t>
  </si>
  <si>
    <t>Małgorzata Kręt</t>
  </si>
  <si>
    <t>Disability Fund Crew</t>
  </si>
  <si>
    <t>Anna Rutkowska</t>
  </si>
  <si>
    <t>Social Fund Crew</t>
  </si>
  <si>
    <t>Agata Boruc</t>
  </si>
  <si>
    <t>Other Crew</t>
  </si>
  <si>
    <t>DRIVERS</t>
  </si>
  <si>
    <t>Drivers</t>
  </si>
  <si>
    <t>HUMAN RENT TOTAL:</t>
  </si>
  <si>
    <t>OTHER - TARGET</t>
  </si>
  <si>
    <t>Medical examination ryczałt</t>
  </si>
  <si>
    <t>OTHER - ESTIMATION</t>
  </si>
  <si>
    <t>Bonus "Recommend a friend" (netto)</t>
  </si>
  <si>
    <t>PARTNERS TOTAL</t>
  </si>
  <si>
    <t>Bonus SSV No Area</t>
  </si>
  <si>
    <t>Suggested SSV Bonus</t>
  </si>
  <si>
    <t>PARTNERS UP</t>
  </si>
  <si>
    <t>Bonus CREW</t>
  </si>
  <si>
    <t>Suggested crew bonus</t>
  </si>
  <si>
    <t>CREW UP (W/O MANAGERS)</t>
  </si>
  <si>
    <r>
      <t>Wyksięgowanie PFRON Manager</t>
    </r>
    <r>
      <rPr>
        <b/>
        <sz val="11"/>
        <color rgb="FFFF0000"/>
        <rFont val="Calibri"/>
        <family val="2"/>
        <scheme val="minor"/>
      </rPr>
      <t>(pamiętaj żeby wpisać PFRON ze znakiem (-) przy wyksięgowaniu</t>
    </r>
  </si>
  <si>
    <t>CERW UZ</t>
  </si>
  <si>
    <r>
      <t xml:space="preserve">Wyksięgowanie PFRON Crew </t>
    </r>
    <r>
      <rPr>
        <b/>
        <sz val="11"/>
        <color rgb="FFFF0000"/>
        <rFont val="Calibri"/>
        <family val="2"/>
        <scheme val="minor"/>
      </rPr>
      <t>(pamiętaj żeby wpisać PFRON ze znakiem (-) przy wyksięgowaniu</t>
    </r>
  </si>
  <si>
    <t>ADP</t>
  </si>
  <si>
    <t>TOTAL HOURS</t>
  </si>
  <si>
    <t>Other (Koszty HR, corrections from previous month etc.)</t>
  </si>
  <si>
    <t>PARTNERS UP HOURS</t>
  </si>
  <si>
    <t>PPK</t>
  </si>
  <si>
    <t>PPK MGR</t>
  </si>
  <si>
    <t>PPK CREW</t>
  </si>
  <si>
    <t>CREW UP HOURS (W/O MANAGERS)</t>
  </si>
  <si>
    <t>TRX</t>
  </si>
  <si>
    <t>Cost per drop YTD</t>
  </si>
  <si>
    <t>CREW UZ HOURS</t>
  </si>
  <si>
    <t>BONUS</t>
  </si>
  <si>
    <t>CAP</t>
  </si>
  <si>
    <t>BONUS MANAGERS</t>
  </si>
  <si>
    <t>SSV-FM</t>
  </si>
  <si>
    <t>SALES BONUS KALKULATOR</t>
  </si>
  <si>
    <t xml:space="preserve">SALES </t>
  </si>
  <si>
    <t>index</t>
  </si>
  <si>
    <t>% of Cap</t>
  </si>
  <si>
    <t>STYCZEŃ</t>
  </si>
  <si>
    <t>LUTY</t>
  </si>
  <si>
    <t>BONUS FOR MANAGER</t>
  </si>
  <si>
    <t>MARZEC</t>
  </si>
  <si>
    <t>KWIECIEŃ</t>
  </si>
  <si>
    <t>OPS profit BONUS KALKULATOR</t>
  </si>
  <si>
    <t>MAJ</t>
  </si>
  <si>
    <t>OPS profit</t>
  </si>
  <si>
    <t>CZERWIEC</t>
  </si>
  <si>
    <t>LIPIEC</t>
  </si>
  <si>
    <t>SIERPIEŃ</t>
  </si>
  <si>
    <t>PAŹDZIERNIK</t>
  </si>
  <si>
    <t>BONUS CALCULATIONS L2-L4</t>
  </si>
  <si>
    <t>LISTOPAD</t>
  </si>
  <si>
    <t>Sales vs AOP</t>
  </si>
  <si>
    <t>OPS profit vs AOP</t>
  </si>
  <si>
    <t>% of cap</t>
  </si>
  <si>
    <t>max % of cap</t>
  </si>
  <si>
    <t>GRUDZIEŃ</t>
  </si>
  <si>
    <t>OPS PROFIT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</si>
  <si>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</si>
  <si>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</si>
  <si>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</si>
  <si>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</si>
  <si>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</si>
  <si>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</si>
  <si>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</si>
  <si>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</si>
  <si>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</si>
  <si>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</si>
  <si>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</si>
  <si>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</si>
  <si>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TPLH PLAN AOP</t>
  </si>
  <si>
    <t>Poniżej znajdują się wskaźniki i sposób ich obliczania w COL Report, z którego zaciągane są dane do DOS+. Aby być spójnymi między raportami, wszystkie wskaźniki w COL Kalkulatorze są wyliczane tak samo jak w COL Report.</t>
  </si>
  <si>
    <t>Column number in the report</t>
  </si>
  <si>
    <t>name of column</t>
  </si>
  <si>
    <t>Unit</t>
  </si>
  <si>
    <t>what does it mean ?</t>
  </si>
  <si>
    <t>Formula</t>
  </si>
  <si>
    <t>Groups</t>
  </si>
  <si>
    <t>District</t>
  </si>
  <si>
    <t>Nazwa dystryktu, do którego należy restauracja</t>
  </si>
  <si>
    <t>Region</t>
  </si>
  <si>
    <t>Nazwa regionu, do którego należy restauracja</t>
  </si>
  <si>
    <t>Cost center</t>
  </si>
  <si>
    <t xml:space="preserve">Numer MPK restauracji z SAP </t>
  </si>
  <si>
    <t>Restaurant</t>
  </si>
  <si>
    <t>Pacesetter Group</t>
  </si>
  <si>
    <t>Nazwa grupy pacesetterowej, do której należy restauracja</t>
  </si>
  <si>
    <t>Month</t>
  </si>
  <si>
    <t>Nazwa miesiąca</t>
  </si>
  <si>
    <t>Better/Worse vs LY</t>
  </si>
  <si>
    <t>Total COL % B / W vs LY</t>
  </si>
  <si>
    <t>[%]</t>
  </si>
  <si>
    <t>Łączne koszty COL  (jako % od sprzedaży,dane z P&amp;L) w porównaniu do łącznych kosztów COL  (jako % od sprzedaży,dane z P&amp;L) z tego samego miesiaca zeszłego roku.</t>
  </si>
  <si>
    <t xml:space="preserve"> Total COL%  - Total COL% LY</t>
  </si>
  <si>
    <t>Total MPT B / W vs LY</t>
  </si>
  <si>
    <t>[min]</t>
  </si>
  <si>
    <t>Total MPT z danego miesiaca w porównaniu do Total MPT z tego samego miesiąca zeszłego roku</t>
  </si>
  <si>
    <t xml:space="preserve"> Total MPT  - Total MPT LY</t>
  </si>
  <si>
    <t>Sales per total working hour B / W vs LY</t>
  </si>
  <si>
    <t>[PLN/hour]</t>
  </si>
  <si>
    <t>Sales per working hour crew i Managerów z danego miesiaca w porównaniu do Sales per working hour crew i Managerów z tego samego miesiąca zeszłego roku</t>
  </si>
  <si>
    <t>Sales per total working hour - Sales per total working hour LY</t>
  </si>
  <si>
    <r>
      <t xml:space="preserve">TPLH  B / W vs LY </t>
    </r>
    <r>
      <rPr>
        <sz val="8"/>
        <color rgb="FFFF0000"/>
        <rFont val="Arial"/>
        <family val="2"/>
      </rPr>
      <t>(tylko SBX)</t>
    </r>
  </si>
  <si>
    <t>TPLH z danego miesiaca w porównaniu do TPLH z tego samego miesiąca zeszłego roku</t>
  </si>
  <si>
    <t>TPLH - TPLY LY</t>
  </si>
  <si>
    <t>Crew MPT B / W vs LY</t>
  </si>
  <si>
    <t>Crew MPT z danego miesiaca w porównaniu do Crew MPT z tego samego miesiąca zeszłego roku</t>
  </si>
  <si>
    <t>Crew MPT  - Crew MPT LY</t>
  </si>
  <si>
    <t>Transactions Index</t>
  </si>
  <si>
    <t>Transakcje dla aktualnego miesiąca dzielone przez transakcje dla tego samego miesiąca zeszłego roku</t>
  </si>
  <si>
    <t>(Liczba transkacji/Liczbę transakcji LY)*100</t>
  </si>
  <si>
    <t>Sales Index</t>
  </si>
  <si>
    <t>Sprzedaż dla aktualnego miesiąca dzielona przez sprzedaż dla tego samego miesiąca zeszłego roku</t>
  </si>
  <si>
    <t>(Wartość sprzedazy/Wartosc sprzedazy LY)*100</t>
  </si>
  <si>
    <t>Crew working hours B / W vs LY</t>
  </si>
  <si>
    <t>Łączne godziny przepracowane crew z danego miesiaca w porówaniu do łącznych godzin przepracowanych crew z tego samego miesiąca zeszłego roku</t>
  </si>
  <si>
    <t>(Total crew working hours/Total crew working hours LY)*100</t>
  </si>
  <si>
    <t>Crew non working hours B / W vs LY</t>
  </si>
  <si>
    <t>Łączne godziny nieprzepracowane crew z danego miesiaca w porówaniu do łącznych godzin nieprzepracowanych crew z tego samego miesiąca zeszłego roku</t>
  </si>
  <si>
    <t>(Total crew non working hours/Total crew non working hours LY)*100</t>
  </si>
  <si>
    <t>BASE WAGE B / W vs LY</t>
  </si>
  <si>
    <t>Średnia stawka crew na godzinę przepracowaną w danym miesiacu do średniej stawki crew na godzinę przepracowaną z tego samego miesiąca zeszłego roku</t>
  </si>
  <si>
    <t>(Base Wage/Base Wage LY)* 100</t>
  </si>
  <si>
    <t>COL Crew B\W vs LY</t>
  </si>
  <si>
    <t>Całkowite koszty crew (jako % od sprzedaży) w danym miesiącu w porówaniu do całkowitych kosztów crew (jako % od sprzadży) z tego samego miesiąca zeszłego roku</t>
  </si>
  <si>
    <t>(Col Crew/Col Crew LY)*100</t>
  </si>
  <si>
    <t>COL Mgmt B\W vs. LY</t>
  </si>
  <si>
    <t>Całkowite koszty managerów (jako % od sprzedaży) w danym miesiącu w porówaniu do całkowitych kosztów managerów (jako % od sprzadży) z tego samwego miesiąca zeszłego roku</t>
  </si>
  <si>
    <t>(Col Managers/Col Managers LY)*100</t>
  </si>
  <si>
    <t>COL % - dane z P&amp;L</t>
  </si>
  <si>
    <t>Mgmt %</t>
  </si>
  <si>
    <t>Całkowite koszty managerów jako % od sprzedaży (dane z P&amp;L; łączne koszty zawierające wynagrodzenie podstawowe, ZUS, bonusy, wakacje, zwolnienia lekarskie, kafeterię, ekwiwalenty, nagrody, rezerwy, itp.)</t>
  </si>
  <si>
    <t>Col Managers/sales</t>
  </si>
  <si>
    <t>Crew % (HOH, BOH and delivery employed by AmRest)</t>
  </si>
  <si>
    <t xml:space="preserve">Całkowite koszty crew (HOH, BOH, umowy zlecenie oraz delivery, ale tylko osoby zatrudniane przez AmRest) jako % od sprzedaży (dane z P&amp;L; łączne koszty zawierające wynagrodzenie podstawowe, ZUS, bonusy, ekwiwalent, wakacje, zwolnienia lekarskie, nagrody, rezerwy, itp.) </t>
  </si>
  <si>
    <t>Col crew/sales</t>
  </si>
  <si>
    <t>Delivery % (outside services)</t>
  </si>
  <si>
    <t xml:space="preserve">Koszty kierowców delivery (tylko osoby na działalności, świadczące usługi na rzecz AmRest) jako % od sprzedaży (dane z P&amp;L; tylko usługi obce ) </t>
  </si>
  <si>
    <t>Col delivery/sales</t>
  </si>
  <si>
    <t>TOTAL COL %</t>
  </si>
  <si>
    <t>Łączne koszty COL jako % od sprzedaży (dane z P&amp;L)</t>
  </si>
  <si>
    <t>Total Col/sales</t>
  </si>
  <si>
    <t>Managers - dane z HR Department</t>
  </si>
  <si>
    <t>Total MPT</t>
  </si>
  <si>
    <t>[min/trans]</t>
  </si>
  <si>
    <t xml:space="preserve">Wskaźnik efektywności managerów i crew liczony jako łączna ilość minut pracy managerów i crew przypadająca na jedną transakcję. </t>
  </si>
  <si>
    <t>Total MPT = ( łączne godziny pracy managerów + łączne godziny pracy crew - łączne godziny pracy delivery) * 60 / Trans</t>
  </si>
  <si>
    <t>Sales per total working hours</t>
  </si>
  <si>
    <t>Średnia wartość sprzedaży przypadająca na jedną przepracowaną godzinę crew oraz managerów</t>
  </si>
  <si>
    <t>Sales per working hour = Sales / (Total crew working hours + Total managers working hours)</t>
  </si>
  <si>
    <t>SPLH</t>
  </si>
  <si>
    <r>
      <t>TPLH</t>
    </r>
    <r>
      <rPr>
        <sz val="8"/>
        <color rgb="FFFF0000"/>
        <rFont val="Arial"/>
        <family val="2"/>
      </rPr>
      <t xml:space="preserve"> (tylko dla brandu SBX)</t>
    </r>
  </si>
  <si>
    <t>[trans/min]</t>
  </si>
  <si>
    <t>Transakcje podzielone przez ilość przepracowanych godzin załogi i managerów łącznie</t>
  </si>
  <si>
    <r>
      <t>TPLH = Liczba transakcji / Liczba godzin przepracowanych</t>
    </r>
    <r>
      <rPr>
        <sz val="10"/>
        <rFont val="Arial"/>
        <family val="2"/>
        <charset val="238"/>
      </rPr>
      <t> </t>
    </r>
  </si>
  <si>
    <t>Total number of managers</t>
  </si>
  <si>
    <t>[osoby]</t>
  </si>
  <si>
    <t xml:space="preserve">Całkowita liczba managerów zatrudnionych w restauracji wliczając managerów pracujących w danym miesiącu na stanowiskach oraz managerów na urlopach macierzyńskich, wychowawczych, w ciąży oraz na bezpłatnych urlopach powyżej 30 dni. </t>
  </si>
  <si>
    <t>Ideal structure</t>
  </si>
  <si>
    <t>Liczba mangerów zgodnie z idelaną strukturą</t>
  </si>
  <si>
    <t>Number of managers - charged in P&amp;L</t>
  </si>
  <si>
    <t>Liczba managerów zgodnie z podziałem kosztowym (może być róznica między kolumną 28 i 29 gdy manager pracuje w restauracji X, natomiast jego koszty są księgowane w restauracji Y)</t>
  </si>
  <si>
    <t>Number of working managers</t>
  </si>
  <si>
    <t xml:space="preserve">Liczba managerów pracujących w danym miesiącu w restauracji, z wykluczeniem osób na urlopach macierzyńskich, wychowawczych, w ciąży lub na bezpłatnym urlopie powyżej 30 dnia. </t>
  </si>
  <si>
    <t xml:space="preserve">Total managers working hours </t>
  </si>
  <si>
    <t>[hours]</t>
  </si>
  <si>
    <t xml:space="preserve">Łączne godziny przepracowane managerów, którzy posiadają miesięczną pensję managerską. Wliczane są tylko godziny managerów, którzy faktycznie pracowali w danym miesiącu w restauracji. Osoby na urlopach macierzyńskich, wychowawczych, w ciąży lub na bezpłatnym urlopie powyżej 30 dni są wykluczone z raportu.  </t>
  </si>
  <si>
    <t xml:space="preserve">Total managers non working hours </t>
  </si>
  <si>
    <r>
      <t xml:space="preserve">Łączne godziny nieprzepracowane managerów: 
1. godzin urlopu wypoczynkowego, 
2. godziny zwolnień lekarskich, </t>
    </r>
    <r>
      <rPr>
        <b/>
        <u/>
        <sz val="8"/>
        <rFont val="Arial"/>
        <family val="2"/>
        <charset val="238"/>
      </rPr>
      <t xml:space="preserve">ale tylko godziny płatne przez AmRest </t>
    </r>
  </si>
  <si>
    <t>Total managers non working hours = vacation hours + hours for sick leave paid by the Company</t>
  </si>
  <si>
    <t>Urlop + zwolnienia lekarskie</t>
  </si>
  <si>
    <t>Managers vacation hours (urlop wypoczynkowy)</t>
  </si>
  <si>
    <t>Godziny nieprzepracowane - urlop wypoczynkowy Managerów</t>
  </si>
  <si>
    <t xml:space="preserve">Managers sick leave hours paid by the Company </t>
  </si>
  <si>
    <r>
      <t xml:space="preserve">Godziny nieprzepracowane Managerów - </t>
    </r>
    <r>
      <rPr>
        <b/>
        <u/>
        <sz val="10"/>
        <rFont val="Arial"/>
        <family val="2"/>
        <charset val="238"/>
      </rPr>
      <t>zwolnienia lekarskie, ale tylko godziny płatne przez AmRest</t>
    </r>
  </si>
  <si>
    <t xml:space="preserve">% managers non working hours of all managers hours </t>
  </si>
  <si>
    <t xml:space="preserve">Udział godzin nieprzepracowanych managerów do łącznej liczby godzin managerów (przepracowanych i nieprzepracowanych) </t>
  </si>
  <si>
    <t>% managers non working hours = Łączne godziny nieprzepracowane managerów / (Łączne godziny przepracowane managerów + Łączne godziny nieprzepracowane managerów)</t>
  </si>
  <si>
    <t xml:space="preserve">Crew - dane z HR Department </t>
  </si>
  <si>
    <t xml:space="preserve">Crew MPT </t>
  </si>
  <si>
    <t>Wskaźnik efektywności crew liczony jako średnia ilość minut pracy crew przypadająca na jedną transakcję</t>
  </si>
  <si>
    <t>Crew MPT = (Łączne godziny pracy crew - Łączne godziny pracy delivery) * 60 / Trans</t>
  </si>
  <si>
    <t>Sales per crew working hour</t>
  </si>
  <si>
    <t>Średnia wartość sprzedaży przypadająca na jedną godzinę pracy crew</t>
  </si>
  <si>
    <t xml:space="preserve">Sales per crew working hour = Sales / Total crew working hours </t>
  </si>
  <si>
    <t>Rotacja</t>
  </si>
  <si>
    <t>Rotacja załogi miesięczna</t>
  </si>
  <si>
    <t>Rotacja = Liczba zwolnionych w danym mieisacu/Stan załogi na koniec miesiąca</t>
  </si>
  <si>
    <t xml:space="preserve">Sales </t>
  </si>
  <si>
    <t>[PLN]</t>
  </si>
  <si>
    <t>Wartość sprzedaży z P&amp;La</t>
  </si>
  <si>
    <t>Trans</t>
  </si>
  <si>
    <t>[trans]</t>
  </si>
  <si>
    <t>Liczba transakcji zrealizowanych w restauracji we wszystkich kanałach sprzedaży (dane z P&amp;L)</t>
  </si>
  <si>
    <t>Total number of crew</t>
  </si>
  <si>
    <t>Łączna ilość osób zatrudnionych na stanowisku crew (umowy o pracę i zlecenie)</t>
  </si>
  <si>
    <t xml:space="preserve">Total number of crew = crew in regular contract + crew in civil contracts in training + crew in civil contract after training </t>
  </si>
  <si>
    <t>Number of crew (regular contracts)</t>
  </si>
  <si>
    <t>Osoby zatrudnione na umowę o pracę</t>
  </si>
  <si>
    <t>Number of crew (civil contracts in training)</t>
  </si>
  <si>
    <t>Osoby zatrudnione na umowę zlecenie na czas szkolenia</t>
  </si>
  <si>
    <t>Number of crew (civil contracts after training)</t>
  </si>
  <si>
    <t>Osoby zatrudnione na umowę zlecenie poszkoleniową</t>
  </si>
  <si>
    <t xml:space="preserve">Total crew working hours </t>
  </si>
  <si>
    <t xml:space="preserve">Łączne godziny przepracowane crew składające się z:
1. godzin przepracowanych HOH &amp; FOH, 
2. godzin przepracowanych osób zatrudnionych na umowy zlecenie, 
3. godziny przepracowane delivery (ale tylko osoby zatrudniane przez AmRest) 
4. godziny przepracowane w nocy
5. godziny nadliczbowe </t>
  </si>
  <si>
    <t>Total crew working hours = godziny przepracowane HOH i FOH + godziny przepracowane w ramach umów zlecenie + godziny przepracowane delivery (tylko osoby zatrudniane przez AmRest) + godziny przepracowane w nocy + godziny nadliczbowe</t>
  </si>
  <si>
    <t>Total HOH and FOH working hours</t>
  </si>
  <si>
    <t>Godziny przepracowane HOH i FOH (wliczamy wszystkie godziny zgodnie z kartą pracy, także godziny treningu, sprzątania oraz godziny przed otwarciem i po zamknięciu restauracji, z wykluczeniem godziny nocnych i nadliczbowych)</t>
  </si>
  <si>
    <r>
      <t xml:space="preserve">Total weekends hours </t>
    </r>
    <r>
      <rPr>
        <sz val="8"/>
        <color rgb="FFFF0000"/>
        <rFont val="Arial"/>
        <family val="2"/>
      </rPr>
      <t>(tylko dla Czech)</t>
    </r>
  </si>
  <si>
    <t>Godziny przepracowane podczas weekendu</t>
  </si>
  <si>
    <t>Total civil contracts  working hours (or DPP and DPC contracts working hours in Czech or Students Contracts in Russia)</t>
  </si>
  <si>
    <t>Godziny przepracowane osób zatrudnionych na umowy zlecenie CZ, RU</t>
  </si>
  <si>
    <r>
      <t xml:space="preserve">Civil contract in training working hours </t>
    </r>
    <r>
      <rPr>
        <sz val="8"/>
        <color rgb="FFFF0000"/>
        <rFont val="Arial"/>
        <family val="2"/>
      </rPr>
      <t>(tylko dla  PL)</t>
    </r>
  </si>
  <si>
    <t>Godziny przepracowane osób zatrudnionych na umowy zlecenie szkoleniowe</t>
  </si>
  <si>
    <r>
      <t xml:space="preserve">Civil contracts after training working hours </t>
    </r>
    <r>
      <rPr>
        <sz val="8"/>
        <color rgb="FFFF0000"/>
        <rFont val="Arial"/>
        <family val="2"/>
      </rPr>
      <t>(tylko dla  PL)</t>
    </r>
  </si>
  <si>
    <t>Godziny przepracowane osób zatrudnionych na umowy zlecenie poszkoleniowe</t>
  </si>
  <si>
    <t>Total delivery working hours</t>
  </si>
  <si>
    <t>Godziny przepracowane delivery (ale tylko osoby identyfikowane w karcie pracy, zatrudniane przez AmRest)</t>
  </si>
  <si>
    <t>Total night working hours</t>
  </si>
  <si>
    <t xml:space="preserve">Godziny przepracowane w nocy ( po 23:00) </t>
  </si>
  <si>
    <t>Total crew non working hours</t>
  </si>
  <si>
    <r>
      <t xml:space="preserve">Łączne godziny nieprzepracowane crew składające się z: 
1. godzin urlopu wypoczynkowego, 
2. godzin urlopu okolicznościowego,
3. godzin nieobecności (usprawiedliwionej i nieusprawiedliwionej)
4. godziny zwolnień lekarskich, </t>
    </r>
    <r>
      <rPr>
        <b/>
        <u/>
        <sz val="8"/>
        <rFont val="Arial"/>
        <family val="2"/>
        <charset val="238"/>
      </rPr>
      <t xml:space="preserve">ale tylko godziny płatne przez AmRest </t>
    </r>
  </si>
  <si>
    <t>Total crew non working hours = godziny urlopu wypoczynkowego + godziny urlopu okolicznościowego + godziny nieobecności usprawiedliwionych i nieusprawiedliwionych + godziny zwolnień lekarskich płatnych przez AmRest</t>
  </si>
  <si>
    <t>H</t>
  </si>
  <si>
    <t>Vacation hours (urlop wypoczynkowy)</t>
  </si>
  <si>
    <t xml:space="preserve">Godziny nieprzepracowane - urlop wypoczynkowy crew </t>
  </si>
  <si>
    <t>Holiday hours (urlop okolicznościowy)</t>
  </si>
  <si>
    <t xml:space="preserve">Godziny nieprzepracowane - urlop okolicznościowy crew (np. z okazji ślubu, śmierci członka rodziny) </t>
  </si>
  <si>
    <t xml:space="preserve">Excused absence hours </t>
  </si>
  <si>
    <t>Godziny nieprzepracowane - nieobecności usprawiedliwione crew (np. wyjście do sądu, oddanie krwi)</t>
  </si>
  <si>
    <t xml:space="preserve">Unexcused absence hours </t>
  </si>
  <si>
    <t xml:space="preserve">Godziny nieprzepracowane - nieobecności nieusprawiedliwione crew </t>
  </si>
  <si>
    <t xml:space="preserve">Sick leave hours paid by the Company </t>
  </si>
  <si>
    <r>
      <t xml:space="preserve">Godziny nieprzepracowane - </t>
    </r>
    <r>
      <rPr>
        <b/>
        <u/>
        <sz val="10"/>
        <rFont val="Arial"/>
        <family val="2"/>
        <charset val="238"/>
      </rPr>
      <t>zwolnienia lekarskie, ale tylko godziny płatne przez AmRest</t>
    </r>
  </si>
  <si>
    <t>% crew non working hours of all crew hours</t>
  </si>
  <si>
    <t xml:space="preserve">Udział godzin nieprzepracowanych crew do łącznej liczby godzin crew (przepracowanych i nieprzepracowanych) </t>
  </si>
  <si>
    <t>% crew non working hours = Łączne godziny nieprzepracowane crew / (Łączne godziny przepracowane crew + Łączne godziny nieprzepracowane crew)</t>
  </si>
  <si>
    <t>Overtime hours</t>
  </si>
  <si>
    <t>Godziny nadliczbowe crew (godziny ponad miesięczny wymiar czasu pracy)</t>
  </si>
  <si>
    <t>Payment for overtime hours</t>
  </si>
  <si>
    <t>Wynagrodzenie za godziny nadliczbowe (podstawowa stawka godzinowa plus premia za nadgodziny: 50% za nadgodziny w dzień i 100% za nadgodziny w nocy)</t>
  </si>
  <si>
    <r>
      <t xml:space="preserve">Undertime hours </t>
    </r>
    <r>
      <rPr>
        <sz val="8"/>
        <color rgb="FFFF0000"/>
        <rFont val="Arial"/>
        <family val="2"/>
      </rPr>
      <t>(tylko dla PL)</t>
    </r>
  </si>
  <si>
    <t>Niedogodziny (godziny, za które płacimy w sytuacji gdy pracownik przepracował mniej godzin niż ma w umowie o pracę)</t>
  </si>
  <si>
    <r>
      <t xml:space="preserve">Payment for undertime hours </t>
    </r>
    <r>
      <rPr>
        <sz val="8"/>
        <color rgb="FFFF0000"/>
        <rFont val="Arial"/>
        <family val="2"/>
      </rPr>
      <t>(tylko dla PL)</t>
    </r>
  </si>
  <si>
    <t>Wynagrodzenie za niedogodziny (płacimy w sytuacji, gdy pracownik przepracował mniej godzin niż ma określone w umowie o pracę)</t>
  </si>
  <si>
    <t xml:space="preserve">Crew wage - dane z HR Department </t>
  </si>
  <si>
    <t>Base wage (Avg crew wage per working hour)</t>
  </si>
  <si>
    <t>[local currency]</t>
  </si>
  <si>
    <r>
      <t xml:space="preserve">Średnia stawka crew na godzinę przepracowaną. Do wyliczenia stawki wykorzystuje się podstawowe wynagrodzenie brutto ( z ZUS) za godziny przepracowane. 
</t>
    </r>
    <r>
      <rPr>
        <b/>
        <u/>
        <sz val="9"/>
        <rFont val="Arial"/>
        <family val="2"/>
        <charset val="238"/>
      </rPr>
      <t>Stawka ta nie zawiera:</t>
    </r>
    <r>
      <rPr>
        <sz val="8"/>
        <rFont val="Arial"/>
        <family val="2"/>
        <charset val="238"/>
      </rPr>
      <t xml:space="preserve">
1. dodatku za pracę w godzinach nocnych, dodatku za godziny nadliczbowe,
2. dopłaty do najniższego wynagrodzenie (gwarantowanego przez prawo) 
3. płatności za godziny nieprzepracowane takie jak urlopy, zwolnienia lekarskie 
4. ekwiwalentu BHP ('BUTY')
5. bonusów</t>
    </r>
  </si>
  <si>
    <t>Base wage = Podstawowe wynagrodzenie brutto za godziny przepracowane / Łączne godziny przepracowane crew</t>
  </si>
  <si>
    <t>Full wage (Avg crew wage per all hours)</t>
  </si>
  <si>
    <r>
      <rPr>
        <sz val="8"/>
        <rFont val="Arial"/>
        <family val="2"/>
        <charset val="238"/>
      </rPr>
      <t xml:space="preserve">Średnia stawka crew na godzinę (łącznie przepracowaną i nieprzepracowaną). Do wyliczenia stawki wykorzystuje się wynagrodzenie brutto zawierające takie składowe jak: 
1. ZUS
2. dodatek za pracę w godzinach nocnych, dodatek za godziny nadliczbowe,
3. dopłata do najniższego wynagrodzenie (gwarantowanego przez prawo) 
4. wynagrodzenie za godziny nieprzepracowane takie jak: urlopy, zwolnienia lekarskie 
</t>
    </r>
    <r>
      <rPr>
        <b/>
        <u/>
        <sz val="9"/>
        <rFont val="Arial"/>
        <family val="2"/>
        <charset val="238"/>
      </rPr>
      <t xml:space="preserve">Stawka ta nie zawiera ekwiwalentu BHP ('BUTY') oraz bonusów. </t>
    </r>
  </si>
  <si>
    <t>Full wage = Wynagrodzenie brutto za godziny przepracowane i nieprzepracowane łącznie / (Łączne godziny przepracowane crew + Łączne godziny nieprzepracowane crew)</t>
  </si>
  <si>
    <t>% change vs. last year BASE WAGE</t>
  </si>
  <si>
    <t>Zmiana Base wage w porównaniu ze stawką jaka była w tym samym miesiącu w roku ubiegłym</t>
  </si>
  <si>
    <r>
      <t xml:space="preserve">Extra payment for the lowest wages </t>
    </r>
    <r>
      <rPr>
        <sz val="8"/>
        <color rgb="FFFF0000"/>
        <rFont val="Arial"/>
        <family val="2"/>
      </rPr>
      <t>(tylko dla Polski)</t>
    </r>
  </si>
  <si>
    <t>Dopłata do najniższego wynagrodzenia, gwarantowanego przez państwo (dotyczy tylko osób ze stawką niższą niż stawka minimalna w danym miesiącu, która zależy od ilości dni pracujących w miesiącu)</t>
  </si>
  <si>
    <t>CZAS PRACY</t>
  </si>
  <si>
    <t>stawka minimalna od stycznia</t>
  </si>
  <si>
    <t>PL</t>
  </si>
  <si>
    <t>Pozycja</t>
  </si>
  <si>
    <t>Pozycje Barista</t>
  </si>
  <si>
    <t>Liczba Dni Pracy</t>
  </si>
  <si>
    <t>Czas Pracy</t>
  </si>
  <si>
    <t>Min stawka godzinowa</t>
  </si>
  <si>
    <t>Dodatek za godz. nocne</t>
  </si>
  <si>
    <t>Calk</t>
  </si>
  <si>
    <t>Staffing</t>
  </si>
  <si>
    <t>MPK</t>
  </si>
  <si>
    <t>Nazwa Kawiarni</t>
  </si>
  <si>
    <t>stawka minimalna od lipca</t>
  </si>
  <si>
    <t>SBX Warszawa Al. Jerozolimskie</t>
  </si>
  <si>
    <t>SBX Warszawa Zodiak</t>
  </si>
  <si>
    <t>Plan B</t>
  </si>
  <si>
    <t>SBX Wroclaw Grunwaldzki Center</t>
  </si>
  <si>
    <t>Plan C</t>
  </si>
  <si>
    <t>SBX Warszawa Nowy Swiat</t>
  </si>
  <si>
    <t>SBX Wroclaw Sky Tower</t>
  </si>
  <si>
    <t>BARISTA</t>
  </si>
  <si>
    <t>SBX Warszawa Gruba Kaska</t>
  </si>
  <si>
    <t>SBX Warszawa Galaxy IL</t>
  </si>
  <si>
    <t>Tak</t>
  </si>
  <si>
    <t>SBX Krakow Galeria Krakowska</t>
  </si>
  <si>
    <t>LOBBY</t>
  </si>
  <si>
    <t>SBX Warszawa Zebra Tower</t>
  </si>
  <si>
    <t>SBX Poznan Stary Browar</t>
  </si>
  <si>
    <t>SBX Gdansk Galeria Baltycka ECE</t>
  </si>
  <si>
    <t>SBX Gdansk Manhattan Sephora</t>
  </si>
  <si>
    <t>średnia</t>
  </si>
  <si>
    <t>SBX Warszawa WFC</t>
  </si>
  <si>
    <t>Wyszukiwanie w AOP</t>
  </si>
  <si>
    <t>Wysz.w Bonus</t>
  </si>
  <si>
    <t>SBX Gdynia Swietojanska Bell</t>
  </si>
  <si>
    <t>Ubezpieczony</t>
  </si>
  <si>
    <t>Płatnik AmRest</t>
  </si>
  <si>
    <t>Płatnik AmRest Coffee</t>
  </si>
  <si>
    <t>SBX Katowice PKP</t>
  </si>
  <si>
    <t>Ubezpieczenia społeczne</t>
  </si>
  <si>
    <t>Emerytalne</t>
  </si>
  <si>
    <t>SBX Katowice Galeria Katowicka</t>
  </si>
  <si>
    <t>Rentowe</t>
  </si>
  <si>
    <t>SBX Kraków Galeria Krakowska Kiosk</t>
  </si>
  <si>
    <t>Chrobowe</t>
  </si>
  <si>
    <t>SBX Wroclaw Bielany Wroclawskie</t>
  </si>
  <si>
    <t>SBX Szczecin Kaskada</t>
  </si>
  <si>
    <t>Ubezpieczenie wypadkowe</t>
  </si>
  <si>
    <t>Wypadkowe</t>
  </si>
  <si>
    <t>SBX Warszawa PKP</t>
  </si>
  <si>
    <t>SBX Wroclaw Magnolia W biegu Cafe</t>
  </si>
  <si>
    <t>Ubezpieczenie zdrowotne</t>
  </si>
  <si>
    <t>Zdrowotne</t>
  </si>
  <si>
    <t>SBX Poznan Dworzec PKP Hall</t>
  </si>
  <si>
    <t>SBX Poznan Pasaz M&amp;M</t>
  </si>
  <si>
    <t>Fundusz Pracy</t>
  </si>
  <si>
    <t>SBX Szczecin Brama Portowa Grzybek</t>
  </si>
  <si>
    <t>SBX Katowice Silesia City Center</t>
  </si>
  <si>
    <t>Fundusz Gwarantowanych Świadczeń Pracowniczych</t>
  </si>
  <si>
    <t>SBX Gdynia Galeria Riviera</t>
  </si>
  <si>
    <t>SBX Wroclaw Olawska</t>
  </si>
  <si>
    <t>SBX Warszawa Galeria Wilenska</t>
  </si>
  <si>
    <t>SBX Warszawa Galeria Mokotow</t>
  </si>
  <si>
    <t>SBX Gdansk OBC</t>
  </si>
  <si>
    <t>SBX Poznan Plaza</t>
  </si>
  <si>
    <t>SBX Wroclaw PKP</t>
  </si>
  <si>
    <t>SBX Wroclaw Coffee Square</t>
  </si>
  <si>
    <t>SBX Krakow Bonarka</t>
  </si>
  <si>
    <t>SBX Szczecin Galaxy KK</t>
  </si>
  <si>
    <t>SBX Krakow Rynek 27</t>
  </si>
  <si>
    <t>SBX Poznan Posnania</t>
  </si>
  <si>
    <t>SBX Sopot Sheraton Plaza Village</t>
  </si>
  <si>
    <t>SBX Poznan Posnania I floor</t>
  </si>
  <si>
    <t>SBX Szczecin Galaxy ILM</t>
  </si>
  <si>
    <t>SBX Krakow Florianska</t>
  </si>
  <si>
    <t>SBX Krakow Szewska</t>
  </si>
  <si>
    <t>SBX Poznan Kaponiera</t>
  </si>
  <si>
    <t>SBX Warszawa Sadyba</t>
  </si>
  <si>
    <t>SBX Krakow Serenada</t>
  </si>
  <si>
    <t>SBX Wroclaw Dominikanska</t>
  </si>
  <si>
    <t>SBX Warszawa Rzeczypospolitej</t>
  </si>
  <si>
    <t>SBX Poznan King Cross</t>
  </si>
  <si>
    <t>SBX Lodz Piotrkowska 155</t>
  </si>
  <si>
    <t>SBX Warszawa CH Reduta</t>
  </si>
  <si>
    <t>SBX Warszawa Targowek</t>
  </si>
  <si>
    <t>SBX Wroclaw Wroclavia</t>
  </si>
  <si>
    <t>SBX Krakow Krupnicza</t>
  </si>
  <si>
    <t>SBX Katowice Echo</t>
  </si>
  <si>
    <t>SBX Warszawa Norway House</t>
  </si>
  <si>
    <t>SBX Warszawa Pulawska</t>
  </si>
  <si>
    <t>SBX Gdansk Baltycka</t>
  </si>
  <si>
    <t>SBX Gdansk Radunia</t>
  </si>
  <si>
    <t>SBX Warszawa Galeria Polnocna</t>
  </si>
  <si>
    <t>SBX Krakow Palac Wolodkiewiczow</t>
  </si>
  <si>
    <t>SBX Warszawa Arkadia</t>
  </si>
  <si>
    <t>SBX Gdansk Dluga</t>
  </si>
  <si>
    <t>SBX Lodz Manufaktura</t>
  </si>
  <si>
    <t>SBX Warszawa Janki</t>
  </si>
  <si>
    <t>SBX Bydgoszcz Zielone Arkady</t>
  </si>
  <si>
    <t>SBX Gdansk Alchemia</t>
  </si>
  <si>
    <t>SBX Warszawa Promenada 2</t>
  </si>
  <si>
    <t>SBX Warszawa Muzeum Powstania Warszaw</t>
  </si>
  <si>
    <t>SBX Gdansk Rajska</t>
  </si>
  <si>
    <t>SBX Zielona Gora Focus</t>
  </si>
  <si>
    <t>SBX Poznan Polwiejska 2</t>
  </si>
  <si>
    <t>SBX Rzeszow Galeria Rzeszow</t>
  </si>
  <si>
    <t>SBX Wroclaw Fashion Outlet</t>
  </si>
  <si>
    <t>SBX Bydgoszcz Focus</t>
  </si>
  <si>
    <t>SBX Warszawa Rondo Daszynskiego</t>
  </si>
  <si>
    <t>SBX Torun Plaza</t>
  </si>
  <si>
    <t>SBX Lubin Cuprum Arena</t>
  </si>
  <si>
    <t>SBX Gliwice Forum</t>
  </si>
  <si>
    <t>SBX Torun Stary Rynek</t>
  </si>
  <si>
    <t>SBX Warszawa Elektrownia Powisle</t>
  </si>
  <si>
    <t>SBX Lodz Sukcesja</t>
  </si>
  <si>
    <t>SBX Lublin Krakowskie Przedmiescie</t>
  </si>
  <si>
    <t>SBX Poznan Avenida</t>
  </si>
  <si>
    <t>SBX Szczecin Hakena</t>
  </si>
  <si>
    <t>SBX Wroclaw Pokoyhof</t>
  </si>
  <si>
    <t>SBX Piaseczno SanPark</t>
  </si>
  <si>
    <t>SBX Radom Galeria Sloneczna</t>
  </si>
  <si>
    <t>SBX Rzeszow Millenium Hall</t>
  </si>
  <si>
    <t>SBX Nowy Sacz 3 Korony</t>
  </si>
  <si>
    <t>SBX Krakow Galicyjska</t>
  </si>
  <si>
    <t>SBX Bielko Biala Sfera</t>
  </si>
  <si>
    <t>SBX Kalisz Amber</t>
  </si>
  <si>
    <t>SBX Kielce Galeria Korona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</si>
</sst>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&quot;zł&quot;* #,##0.00_);_(&quot;zł&quot;* \(#,##0.00\);_(&quot;zł&quot;* &quot;-&quot;??_);_(@_)"/>
    <numFmt numFmtId="165" formatCode="#,##0.00_ ;\-#,##0.00\ "/>
    <numFmt numFmtId="166" formatCode="#,##0.00\ _z_ł"/>
    <numFmt numFmtId="167" formatCode="#,##0&quot; PLN&quot;;\-#,##0&quot; PLN&quot;;#,##0&quot; PLN&quot;;@"/>
    <numFmt numFmtId="168" formatCode="#,##0.00\ &quot;zł&quot;"/>
    <numFmt numFmtId="169" formatCode="0.0"/>
    <numFmt numFmtId="170" formatCode="#,##0.0"/>
    <numFmt numFmtId="171" formatCode="_-* #,##0.00\ [$zł-415]_-;\-* #,##0.00\ [$zł-415]_-;_-* &quot;-&quot;??\ [$zł-415]_-;_-@_-"/>
    <numFmt numFmtId="172" formatCode="_-* #,##0\ _z_ł_-;\-* #,##0\ _z_ł_-;_-* &quot;-&quot;??\ _z_ł_-;_-@_-"/>
    <numFmt numFmtId="173" formatCode="0.0%"/>
    <numFmt numFmtId="174" formatCode="_-* #,##0.0\ _z_ł_-;\-* #,##0.0\ _z_ł_-;_-* &quot;-&quot;??\ _z_ł_-;_-@_-"/>
    <numFmt numFmtId="175" formatCode=";;;"/>
    <numFmt numFmtId="176" formatCode="#,##0.0%;\-#,##0.0%;#,##0.0%;@"/>
    <numFmt numFmtId="177" formatCode="#,##0;\-#,##0;#,##0;@"/>
    <numFmt numFmtId="178" formatCode="#,##0.00&quot; PLN&quot;;\-#,##0.00&quot; PLN&quot;;#,##0.00&quot; PLN&quot;;@"/>
  </numFmts>
  <fonts count="8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 CE"/>
      <charset val="238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indexed="81"/>
      <name val="Tahoma"/>
      <family val="2"/>
    </font>
    <font>
      <b/>
      <sz val="11"/>
      <color rgb="FF007343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10"/>
      <name val="Arial"/>
      <family val="2"/>
    </font>
    <font>
      <b/>
      <sz val="22"/>
      <name val="Calibri"/>
      <family val="2"/>
      <scheme val="minor"/>
    </font>
    <font>
      <b/>
      <sz val="12"/>
      <color rgb="FF00734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Arial"/>
      <family val="2"/>
      <charset val="238"/>
    </font>
    <font>
      <sz val="11"/>
      <name val="Arial"/>
      <family val="2"/>
      <charset val="238"/>
    </font>
    <font>
      <b/>
      <sz val="10"/>
      <color theme="0"/>
      <name val="Arial"/>
      <family val="2"/>
      <charset val="238"/>
    </font>
    <font>
      <sz val="8"/>
      <color rgb="FFFF0000"/>
      <name val="Arial"/>
      <family val="2"/>
    </font>
    <font>
      <sz val="10"/>
      <name val="Arial"/>
      <family val="2"/>
      <charset val="238"/>
    </font>
    <font>
      <b/>
      <u/>
      <sz val="8"/>
      <name val="Arial"/>
      <family val="2"/>
      <charset val="238"/>
    </font>
    <font>
      <b/>
      <u/>
      <sz val="9"/>
      <name val="Arial"/>
      <family val="2"/>
      <charset val="238"/>
    </font>
    <font>
      <b/>
      <u/>
      <sz val="10"/>
      <name val="Arial"/>
      <family val="2"/>
      <charset val="238"/>
    </font>
    <font>
      <sz val="10"/>
      <color indexed="81"/>
      <name val="Tahoma"/>
      <family val="2"/>
    </font>
    <font>
      <b/>
      <sz val="11"/>
      <color indexed="81"/>
      <name val="Calibri"/>
      <family val="2"/>
      <scheme val="minor"/>
    </font>
    <font>
      <b/>
      <sz val="11"/>
      <color theme="1"/>
      <name val="Czcionka tekstu podstawowego"/>
      <charset val="238"/>
    </font>
    <font>
      <b/>
      <sz val="10"/>
      <name val="Arial"/>
      <family val="2"/>
    </font>
    <font>
      <b/>
      <sz val="16"/>
      <color rgb="FF007343"/>
      <name val="Calibri"/>
      <family val="2"/>
      <scheme val="minor"/>
    </font>
    <font>
      <b/>
      <sz val="7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indexed="81"/>
      <name val="Tahoma"/>
      <family val="2"/>
      <charset val="238"/>
    </font>
    <font>
      <sz val="8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sz val="12"/>
      <color rgb="FF0000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0"/>
      <color theme="0"/>
      <name val="Calibri"/>
      <family val="2"/>
      <scheme val="minor"/>
    </font>
    <font>
      <b/>
      <sz val="12"/>
      <color rgb="FF000000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b/>
      <sz val="12"/>
      <color rgb="FF0070C0"/>
      <name val="Corbel"/>
      <family val="2"/>
      <charset val="238"/>
    </font>
    <font>
      <b/>
      <sz val="11"/>
      <color rgb="FF0070C0"/>
      <name val="Calibri"/>
      <family val="2"/>
      <charset val="238"/>
      <scheme val="minor"/>
    </font>
    <font>
      <sz val="10"/>
      <color rgb="FF0070C0"/>
      <name val="Calibri"/>
      <family val="2"/>
      <charset val="238"/>
      <scheme val="minor"/>
    </font>
    <font>
      <b/>
      <sz val="9"/>
      <color rgb="FF0070C0"/>
      <name val="Calibri"/>
      <family val="2"/>
      <charset val="238"/>
      <scheme val="minor"/>
    </font>
    <font>
      <b/>
      <sz val="10"/>
      <color theme="1"/>
      <name val="Verdana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color theme="1"/>
      <name val="Verdana"/>
      <family val="2"/>
      <charset val="238"/>
    </font>
    <font>
      <sz val="8"/>
      <color rgb="FF000000"/>
      <name val="Arial"/>
      <family val="2"/>
      <charset val="238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343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Tahoma"/>
      <family val="2"/>
      <charset val="238"/>
    </font>
    <font>
      <sz val="11"/>
      <color rgb="FF000000"/>
      <name val="Calibri"/>
      <family val="2"/>
    </font>
    <font>
      <b/>
      <sz val="9"/>
      <color rgb="FF000000"/>
      <name val="Tahoma"/>
      <family val="2"/>
      <charset val="238"/>
    </font>
    <font>
      <u/>
      <sz val="9"/>
      <color rgb="FF000000"/>
      <name val="Tahoma"/>
      <family val="2"/>
      <charset val="238"/>
    </font>
    <font>
      <sz val="9"/>
      <color rgb="FF000000"/>
      <name val="Tahoma"/>
      <family val="2"/>
    </font>
    <font>
      <b/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0073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99"/>
        <bgColor indexed="64"/>
      </patternFill>
    </fill>
    <fill>
      <patternFill patternType="lightTrellis">
        <fgColor rgb="FF00000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343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774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lightTrellis">
        <fgColor rgb="FF000000"/>
        <bgColor rgb="FF007343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1EE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FFF843"/>
        <bgColor indexed="64"/>
      </patternFill>
    </fill>
    <fill>
      <patternFill patternType="solid">
        <fgColor rgb="FFB7CF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1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2" fillId="0" borderId="0"/>
    <xf numFmtId="0" fontId="34" fillId="0" borderId="0"/>
    <xf numFmtId="0" fontId="34" fillId="0" borderId="0"/>
    <xf numFmtId="9" fontId="2" fillId="0" borderId="0" applyFont="0" applyFill="0" applyBorder="0" applyAlignment="0" applyProtection="0"/>
    <xf numFmtId="0" fontId="43" fillId="0" borderId="0"/>
    <xf numFmtId="9" fontId="32" fillId="0" borderId="0" applyFont="0" applyFill="0" applyBorder="0" applyAlignment="0" applyProtection="0"/>
  </cellStyleXfs>
  <cellXfs count="657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8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0" fontId="0" fillId="5" borderId="0" xfId="1" applyNumberFormat="1" applyFont="1" applyFill="1" applyAlignment="1">
      <alignment horizontal="center" vertical="center"/>
    </xf>
    <xf numFmtId="164" fontId="0" fillId="5" borderId="0" xfId="6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2" fontId="6" fillId="5" borderId="0" xfId="0" applyNumberFormat="1" applyFont="1" applyFill="1"/>
    <xf numFmtId="0" fontId="6" fillId="13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164" fontId="0" fillId="0" borderId="0" xfId="6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4" fillId="0" borderId="0" xfId="0" applyFont="1" applyAlignment="1">
      <alignment horizontal="center" vertical="center" textRotation="90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6" fillId="6" borderId="0" xfId="0" applyNumberFormat="1" applyFont="1" applyFill="1" applyAlignment="1">
      <alignment horizontal="center" vertical="center"/>
    </xf>
    <xf numFmtId="0" fontId="7" fillId="2" borderId="0" xfId="0" applyFont="1" applyFill="1"/>
    <xf numFmtId="0" fontId="8" fillId="0" borderId="0" xfId="0" applyFont="1"/>
    <xf numFmtId="164" fontId="4" fillId="2" borderId="0" xfId="6" applyFont="1" applyFill="1" applyBorder="1" applyAlignment="1" applyProtection="1">
      <alignment horizontal="center" vertical="center"/>
    </xf>
    <xf numFmtId="164" fontId="4" fillId="0" borderId="0" xfId="6" applyFont="1" applyFill="1" applyBorder="1" applyAlignment="1" applyProtection="1">
      <alignment horizontal="center" vertical="center"/>
    </xf>
    <xf numFmtId="0" fontId="15" fillId="0" borderId="0" xfId="2" applyNumberFormat="1" applyFont="1" applyFill="1" applyBorder="1" applyAlignment="1" applyProtection="1">
      <alignment horizontal="center" vertical="center"/>
    </xf>
    <xf numFmtId="172" fontId="17" fillId="10" borderId="0" xfId="2" applyNumberFormat="1" applyFont="1" applyFill="1" applyBorder="1" applyAlignment="1" applyProtection="1">
      <alignment horizontal="right" vertical="center"/>
    </xf>
    <xf numFmtId="0" fontId="6" fillId="10" borderId="0" xfId="0" applyFont="1" applyFill="1" applyAlignment="1">
      <alignment horizontal="center" vertical="center"/>
    </xf>
    <xf numFmtId="0" fontId="8" fillId="10" borderId="0" xfId="0" applyFont="1" applyFill="1"/>
    <xf numFmtId="174" fontId="17" fillId="10" borderId="0" xfId="2" applyNumberFormat="1" applyFont="1" applyFill="1" applyBorder="1" applyAlignment="1" applyProtection="1">
      <alignment horizontal="right" vertical="center"/>
    </xf>
    <xf numFmtId="0" fontId="6" fillId="10" borderId="0" xfId="0" applyFont="1" applyFill="1" applyAlignment="1">
      <alignment horizontal="center"/>
    </xf>
    <xf numFmtId="164" fontId="6" fillId="3" borderId="0" xfId="6" applyFont="1" applyFill="1" applyBorder="1" applyAlignment="1" applyProtection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4" fontId="6" fillId="15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164" fontId="6" fillId="0" borderId="0" xfId="6" applyFont="1" applyFill="1" applyBorder="1" applyAlignment="1" applyProtection="1">
      <alignment horizontal="center" vertical="center"/>
    </xf>
    <xf numFmtId="164" fontId="6" fillId="10" borderId="0" xfId="6" applyFont="1" applyFill="1" applyBorder="1" applyAlignment="1" applyProtection="1">
      <alignment vertical="center"/>
    </xf>
    <xf numFmtId="0" fontId="0" fillId="10" borderId="0" xfId="0" applyFill="1" applyAlignment="1">
      <alignment horizontal="center" vertical="center"/>
    </xf>
    <xf numFmtId="9" fontId="0" fillId="0" borderId="0" xfId="1" applyFont="1" applyBorder="1" applyAlignment="1" applyProtection="1">
      <alignment horizontal="center" vertical="center"/>
    </xf>
    <xf numFmtId="0" fontId="0" fillId="16" borderId="0" xfId="0" applyFill="1" applyAlignment="1">
      <alignment vertical="center"/>
    </xf>
    <xf numFmtId="1" fontId="0" fillId="16" borderId="0" xfId="0" applyNumberFormat="1" applyFill="1" applyAlignment="1">
      <alignment vertical="center"/>
    </xf>
    <xf numFmtId="0" fontId="34" fillId="0" borderId="0" xfId="9"/>
    <xf numFmtId="0" fontId="0" fillId="16" borderId="0" xfId="0" applyFill="1" applyAlignment="1">
      <alignment horizontal="center" vertical="center"/>
    </xf>
    <xf numFmtId="0" fontId="33" fillId="16" borderId="12" xfId="0" applyFont="1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6" borderId="6" xfId="0" applyFill="1" applyBorder="1" applyAlignment="1">
      <alignment vertical="center"/>
    </xf>
    <xf numFmtId="0" fontId="0" fillId="17" borderId="8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33" fillId="16" borderId="6" xfId="0" applyFont="1" applyFill="1" applyBorder="1" applyAlignment="1">
      <alignment vertical="center" wrapText="1"/>
    </xf>
    <xf numFmtId="0" fontId="0" fillId="16" borderId="6" xfId="0" applyFill="1" applyBorder="1" applyAlignment="1">
      <alignment vertical="center" wrapText="1"/>
    </xf>
    <xf numFmtId="0" fontId="33" fillId="16" borderId="6" xfId="0" applyFont="1" applyFill="1" applyBorder="1" applyAlignment="1">
      <alignment vertical="center"/>
    </xf>
    <xf numFmtId="0" fontId="0" fillId="16" borderId="6" xfId="0" applyFill="1" applyBorder="1" applyAlignment="1">
      <alignment horizontal="left" vertical="center" wrapText="1"/>
    </xf>
    <xf numFmtId="0" fontId="34" fillId="5" borderId="0" xfId="9" applyFill="1"/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33" fillId="5" borderId="6" xfId="0" applyFont="1" applyFill="1" applyBorder="1" applyAlignment="1">
      <alignment vertical="center" wrapText="1"/>
    </xf>
    <xf numFmtId="0" fontId="0" fillId="5" borderId="0" xfId="0" applyFill="1" applyAlignment="1">
      <alignment vertical="center"/>
    </xf>
    <xf numFmtId="1" fontId="0" fillId="5" borderId="0" xfId="0" applyNumberFormat="1" applyFill="1" applyAlignment="1">
      <alignment vertical="center"/>
    </xf>
    <xf numFmtId="0" fontId="0" fillId="5" borderId="6" xfId="0" applyFill="1" applyBorder="1" applyAlignment="1">
      <alignment horizontal="left" vertical="center"/>
    </xf>
    <xf numFmtId="164" fontId="6" fillId="3" borderId="0" xfId="6" applyFont="1" applyFill="1" applyBorder="1" applyAlignment="1" applyProtection="1">
      <alignment horizontal="center"/>
    </xf>
    <xf numFmtId="0" fontId="7" fillId="2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164" fontId="6" fillId="10" borderId="0" xfId="6" applyFont="1" applyFill="1" applyBorder="1" applyAlignment="1" applyProtection="1">
      <alignment horizontal="center" vertical="center"/>
    </xf>
    <xf numFmtId="4" fontId="0" fillId="10" borderId="0" xfId="0" applyNumberFormat="1" applyFill="1" applyAlignment="1">
      <alignment horizontal="center" vertical="center"/>
    </xf>
    <xf numFmtId="164" fontId="4" fillId="10" borderId="0" xfId="6" applyFont="1" applyFill="1" applyBorder="1" applyAlignment="1" applyProtection="1">
      <alignment horizontal="center" vertical="center"/>
    </xf>
    <xf numFmtId="164" fontId="36" fillId="10" borderId="0" xfId="6" applyFont="1" applyFill="1" applyBorder="1" applyAlignment="1" applyProtection="1">
      <alignment horizontal="center" vertical="center"/>
    </xf>
    <xf numFmtId="4" fontId="6" fillId="6" borderId="10" xfId="0" applyNumberFormat="1" applyFont="1" applyFill="1" applyBorder="1" applyAlignment="1">
      <alignment horizontal="center" vertical="center"/>
    </xf>
    <xf numFmtId="4" fontId="6" fillId="6" borderId="3" xfId="0" applyNumberFormat="1" applyFont="1" applyFill="1" applyBorder="1" applyAlignment="1">
      <alignment horizontal="center" vertical="center"/>
    </xf>
    <xf numFmtId="4" fontId="6" fillId="6" borderId="21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vertical="center"/>
    </xf>
    <xf numFmtId="43" fontId="4" fillId="8" borderId="7" xfId="2" applyFont="1" applyFill="1" applyBorder="1" applyAlignment="1" applyProtection="1">
      <alignment vertical="center"/>
    </xf>
    <xf numFmtId="164" fontId="4" fillId="2" borderId="7" xfId="6" applyFont="1" applyFill="1" applyBorder="1" applyAlignment="1" applyProtection="1">
      <alignment horizontal="center" vertical="center"/>
    </xf>
    <xf numFmtId="43" fontId="4" fillId="2" borderId="7" xfId="2" applyFont="1" applyFill="1" applyBorder="1" applyAlignment="1" applyProtection="1">
      <alignment horizontal="center" vertical="center"/>
    </xf>
    <xf numFmtId="0" fontId="4" fillId="2" borderId="7" xfId="2" applyNumberFormat="1" applyFont="1" applyFill="1" applyBorder="1" applyAlignment="1" applyProtection="1">
      <alignment horizontal="center" vertical="center"/>
    </xf>
    <xf numFmtId="4" fontId="6" fillId="6" borderId="19" xfId="0" applyNumberFormat="1" applyFont="1" applyFill="1" applyBorder="1" applyAlignment="1">
      <alignment horizontal="center" vertical="center"/>
    </xf>
    <xf numFmtId="4" fontId="6" fillId="6" borderId="20" xfId="0" applyNumberFormat="1" applyFont="1" applyFill="1" applyBorder="1" applyAlignment="1">
      <alignment horizontal="center" vertical="center"/>
    </xf>
    <xf numFmtId="4" fontId="6" fillId="6" borderId="9" xfId="0" applyNumberFormat="1" applyFont="1" applyFill="1" applyBorder="1" applyAlignment="1">
      <alignment horizontal="center" vertical="center"/>
    </xf>
    <xf numFmtId="4" fontId="6" fillId="6" borderId="5" xfId="0" applyNumberFormat="1" applyFont="1" applyFill="1" applyBorder="1" applyAlignment="1">
      <alignment horizontal="center" vertical="center"/>
    </xf>
    <xf numFmtId="43" fontId="31" fillId="2" borderId="7" xfId="2" applyFont="1" applyFill="1" applyBorder="1" applyAlignment="1" applyProtection="1">
      <alignment horizontal="center" vertical="center"/>
    </xf>
    <xf numFmtId="4" fontId="4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4" fontId="17" fillId="10" borderId="10" xfId="2" applyNumberFormat="1" applyFont="1" applyFill="1" applyBorder="1" applyAlignment="1" applyProtection="1">
      <alignment horizontal="righ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9" fillId="9" borderId="19" xfId="0" applyFont="1" applyFill="1" applyBorder="1" applyAlignment="1">
      <alignment horizontal="left" vertical="center"/>
    </xf>
    <xf numFmtId="0" fontId="19" fillId="10" borderId="19" xfId="0" applyFont="1" applyFill="1" applyBorder="1" applyAlignment="1">
      <alignment horizontal="left" vertical="center"/>
    </xf>
    <xf numFmtId="0" fontId="6" fillId="10" borderId="9" xfId="0" applyFont="1" applyFill="1" applyBorder="1" applyAlignment="1">
      <alignment vertical="center"/>
    </xf>
    <xf numFmtId="164" fontId="6" fillId="10" borderId="5" xfId="6" applyFont="1" applyFill="1" applyBorder="1" applyAlignment="1" applyProtection="1">
      <alignment horizontal="center" vertical="center"/>
    </xf>
    <xf numFmtId="164" fontId="6" fillId="10" borderId="10" xfId="6" applyFont="1" applyFill="1" applyBorder="1" applyAlignment="1" applyProtection="1">
      <alignment horizontal="center" vertical="center"/>
    </xf>
    <xf numFmtId="0" fontId="49" fillId="0" borderId="0" xfId="0" applyFont="1" applyAlignment="1">
      <alignment horizontal="center" vertical="top"/>
    </xf>
    <xf numFmtId="0" fontId="49" fillId="0" borderId="0" xfId="0" applyFont="1" applyAlignment="1">
      <alignment horizontal="center" vertical="top" wrapText="1"/>
    </xf>
    <xf numFmtId="0" fontId="49" fillId="0" borderId="0" xfId="0" applyFont="1" applyAlignment="1">
      <alignment horizontal="center" wrapText="1"/>
    </xf>
    <xf numFmtId="0" fontId="0" fillId="0" borderId="24" xfId="0" applyBorder="1"/>
    <xf numFmtId="10" fontId="0" fillId="0" borderId="24" xfId="0" applyNumberFormat="1" applyBorder="1" applyAlignment="1">
      <alignment horizontal="center"/>
    </xf>
    <xf numFmtId="10" fontId="0" fillId="10" borderId="24" xfId="0" applyNumberForma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wrapText="1"/>
    </xf>
    <xf numFmtId="10" fontId="0" fillId="0" borderId="0" xfId="0" applyNumberFormat="1" applyAlignment="1">
      <alignment horizontal="center"/>
    </xf>
    <xf numFmtId="0" fontId="7" fillId="2" borderId="19" xfId="0" applyFont="1" applyFill="1" applyBorder="1" applyAlignment="1">
      <alignment horizontal="left" vertical="center"/>
    </xf>
    <xf numFmtId="0" fontId="15" fillId="13" borderId="9" xfId="0" applyFont="1" applyFill="1" applyBorder="1" applyAlignment="1">
      <alignment vertical="center" wrapText="1"/>
    </xf>
    <xf numFmtId="0" fontId="33" fillId="5" borderId="6" xfId="0" applyFont="1" applyFill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0" fontId="50" fillId="13" borderId="0" xfId="9" applyFont="1" applyFill="1" applyAlignment="1">
      <alignment horizontal="left" vertical="center"/>
    </xf>
    <xf numFmtId="43" fontId="4" fillId="2" borderId="3" xfId="2" applyFont="1" applyFill="1" applyBorder="1" applyAlignment="1" applyProtection="1">
      <alignment horizontal="center" vertical="center"/>
    </xf>
    <xf numFmtId="0" fontId="4" fillId="2" borderId="3" xfId="2" applyNumberFormat="1" applyFont="1" applyFill="1" applyBorder="1" applyAlignment="1" applyProtection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10" borderId="0" xfId="2" applyNumberFormat="1" applyFont="1" applyFill="1" applyBorder="1" applyAlignment="1" applyProtection="1">
      <alignment horizontal="center" vertical="center"/>
    </xf>
    <xf numFmtId="0" fontId="17" fillId="0" borderId="0" xfId="2" applyNumberFormat="1" applyFont="1" applyFill="1" applyBorder="1" applyAlignment="1" applyProtection="1">
      <alignment horizontal="center" vertical="center"/>
    </xf>
    <xf numFmtId="1" fontId="18" fillId="0" borderId="0" xfId="2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" fontId="18" fillId="0" borderId="10" xfId="2" applyNumberFormat="1" applyFont="1" applyFill="1" applyBorder="1" applyAlignment="1" applyProtection="1">
      <alignment horizontal="center" vertical="center"/>
    </xf>
    <xf numFmtId="1" fontId="18" fillId="0" borderId="3" xfId="2" applyNumberFormat="1" applyFont="1" applyFill="1" applyBorder="1" applyAlignment="1" applyProtection="1">
      <alignment horizontal="center" vertical="center"/>
    </xf>
    <xf numFmtId="1" fontId="18" fillId="0" borderId="21" xfId="2" applyNumberFormat="1" applyFont="1" applyFill="1" applyBorder="1" applyAlignment="1" applyProtection="1">
      <alignment horizontal="center" vertical="center"/>
    </xf>
    <xf numFmtId="43" fontId="18" fillId="10" borderId="21" xfId="2" applyFont="1" applyFill="1" applyBorder="1" applyAlignment="1" applyProtection="1">
      <alignment horizontal="right" vertical="center"/>
    </xf>
    <xf numFmtId="164" fontId="6" fillId="0" borderId="19" xfId="6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center" wrapText="1"/>
    </xf>
    <xf numFmtId="172" fontId="0" fillId="0" borderId="1" xfId="0" applyNumberFormat="1" applyBorder="1" applyAlignment="1">
      <alignment horizontal="center" vertical="center"/>
    </xf>
    <xf numFmtId="173" fontId="0" fillId="0" borderId="31" xfId="1" applyNumberFormat="1" applyFont="1" applyBorder="1" applyAlignment="1" applyProtection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6" fillId="2" borderId="28" xfId="0" applyFont="1" applyFill="1" applyBorder="1" applyAlignment="1">
      <alignment horizontal="center" vertical="center"/>
    </xf>
    <xf numFmtId="0" fontId="26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72" fontId="18" fillId="0" borderId="0" xfId="2" applyNumberFormat="1" applyFont="1" applyFill="1" applyBorder="1" applyAlignment="1" applyProtection="1">
      <alignment vertical="center"/>
      <protection locked="0"/>
    </xf>
    <xf numFmtId="172" fontId="18" fillId="0" borderId="10" xfId="2" applyNumberFormat="1" applyFont="1" applyFill="1" applyBorder="1" applyAlignment="1" applyProtection="1">
      <alignment vertical="center"/>
      <protection locked="0"/>
    </xf>
    <xf numFmtId="172" fontId="18" fillId="10" borderId="0" xfId="2" applyNumberFormat="1" applyFont="1" applyFill="1" applyBorder="1" applyAlignment="1" applyProtection="1">
      <alignment vertical="center"/>
    </xf>
    <xf numFmtId="1" fontId="0" fillId="0" borderId="0" xfId="0" applyNumberFormat="1" applyAlignment="1">
      <alignment horizontal="left"/>
    </xf>
    <xf numFmtId="0" fontId="21" fillId="0" borderId="0" xfId="0" applyFont="1" applyAlignment="1">
      <alignment horizontal="center" vertical="center"/>
    </xf>
    <xf numFmtId="0" fontId="5" fillId="10" borderId="19" xfId="0" applyFont="1" applyFill="1" applyBorder="1" applyAlignment="1">
      <alignment vertical="center"/>
    </xf>
    <xf numFmtId="4" fontId="0" fillId="10" borderId="21" xfId="0" applyNumberFormat="1" applyFill="1" applyBorder="1" applyAlignment="1">
      <alignment horizontal="center" vertical="center"/>
    </xf>
    <xf numFmtId="0" fontId="5" fillId="10" borderId="18" xfId="0" applyFont="1" applyFill="1" applyBorder="1" applyAlignment="1">
      <alignment vertical="center"/>
    </xf>
    <xf numFmtId="172" fontId="6" fillId="3" borderId="0" xfId="2" applyNumberFormat="1" applyFont="1" applyFill="1" applyBorder="1" applyAlignment="1" applyProtection="1">
      <alignment horizontal="center" vertical="center"/>
    </xf>
    <xf numFmtId="172" fontId="6" fillId="3" borderId="3" xfId="2" applyNumberFormat="1" applyFont="1" applyFill="1" applyBorder="1" applyAlignment="1" applyProtection="1">
      <alignment horizontal="center" vertical="center"/>
    </xf>
    <xf numFmtId="172" fontId="6" fillId="3" borderId="9" xfId="2" applyNumberFormat="1" applyFont="1" applyFill="1" applyBorder="1" applyAlignment="1" applyProtection="1">
      <alignment horizontal="center" vertical="center"/>
    </xf>
    <xf numFmtId="4" fontId="4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textRotation="90"/>
    </xf>
    <xf numFmtId="172" fontId="6" fillId="3" borderId="0" xfId="2" applyNumberFormat="1" applyFont="1" applyFill="1" applyBorder="1" applyAlignment="1" applyProtection="1">
      <alignment horizontal="center" vertical="center"/>
      <protection locked="0"/>
    </xf>
    <xf numFmtId="172" fontId="6" fillId="3" borderId="9" xfId="2" applyNumberFormat="1" applyFont="1" applyFill="1" applyBorder="1" applyAlignment="1" applyProtection="1">
      <alignment horizontal="center" vertical="center"/>
      <protection locked="0"/>
    </xf>
    <xf numFmtId="172" fontId="6" fillId="3" borderId="10" xfId="2" applyNumberFormat="1" applyFont="1" applyFill="1" applyBorder="1" applyAlignment="1" applyProtection="1">
      <alignment horizontal="center" vertical="center"/>
      <protection locked="0"/>
    </xf>
    <xf numFmtId="172" fontId="6" fillId="3" borderId="21" xfId="2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31" fillId="8" borderId="20" xfId="0" applyFont="1" applyFill="1" applyBorder="1" applyAlignment="1">
      <alignment vertical="center"/>
    </xf>
    <xf numFmtId="4" fontId="4" fillId="2" borderId="3" xfId="0" applyNumberFormat="1" applyFont="1" applyFill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/>
    <xf numFmtId="17" fontId="0" fillId="0" borderId="6" xfId="0" applyNumberFormat="1" applyBorder="1" applyAlignment="1">
      <alignment horizontal="right"/>
    </xf>
    <xf numFmtId="17" fontId="0" fillId="0" borderId="2" xfId="0" applyNumberFormat="1" applyBorder="1"/>
    <xf numFmtId="0" fontId="0" fillId="0" borderId="6" xfId="0" applyBorder="1"/>
    <xf numFmtId="3" fontId="0" fillId="0" borderId="6" xfId="0" applyNumberFormat="1" applyBorder="1"/>
    <xf numFmtId="0" fontId="21" fillId="0" borderId="6" xfId="0" applyFont="1" applyBorder="1" applyAlignment="1">
      <alignment horizontal="right"/>
    </xf>
    <xf numFmtId="0" fontId="21" fillId="0" borderId="6" xfId="0" applyFont="1" applyBorder="1"/>
    <xf numFmtId="3" fontId="21" fillId="0" borderId="6" xfId="0" applyNumberFormat="1" applyFont="1" applyBorder="1"/>
    <xf numFmtId="0" fontId="21" fillId="0" borderId="0" xfId="0" applyFont="1" applyAlignment="1">
      <alignment horizontal="right"/>
    </xf>
    <xf numFmtId="0" fontId="8" fillId="11" borderId="0" xfId="2" applyNumberFormat="1" applyFont="1" applyFill="1" applyBorder="1" applyAlignment="1" applyProtection="1">
      <alignment horizontal="center" vertical="center"/>
      <protection locked="0"/>
    </xf>
    <xf numFmtId="175" fontId="8" fillId="23" borderId="6" xfId="6" applyNumberFormat="1" applyFont="1" applyFill="1" applyBorder="1" applyAlignment="1" applyProtection="1">
      <alignment horizontal="center" vertical="center" wrapText="1"/>
      <protection hidden="1"/>
    </xf>
    <xf numFmtId="3" fontId="0" fillId="0" borderId="6" xfId="0" applyNumberFormat="1" applyBorder="1" applyProtection="1">
      <protection hidden="1"/>
    </xf>
    <xf numFmtId="3" fontId="21" fillId="0" borderId="6" xfId="0" applyNumberFormat="1" applyFont="1" applyBorder="1" applyProtection="1">
      <protection hidden="1"/>
    </xf>
    <xf numFmtId="3" fontId="21" fillId="20" borderId="6" xfId="0" applyNumberFormat="1" applyFont="1" applyFill="1" applyBorder="1" applyProtection="1">
      <protection hidden="1"/>
    </xf>
    <xf numFmtId="0" fontId="25" fillId="2" borderId="0" xfId="0" applyFont="1" applyFill="1"/>
    <xf numFmtId="0" fontId="26" fillId="2" borderId="0" xfId="0" applyFont="1" applyFill="1"/>
    <xf numFmtId="0" fontId="25" fillId="2" borderId="6" xfId="0" applyFont="1" applyFill="1" applyBorder="1" applyAlignment="1">
      <alignment horizontal="center" vertical="center" wrapText="1"/>
    </xf>
    <xf numFmtId="49" fontId="58" fillId="10" borderId="19" xfId="0" applyNumberFormat="1" applyFont="1" applyFill="1" applyBorder="1" applyAlignment="1">
      <alignment horizontal="left" vertical="center"/>
    </xf>
    <xf numFmtId="0" fontId="6" fillId="10" borderId="10" xfId="0" applyFont="1" applyFill="1" applyBorder="1" applyAlignment="1">
      <alignment vertical="center"/>
    </xf>
    <xf numFmtId="49" fontId="18" fillId="0" borderId="19" xfId="0" applyNumberFormat="1" applyFont="1" applyBorder="1" applyAlignment="1">
      <alignment horizontal="left" vertical="center"/>
    </xf>
    <xf numFmtId="49" fontId="18" fillId="9" borderId="19" xfId="0" applyNumberFormat="1" applyFont="1" applyFill="1" applyBorder="1" applyAlignment="1">
      <alignment horizontal="left" vertical="center"/>
    </xf>
    <xf numFmtId="164" fontId="18" fillId="9" borderId="0" xfId="6" applyFont="1" applyFill="1" applyBorder="1" applyAlignment="1" applyProtection="1">
      <alignment vertical="center"/>
    </xf>
    <xf numFmtId="164" fontId="18" fillId="10" borderId="0" xfId="6" applyFont="1" applyFill="1" applyBorder="1" applyAlignment="1" applyProtection="1">
      <alignment vertical="center"/>
    </xf>
    <xf numFmtId="164" fontId="18" fillId="19" borderId="0" xfId="6" applyFont="1" applyFill="1" applyBorder="1" applyAlignment="1" applyProtection="1">
      <alignment vertical="center"/>
    </xf>
    <xf numFmtId="164" fontId="18" fillId="21" borderId="3" xfId="6" applyFont="1" applyFill="1" applyBorder="1" applyAlignment="1" applyProtection="1"/>
    <xf numFmtId="4" fontId="25" fillId="2" borderId="7" xfId="0" applyNumberFormat="1" applyFont="1" applyFill="1" applyBorder="1" applyAlignment="1">
      <alignment horizontal="center" vertical="center"/>
    </xf>
    <xf numFmtId="0" fontId="59" fillId="2" borderId="19" xfId="0" applyFont="1" applyFill="1" applyBorder="1" applyAlignment="1">
      <alignment horizontal="left" vertical="center"/>
    </xf>
    <xf numFmtId="174" fontId="18" fillId="10" borderId="3" xfId="2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right" vertical="center"/>
    </xf>
    <xf numFmtId="0" fontId="0" fillId="2" borderId="18" xfId="0" applyFill="1" applyBorder="1" applyAlignment="1">
      <alignment horizontal="right" vertical="center"/>
    </xf>
    <xf numFmtId="0" fontId="25" fillId="2" borderId="5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right" vertical="center"/>
    </xf>
    <xf numFmtId="164" fontId="0" fillId="11" borderId="38" xfId="6" applyFont="1" applyFill="1" applyBorder="1" applyAlignment="1">
      <alignment horizontal="center"/>
    </xf>
    <xf numFmtId="0" fontId="25" fillId="2" borderId="20" xfId="0" applyFont="1" applyFill="1" applyBorder="1" applyAlignment="1">
      <alignment horizontal="right" vertical="center"/>
    </xf>
    <xf numFmtId="164" fontId="0" fillId="11" borderId="10" xfId="6" applyFont="1" applyFill="1" applyBorder="1" applyAlignment="1">
      <alignment horizontal="center"/>
    </xf>
    <xf numFmtId="0" fontId="0" fillId="2" borderId="19" xfId="0" applyFill="1" applyBorder="1" applyAlignment="1">
      <alignment horizontal="right" vertical="center"/>
    </xf>
    <xf numFmtId="0" fontId="25" fillId="2" borderId="10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0" fillId="0" borderId="0" xfId="0" applyFont="1"/>
    <xf numFmtId="0" fontId="59" fillId="2" borderId="0" xfId="0" applyFont="1" applyFill="1" applyAlignment="1">
      <alignment horizontal="center" vertical="center"/>
    </xf>
    <xf numFmtId="0" fontId="59" fillId="2" borderId="0" xfId="0" applyFont="1" applyFill="1"/>
    <xf numFmtId="0" fontId="56" fillId="0" borderId="0" xfId="0" applyFont="1"/>
    <xf numFmtId="2" fontId="56" fillId="0" borderId="0" xfId="0" applyNumberFormat="1" applyFont="1"/>
    <xf numFmtId="2" fontId="56" fillId="5" borderId="6" xfId="0" applyNumberFormat="1" applyFont="1" applyFill="1" applyBorder="1" applyProtection="1">
      <protection locked="0"/>
    </xf>
    <xf numFmtId="4" fontId="18" fillId="13" borderId="9" xfId="0" applyNumberFormat="1" applyFont="1" applyFill="1" applyBorder="1" applyAlignment="1">
      <alignment horizontal="center" vertical="center" wrapText="1"/>
    </xf>
    <xf numFmtId="4" fontId="18" fillId="13" borderId="5" xfId="0" applyNumberFormat="1" applyFont="1" applyFill="1" applyBorder="1" applyAlignment="1">
      <alignment horizontal="center" vertical="center" wrapText="1"/>
    </xf>
    <xf numFmtId="4" fontId="18" fillId="13" borderId="3" xfId="0" applyNumberFormat="1" applyFont="1" applyFill="1" applyBorder="1" applyAlignment="1">
      <alignment horizontal="center" vertical="center" wrapText="1"/>
    </xf>
    <xf numFmtId="4" fontId="18" fillId="13" borderId="21" xfId="0" applyNumberFormat="1" applyFont="1" applyFill="1" applyBorder="1" applyAlignment="1">
      <alignment horizontal="center" vertical="center" wrapText="1"/>
    </xf>
    <xf numFmtId="0" fontId="6" fillId="10" borderId="0" xfId="0" applyFont="1" applyFill="1"/>
    <xf numFmtId="0" fontId="6" fillId="0" borderId="0" xfId="0" applyFont="1"/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textRotation="90"/>
    </xf>
    <xf numFmtId="171" fontId="6" fillId="10" borderId="0" xfId="0" applyNumberFormat="1" applyFont="1" applyFill="1"/>
    <xf numFmtId="164" fontId="6" fillId="3" borderId="0" xfId="0" applyNumberFormat="1" applyFont="1" applyFill="1"/>
    <xf numFmtId="164" fontId="8" fillId="3" borderId="0" xfId="6" applyFont="1" applyFill="1" applyBorder="1" applyAlignment="1" applyProtection="1">
      <alignment horizontal="center" vertical="center"/>
    </xf>
    <xf numFmtId="171" fontId="8" fillId="3" borderId="0" xfId="6" applyNumberFormat="1" applyFont="1" applyFill="1" applyBorder="1" applyAlignment="1" applyProtection="1">
      <alignment horizontal="center" vertical="center"/>
    </xf>
    <xf numFmtId="171" fontId="6" fillId="0" borderId="0" xfId="0" applyNumberFormat="1" applyFont="1"/>
    <xf numFmtId="9" fontId="6" fillId="0" borderId="0" xfId="1" applyFont="1" applyFill="1" applyBorder="1" applyAlignment="1" applyProtection="1"/>
    <xf numFmtId="164" fontId="6" fillId="0" borderId="0" xfId="0" applyNumberFormat="1" applyFont="1"/>
    <xf numFmtId="164" fontId="8" fillId="0" borderId="0" xfId="6" applyFont="1" applyFill="1" applyBorder="1" applyAlignment="1" applyProtection="1">
      <alignment horizontal="center" vertical="center"/>
    </xf>
    <xf numFmtId="164" fontId="5" fillId="0" borderId="0" xfId="6" applyFont="1" applyFill="1" applyBorder="1" applyAlignment="1" applyProtection="1">
      <alignment horizontal="center" vertical="center"/>
    </xf>
    <xf numFmtId="164" fontId="15" fillId="0" borderId="0" xfId="6" applyFont="1" applyFill="1" applyBorder="1" applyAlignment="1" applyProtection="1">
      <alignment horizontal="center" vertical="center"/>
    </xf>
    <xf numFmtId="0" fontId="5" fillId="13" borderId="0" xfId="0" applyFont="1" applyFill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7" fontId="6" fillId="10" borderId="0" xfId="0" applyNumberFormat="1" applyFont="1" applyFill="1"/>
    <xf numFmtId="168" fontId="6" fillId="10" borderId="0" xfId="0" applyNumberFormat="1" applyFont="1" applyFill="1"/>
    <xf numFmtId="0" fontId="5" fillId="13" borderId="3" xfId="0" applyFont="1" applyFill="1" applyBorder="1" applyAlignment="1">
      <alignment horizontal="left" vertical="center"/>
    </xf>
    <xf numFmtId="164" fontId="6" fillId="23" borderId="3" xfId="6" applyFont="1" applyFill="1" applyBorder="1" applyAlignment="1" applyProtection="1">
      <alignment horizontal="center" vertical="center"/>
    </xf>
    <xf numFmtId="3" fontId="8" fillId="10" borderId="0" xfId="0" applyNumberFormat="1" applyFont="1" applyFill="1"/>
    <xf numFmtId="171" fontId="29" fillId="2" borderId="0" xfId="0" applyNumberFormat="1" applyFont="1" applyFill="1"/>
    <xf numFmtId="169" fontId="8" fillId="10" borderId="0" xfId="0" applyNumberFormat="1" applyFont="1" applyFill="1"/>
    <xf numFmtId="0" fontId="9" fillId="0" borderId="0" xfId="0" applyFont="1" applyAlignment="1">
      <alignment horizontal="center" vertical="center" textRotation="90"/>
    </xf>
    <xf numFmtId="164" fontId="5" fillId="4" borderId="0" xfId="6" applyFont="1" applyFill="1" applyBorder="1" applyAlignment="1" applyProtection="1">
      <alignment horizontal="center" vertical="center"/>
    </xf>
    <xf numFmtId="164" fontId="6" fillId="0" borderId="0" xfId="6" applyFont="1" applyFill="1" applyBorder="1" applyAlignment="1" applyProtection="1"/>
    <xf numFmtId="0" fontId="6" fillId="0" borderId="10" xfId="0" applyFont="1" applyBorder="1"/>
    <xf numFmtId="170" fontId="6" fillId="10" borderId="0" xfId="0" applyNumberFormat="1" applyFont="1" applyFill="1"/>
    <xf numFmtId="43" fontId="6" fillId="0" borderId="0" xfId="2" applyFont="1" applyFill="1" applyBorder="1" applyAlignment="1" applyProtection="1"/>
    <xf numFmtId="167" fontId="7" fillId="10" borderId="0" xfId="0" applyNumberFormat="1" applyFont="1" applyFill="1" applyAlignment="1">
      <alignment horizontal="center" vertical="center"/>
    </xf>
    <xf numFmtId="0" fontId="31" fillId="2" borderId="20" xfId="0" applyFont="1" applyFill="1" applyBorder="1" applyAlignment="1">
      <alignment vertical="center"/>
    </xf>
    <xf numFmtId="0" fontId="31" fillId="2" borderId="7" xfId="0" applyFont="1" applyFill="1" applyBorder="1" applyAlignment="1">
      <alignment vertical="center"/>
    </xf>
    <xf numFmtId="0" fontId="9" fillId="8" borderId="7" xfId="0" applyFont="1" applyFill="1" applyBorder="1" applyAlignment="1">
      <alignment vertical="center" textRotation="90"/>
    </xf>
    <xf numFmtId="0" fontId="9" fillId="8" borderId="3" xfId="0" applyFont="1" applyFill="1" applyBorder="1" applyAlignment="1">
      <alignment vertical="center" textRotation="90"/>
    </xf>
    <xf numFmtId="0" fontId="19" fillId="10" borderId="0" xfId="0" applyFont="1" applyFill="1" applyAlignment="1">
      <alignment horizontal="center" vertical="center"/>
    </xf>
    <xf numFmtId="164" fontId="6" fillId="10" borderId="0" xfId="6" applyFont="1" applyFill="1" applyBorder="1" applyAlignment="1" applyProtection="1"/>
    <xf numFmtId="164" fontId="5" fillId="3" borderId="0" xfId="6" applyFont="1" applyFill="1" applyBorder="1" applyAlignment="1" applyProtection="1">
      <alignment horizontal="center" vertical="center"/>
    </xf>
    <xf numFmtId="167" fontId="7" fillId="2" borderId="34" xfId="0" applyNumberFormat="1" applyFont="1" applyFill="1" applyBorder="1" applyAlignment="1">
      <alignment horizontal="center" vertical="center"/>
    </xf>
    <xf numFmtId="167" fontId="7" fillId="2" borderId="35" xfId="0" applyNumberFormat="1" applyFont="1" applyFill="1" applyBorder="1" applyAlignment="1">
      <alignment horizontal="center" vertical="center"/>
    </xf>
    <xf numFmtId="164" fontId="59" fillId="2" borderId="0" xfId="0" applyNumberFormat="1" applyFont="1" applyFill="1"/>
    <xf numFmtId="164" fontId="59" fillId="2" borderId="10" xfId="0" applyNumberFormat="1" applyFont="1" applyFill="1" applyBorder="1"/>
    <xf numFmtId="43" fontId="31" fillId="2" borderId="7" xfId="2" applyFont="1" applyFill="1" applyBorder="1" applyAlignment="1" applyProtection="1">
      <alignment vertical="center"/>
    </xf>
    <xf numFmtId="0" fontId="19" fillId="21" borderId="19" xfId="0" applyFont="1" applyFill="1" applyBorder="1" applyAlignment="1">
      <alignment horizontal="left" vertical="center"/>
    </xf>
    <xf numFmtId="164" fontId="3" fillId="0" borderId="0" xfId="6" applyFont="1" applyFill="1" applyBorder="1" applyAlignment="1" applyProtection="1">
      <alignment horizontal="center" vertical="center" textRotation="90"/>
    </xf>
    <xf numFmtId="0" fontId="19" fillId="21" borderId="20" xfId="0" applyFont="1" applyFill="1" applyBorder="1" applyAlignment="1">
      <alignment horizontal="left" vertical="center"/>
    </xf>
    <xf numFmtId="164" fontId="5" fillId="10" borderId="10" xfId="6" applyFont="1" applyFill="1" applyBorder="1" applyAlignment="1" applyProtection="1">
      <alignment horizontal="center" vertical="center"/>
    </xf>
    <xf numFmtId="164" fontId="5" fillId="10" borderId="0" xfId="6" applyFont="1" applyFill="1" applyBorder="1" applyAlignment="1" applyProtection="1">
      <alignment horizontal="center" vertical="center"/>
    </xf>
    <xf numFmtId="164" fontId="3" fillId="3" borderId="0" xfId="6" applyFont="1" applyFill="1" applyBorder="1" applyAlignment="1" applyProtection="1">
      <alignment horizontal="center" vertical="center" textRotation="90"/>
    </xf>
    <xf numFmtId="0" fontId="6" fillId="3" borderId="0" xfId="0" applyFont="1" applyFill="1"/>
    <xf numFmtId="0" fontId="0" fillId="10" borderId="0" xfId="0" applyFill="1"/>
    <xf numFmtId="43" fontId="31" fillId="2" borderId="3" xfId="2" applyFont="1" applyFill="1" applyBorder="1" applyAlignment="1" applyProtection="1">
      <alignment horizontal="center" vertical="center"/>
    </xf>
    <xf numFmtId="169" fontId="18" fillId="10" borderId="0" xfId="0" applyNumberFormat="1" applyFont="1" applyFill="1" applyAlignment="1">
      <alignment horizontal="right" vertical="center"/>
    </xf>
    <xf numFmtId="169" fontId="17" fillId="10" borderId="0" xfId="2" applyNumberFormat="1" applyFont="1" applyFill="1" applyBorder="1" applyAlignment="1" applyProtection="1">
      <alignment horizontal="right" vertical="center"/>
    </xf>
    <xf numFmtId="169" fontId="7" fillId="0" borderId="0" xfId="0" applyNumberFormat="1" applyFont="1" applyAlignment="1">
      <alignment horizontal="right" vertical="center"/>
    </xf>
    <xf numFmtId="172" fontId="18" fillId="10" borderId="9" xfId="0" applyNumberFormat="1" applyFont="1" applyFill="1" applyBorder="1" applyAlignment="1">
      <alignment horizontal="right"/>
    </xf>
    <xf numFmtId="4" fontId="18" fillId="0" borderId="3" xfId="0" applyNumberFormat="1" applyFont="1" applyBorder="1" applyAlignment="1">
      <alignment horizontal="right" vertical="center"/>
    </xf>
    <xf numFmtId="0" fontId="6" fillId="0" borderId="9" xfId="0" applyFont="1" applyBorder="1"/>
    <xf numFmtId="0" fontId="6" fillId="0" borderId="5" xfId="0" applyFont="1" applyBorder="1"/>
    <xf numFmtId="169" fontId="18" fillId="10" borderId="9" xfId="0" applyNumberFormat="1" applyFont="1" applyFill="1" applyBorder="1" applyAlignment="1">
      <alignment horizontal="right" vertical="center"/>
    </xf>
    <xf numFmtId="9" fontId="18" fillId="0" borderId="5" xfId="1" applyFont="1" applyFill="1" applyBorder="1" applyAlignment="1" applyProtection="1">
      <alignment horizontal="right" vertical="center"/>
    </xf>
    <xf numFmtId="9" fontId="18" fillId="0" borderId="10" xfId="1" applyFont="1" applyFill="1" applyBorder="1" applyAlignment="1" applyProtection="1">
      <alignment horizontal="right" vertical="center"/>
    </xf>
    <xf numFmtId="169" fontId="7" fillId="0" borderId="10" xfId="0" applyNumberFormat="1" applyFont="1" applyBorder="1" applyAlignment="1">
      <alignment horizontal="right" vertical="center"/>
    </xf>
    <xf numFmtId="0" fontId="6" fillId="0" borderId="7" xfId="0" applyFont="1" applyBorder="1"/>
    <xf numFmtId="0" fontId="7" fillId="2" borderId="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9" fontId="18" fillId="0" borderId="41" xfId="1" applyFont="1" applyFill="1" applyBorder="1" applyAlignment="1" applyProtection="1">
      <alignment horizontal="right" vertical="center"/>
    </xf>
    <xf numFmtId="9" fontId="18" fillId="0" borderId="37" xfId="1" applyFont="1" applyFill="1" applyBorder="1" applyAlignment="1" applyProtection="1">
      <alignment horizontal="right" vertical="center"/>
    </xf>
    <xf numFmtId="169" fontId="7" fillId="0" borderId="37" xfId="0" applyNumberFormat="1" applyFont="1" applyBorder="1" applyAlignment="1">
      <alignment horizontal="right" vertical="center"/>
    </xf>
    <xf numFmtId="9" fontId="63" fillId="0" borderId="37" xfId="1" applyFont="1" applyFill="1" applyBorder="1" applyAlignment="1" applyProtection="1">
      <alignment horizontal="right" vertical="center"/>
    </xf>
    <xf numFmtId="9" fontId="63" fillId="0" borderId="10" xfId="1" applyFont="1" applyFill="1" applyBorder="1" applyAlignment="1" applyProtection="1">
      <alignment horizontal="right" vertical="center"/>
    </xf>
    <xf numFmtId="9" fontId="63" fillId="0" borderId="39" xfId="1" applyFont="1" applyFill="1" applyBorder="1" applyAlignment="1" applyProtection="1">
      <alignment horizontal="right" vertical="center"/>
    </xf>
    <xf numFmtId="9" fontId="63" fillId="0" borderId="21" xfId="1" applyFont="1" applyFill="1" applyBorder="1" applyAlignment="1" applyProtection="1">
      <alignment horizontal="right" vertical="center"/>
    </xf>
    <xf numFmtId="169" fontId="63" fillId="10" borderId="0" xfId="0" applyNumberFormat="1" applyFont="1" applyFill="1" applyAlignment="1">
      <alignment horizontal="right" vertical="center"/>
    </xf>
    <xf numFmtId="169" fontId="61" fillId="10" borderId="0" xfId="2" applyNumberFormat="1" applyFont="1" applyFill="1" applyBorder="1" applyAlignment="1" applyProtection="1">
      <alignment horizontal="right" vertical="center"/>
    </xf>
    <xf numFmtId="169" fontId="61" fillId="10" borderId="3" xfId="2" applyNumberFormat="1" applyFont="1" applyFill="1" applyBorder="1" applyAlignment="1" applyProtection="1">
      <alignment horizontal="right" vertical="center"/>
    </xf>
    <xf numFmtId="164" fontId="0" fillId="11" borderId="35" xfId="6" applyFont="1" applyFill="1" applyBorder="1" applyAlignment="1">
      <alignment horizontal="center"/>
    </xf>
    <xf numFmtId="3" fontId="66" fillId="24" borderId="6" xfId="3" applyNumberFormat="1" applyFont="1" applyFill="1" applyBorder="1" applyAlignment="1">
      <alignment horizontal="center" vertical="center" wrapText="1"/>
    </xf>
    <xf numFmtId="3" fontId="64" fillId="24" borderId="6" xfId="3" applyNumberFormat="1" applyFont="1" applyFill="1" applyBorder="1" applyAlignment="1">
      <alignment horizontal="center" vertical="center" wrapText="1"/>
    </xf>
    <xf numFmtId="0" fontId="67" fillId="24" borderId="45" xfId="3" applyFont="1" applyFill="1" applyBorder="1" applyAlignment="1">
      <alignment horizontal="center" vertical="center"/>
    </xf>
    <xf numFmtId="9" fontId="2" fillId="0" borderId="6" xfId="3" applyNumberFormat="1" applyBorder="1" applyAlignment="1">
      <alignment horizontal="center" vertical="center"/>
    </xf>
    <xf numFmtId="9" fontId="28" fillId="0" borderId="45" xfId="5" applyFont="1" applyBorder="1" applyAlignment="1" applyProtection="1">
      <alignment horizontal="center" vertical="center"/>
    </xf>
    <xf numFmtId="0" fontId="66" fillId="24" borderId="6" xfId="3" applyFont="1" applyFill="1" applyBorder="1" applyAlignment="1">
      <alignment horizontal="center" vertical="center"/>
    </xf>
    <xf numFmtId="0" fontId="66" fillId="24" borderId="45" xfId="3" applyFont="1" applyFill="1" applyBorder="1" applyAlignment="1">
      <alignment horizontal="center" vertical="center"/>
    </xf>
    <xf numFmtId="3" fontId="27" fillId="0" borderId="33" xfId="3" applyNumberFormat="1" applyFont="1" applyBorder="1" applyAlignment="1">
      <alignment horizontal="center" vertical="center"/>
    </xf>
    <xf numFmtId="3" fontId="27" fillId="0" borderId="47" xfId="3" applyNumberFormat="1" applyFont="1" applyBorder="1" applyAlignment="1">
      <alignment horizontal="center" vertical="center"/>
    </xf>
    <xf numFmtId="170" fontId="64" fillId="24" borderId="45" xfId="3" applyNumberFormat="1" applyFont="1" applyFill="1" applyBorder="1" applyAlignment="1">
      <alignment horizontal="center" vertical="center" wrapText="1"/>
    </xf>
    <xf numFmtId="3" fontId="27" fillId="0" borderId="0" xfId="3" applyNumberFormat="1" applyFont="1"/>
    <xf numFmtId="170" fontId="27" fillId="0" borderId="0" xfId="3" applyNumberFormat="1" applyFont="1"/>
    <xf numFmtId="3" fontId="2" fillId="0" borderId="0" xfId="3" applyNumberFormat="1"/>
    <xf numFmtId="3" fontId="64" fillId="0" borderId="0" xfId="3" applyNumberFormat="1" applyFont="1"/>
    <xf numFmtId="0" fontId="2" fillId="0" borderId="0" xfId="3"/>
    <xf numFmtId="9" fontId="71" fillId="26" borderId="54" xfId="0" applyNumberFormat="1" applyFont="1" applyFill="1" applyBorder="1" applyAlignment="1">
      <alignment horizontal="center" vertical="center" wrapText="1"/>
    </xf>
    <xf numFmtId="9" fontId="71" fillId="26" borderId="55" xfId="0" applyNumberFormat="1" applyFont="1" applyFill="1" applyBorder="1" applyAlignment="1">
      <alignment horizontal="center" vertical="center" wrapText="1"/>
    </xf>
    <xf numFmtId="9" fontId="71" fillId="27" borderId="55" xfId="0" applyNumberFormat="1" applyFont="1" applyFill="1" applyBorder="1" applyAlignment="1">
      <alignment horizontal="center" vertical="center" wrapText="1"/>
    </xf>
    <xf numFmtId="9" fontId="71" fillId="28" borderId="56" xfId="0" applyNumberFormat="1" applyFont="1" applyFill="1" applyBorder="1" applyAlignment="1">
      <alignment horizontal="center" vertical="center" wrapText="1"/>
    </xf>
    <xf numFmtId="9" fontId="71" fillId="26" borderId="57" xfId="0" applyNumberFormat="1" applyFont="1" applyFill="1" applyBorder="1" applyAlignment="1">
      <alignment horizontal="center" vertical="center" wrapText="1"/>
    </xf>
    <xf numFmtId="9" fontId="71" fillId="26" borderId="58" xfId="0" applyNumberFormat="1" applyFont="1" applyFill="1" applyBorder="1" applyAlignment="1">
      <alignment horizontal="center" vertical="center" wrapText="1"/>
    </xf>
    <xf numFmtId="9" fontId="71" fillId="27" borderId="58" xfId="0" applyNumberFormat="1" applyFont="1" applyFill="1" applyBorder="1" applyAlignment="1">
      <alignment horizontal="center" vertical="center" wrapText="1"/>
    </xf>
    <xf numFmtId="9" fontId="71" fillId="28" borderId="59" xfId="0" applyNumberFormat="1" applyFont="1" applyFill="1" applyBorder="1" applyAlignment="1">
      <alignment horizontal="center" vertical="center" wrapText="1"/>
    </xf>
    <xf numFmtId="3" fontId="43" fillId="11" borderId="45" xfId="4" applyNumberFormat="1" applyFont="1" applyFill="1" applyBorder="1" applyAlignment="1" applyProtection="1">
      <alignment horizontal="right" indent="1"/>
      <protection locked="0"/>
    </xf>
    <xf numFmtId="3" fontId="11" fillId="11" borderId="45" xfId="4" applyNumberFormat="1" applyFill="1" applyBorder="1" applyAlignment="1" applyProtection="1">
      <alignment horizontal="right" indent="1"/>
      <protection locked="0"/>
    </xf>
    <xf numFmtId="3" fontId="11" fillId="11" borderId="47" xfId="4" applyNumberFormat="1" applyFill="1" applyBorder="1" applyAlignment="1" applyProtection="1">
      <alignment horizontal="right" indent="1"/>
      <protection locked="0"/>
    </xf>
    <xf numFmtId="0" fontId="70" fillId="26" borderId="51" xfId="0" applyFont="1" applyFill="1" applyBorder="1" applyAlignment="1">
      <alignment horizontal="center" vertical="center" wrapText="1"/>
    </xf>
    <xf numFmtId="0" fontId="70" fillId="26" borderId="52" xfId="0" applyFont="1" applyFill="1" applyBorder="1" applyAlignment="1">
      <alignment horizontal="center" vertical="center" wrapText="1"/>
    </xf>
    <xf numFmtId="0" fontId="70" fillId="27" borderId="52" xfId="0" applyFont="1" applyFill="1" applyBorder="1" applyAlignment="1">
      <alignment horizontal="center" vertical="center" wrapText="1"/>
    </xf>
    <xf numFmtId="0" fontId="70" fillId="28" borderId="53" xfId="0" applyFont="1" applyFill="1" applyBorder="1" applyAlignment="1">
      <alignment horizontal="center" vertical="center" wrapText="1"/>
    </xf>
    <xf numFmtId="49" fontId="0" fillId="22" borderId="60" xfId="0" applyNumberFormat="1" applyFill="1" applyBorder="1" applyAlignment="1">
      <alignment horizontal="left" vertical="center" wrapText="1"/>
    </xf>
    <xf numFmtId="49" fontId="72" fillId="22" borderId="60" xfId="0" applyNumberFormat="1" applyFont="1" applyFill="1" applyBorder="1" applyAlignment="1">
      <alignment horizontal="right" vertical="center" wrapText="1"/>
    </xf>
    <xf numFmtId="49" fontId="72" fillId="22" borderId="60" xfId="0" applyNumberFormat="1" applyFont="1" applyFill="1" applyBorder="1" applyAlignment="1">
      <alignment horizontal="left" vertical="center" wrapText="1"/>
    </xf>
    <xf numFmtId="49" fontId="72" fillId="29" borderId="60" xfId="0" applyNumberFormat="1" applyFont="1" applyFill="1" applyBorder="1" applyAlignment="1">
      <alignment horizontal="left" vertical="center" wrapText="1"/>
    </xf>
    <xf numFmtId="49" fontId="72" fillId="30" borderId="60" xfId="0" applyNumberFormat="1" applyFont="1" applyFill="1" applyBorder="1" applyAlignment="1">
      <alignment horizontal="left" vertical="center" wrapText="1"/>
    </xf>
    <xf numFmtId="49" fontId="0" fillId="30" borderId="60" xfId="0" applyNumberFormat="1" applyFill="1" applyBorder="1" applyAlignment="1">
      <alignment horizontal="left" vertical="center" wrapText="1"/>
    </xf>
    <xf numFmtId="167" fontId="72" fillId="31" borderId="60" xfId="0" applyNumberFormat="1" applyFont="1" applyFill="1" applyBorder="1" applyAlignment="1">
      <alignment horizontal="right" vertical="center" wrapText="1"/>
    </xf>
    <xf numFmtId="176" fontId="72" fillId="31" borderId="60" xfId="0" applyNumberFormat="1" applyFont="1" applyFill="1" applyBorder="1" applyAlignment="1">
      <alignment horizontal="right" vertical="center" wrapText="1"/>
    </xf>
    <xf numFmtId="167" fontId="72" fillId="29" borderId="60" xfId="0" applyNumberFormat="1" applyFont="1" applyFill="1" applyBorder="1" applyAlignment="1">
      <alignment horizontal="right" vertical="center" wrapText="1"/>
    </xf>
    <xf numFmtId="176" fontId="72" fillId="29" borderId="60" xfId="0" applyNumberFormat="1" applyFont="1" applyFill="1" applyBorder="1" applyAlignment="1">
      <alignment horizontal="right" vertical="center" wrapText="1"/>
    </xf>
    <xf numFmtId="49" fontId="72" fillId="32" borderId="60" xfId="0" applyNumberFormat="1" applyFont="1" applyFill="1" applyBorder="1" applyAlignment="1">
      <alignment horizontal="left" vertical="center" wrapText="1" indent="1"/>
    </xf>
    <xf numFmtId="49" fontId="0" fillId="32" borderId="60" xfId="0" applyNumberFormat="1" applyFill="1" applyBorder="1" applyAlignment="1">
      <alignment horizontal="left" vertical="center" wrapText="1"/>
    </xf>
    <xf numFmtId="167" fontId="72" fillId="33" borderId="60" xfId="0" applyNumberFormat="1" applyFont="1" applyFill="1" applyBorder="1" applyAlignment="1">
      <alignment horizontal="right" vertical="center" wrapText="1"/>
    </xf>
    <xf numFmtId="176" fontId="72" fillId="33" borderId="60" xfId="0" applyNumberFormat="1" applyFont="1" applyFill="1" applyBorder="1" applyAlignment="1">
      <alignment horizontal="right" vertical="center" wrapText="1"/>
    </xf>
    <xf numFmtId="177" fontId="72" fillId="31" borderId="60" xfId="0" applyNumberFormat="1" applyFont="1" applyFill="1" applyBorder="1" applyAlignment="1">
      <alignment horizontal="right" vertical="center" wrapText="1"/>
    </xf>
    <xf numFmtId="0" fontId="72" fillId="31" borderId="60" xfId="0" applyFont="1" applyFill="1" applyBorder="1" applyAlignment="1">
      <alignment horizontal="right" vertical="center" wrapText="1"/>
    </xf>
    <xf numFmtId="177" fontId="72" fillId="29" borderId="60" xfId="0" applyNumberFormat="1" applyFont="1" applyFill="1" applyBorder="1" applyAlignment="1">
      <alignment horizontal="right" vertical="center" wrapText="1"/>
    </xf>
    <xf numFmtId="0" fontId="72" fillId="29" borderId="60" xfId="0" applyFont="1" applyFill="1" applyBorder="1" applyAlignment="1">
      <alignment horizontal="right" vertical="center" wrapText="1"/>
    </xf>
    <xf numFmtId="178" fontId="72" fillId="33" borderId="60" xfId="0" applyNumberFormat="1" applyFont="1" applyFill="1" applyBorder="1" applyAlignment="1">
      <alignment horizontal="right" vertical="center" wrapText="1"/>
    </xf>
    <xf numFmtId="0" fontId="72" fillId="33" borderId="60" xfId="0" applyFont="1" applyFill="1" applyBorder="1" applyAlignment="1">
      <alignment horizontal="right" vertical="center" wrapText="1"/>
    </xf>
    <xf numFmtId="178" fontId="72" fillId="29" borderId="60" xfId="0" applyNumberFormat="1" applyFont="1" applyFill="1" applyBorder="1" applyAlignment="1">
      <alignment horizontal="right" vertical="center" wrapText="1"/>
    </xf>
    <xf numFmtId="49" fontId="72" fillId="34" borderId="60" xfId="0" applyNumberFormat="1" applyFont="1" applyFill="1" applyBorder="1" applyAlignment="1">
      <alignment horizontal="left" vertical="center" wrapText="1" indent="2"/>
    </xf>
    <xf numFmtId="49" fontId="0" fillId="34" borderId="60" xfId="0" applyNumberFormat="1" applyFill="1" applyBorder="1" applyAlignment="1">
      <alignment horizontal="left" vertical="center" wrapText="1"/>
    </xf>
    <xf numFmtId="3" fontId="27" fillId="0" borderId="6" xfId="3" applyNumberFormat="1" applyFont="1" applyBorder="1" applyAlignment="1">
      <alignment horizontal="center" vertical="center"/>
    </xf>
    <xf numFmtId="10" fontId="0" fillId="11" borderId="35" xfId="6" applyNumberFormat="1" applyFont="1" applyFill="1" applyBorder="1" applyAlignment="1">
      <alignment horizontal="center"/>
    </xf>
    <xf numFmtId="10" fontId="0" fillId="11" borderId="40" xfId="6" applyNumberFormat="1" applyFont="1" applyFill="1" applyBorder="1" applyAlignment="1">
      <alignment horizontal="center"/>
    </xf>
    <xf numFmtId="10" fontId="0" fillId="11" borderId="38" xfId="6" applyNumberFormat="1" applyFont="1" applyFill="1" applyBorder="1" applyAlignment="1">
      <alignment horizontal="center"/>
    </xf>
    <xf numFmtId="10" fontId="0" fillId="11" borderId="21" xfId="6" applyNumberFormat="1" applyFont="1" applyFill="1" applyBorder="1" applyAlignment="1">
      <alignment horizontal="center"/>
    </xf>
    <xf numFmtId="10" fontId="27" fillId="0" borderId="6" xfId="3" applyNumberFormat="1" applyFont="1" applyBorder="1" applyAlignment="1">
      <alignment horizontal="center" vertical="center"/>
    </xf>
    <xf numFmtId="0" fontId="3" fillId="0" borderId="0" xfId="0" applyFont="1" applyAlignment="1">
      <alignment vertical="center" textRotation="90"/>
    </xf>
    <xf numFmtId="164" fontId="8" fillId="3" borderId="0" xfId="0" applyNumberFormat="1" applyFont="1" applyFill="1"/>
    <xf numFmtId="166" fontId="8" fillId="4" borderId="0" xfId="0" applyNumberFormat="1" applyFont="1" applyFill="1" applyAlignment="1">
      <alignment horizontal="center" vertical="center"/>
    </xf>
    <xf numFmtId="166" fontId="8" fillId="11" borderId="0" xfId="0" applyNumberFormat="1" applyFont="1" applyFill="1" applyAlignment="1">
      <alignment horizontal="center" vertical="center"/>
    </xf>
    <xf numFmtId="174" fontId="17" fillId="36" borderId="19" xfId="2" applyNumberFormat="1" applyFont="1" applyFill="1" applyBorder="1" applyAlignment="1" applyProtection="1">
      <alignment vertical="center"/>
      <protection locked="0"/>
    </xf>
    <xf numFmtId="172" fontId="17" fillId="36" borderId="0" xfId="2" applyNumberFormat="1" applyFont="1" applyFill="1" applyBorder="1" applyAlignment="1" applyProtection="1">
      <alignment horizontal="right" vertical="center"/>
      <protection locked="0"/>
    </xf>
    <xf numFmtId="172" fontId="18" fillId="35" borderId="9" xfId="0" applyNumberFormat="1" applyFont="1" applyFill="1" applyBorder="1" applyAlignment="1" applyProtection="1">
      <alignment horizontal="right"/>
      <protection locked="0"/>
    </xf>
    <xf numFmtId="172" fontId="18" fillId="35" borderId="5" xfId="0" applyNumberFormat="1" applyFont="1" applyFill="1" applyBorder="1" applyAlignment="1" applyProtection="1">
      <alignment horizontal="right"/>
      <protection locked="0"/>
    </xf>
    <xf numFmtId="172" fontId="17" fillId="36" borderId="10" xfId="2" applyNumberFormat="1" applyFont="1" applyFill="1" applyBorder="1" applyAlignment="1" applyProtection="1">
      <alignment horizontal="right" vertical="center"/>
      <protection locked="0"/>
    </xf>
    <xf numFmtId="0" fontId="56" fillId="35" borderId="9" xfId="0" applyFont="1" applyFill="1" applyBorder="1" applyAlignment="1" applyProtection="1">
      <alignment horizontal="center" vertical="center"/>
      <protection locked="0"/>
    </xf>
    <xf numFmtId="0" fontId="17" fillId="36" borderId="9" xfId="2" applyNumberFormat="1" applyFont="1" applyFill="1" applyBorder="1" applyAlignment="1" applyProtection="1">
      <alignment horizontal="center" vertical="center"/>
      <protection locked="0"/>
    </xf>
    <xf numFmtId="0" fontId="17" fillId="36" borderId="5" xfId="2" applyNumberFormat="1" applyFont="1" applyFill="1" applyBorder="1" applyAlignment="1" applyProtection="1">
      <alignment horizontal="center" vertical="center"/>
      <protection locked="0"/>
    </xf>
    <xf numFmtId="0" fontId="17" fillId="36" borderId="0" xfId="2" applyNumberFormat="1" applyFont="1" applyFill="1" applyBorder="1" applyAlignment="1" applyProtection="1">
      <alignment horizontal="center" vertical="center"/>
      <protection locked="0"/>
    </xf>
    <xf numFmtId="0" fontId="17" fillId="36" borderId="10" xfId="2" applyNumberFormat="1" applyFont="1" applyFill="1" applyBorder="1" applyAlignment="1" applyProtection="1">
      <alignment horizontal="center" vertical="center"/>
      <protection locked="0"/>
    </xf>
    <xf numFmtId="0" fontId="18" fillId="36" borderId="21" xfId="2" applyNumberFormat="1" applyFont="1" applyFill="1" applyBorder="1" applyAlignment="1" applyProtection="1">
      <alignment horizontal="center" vertical="center"/>
      <protection locked="0"/>
    </xf>
    <xf numFmtId="0" fontId="18" fillId="35" borderId="3" xfId="0" applyFont="1" applyFill="1" applyBorder="1" applyAlignment="1" applyProtection="1">
      <alignment horizontal="center" vertical="center"/>
      <protection locked="0"/>
    </xf>
    <xf numFmtId="0" fontId="17" fillId="35" borderId="3" xfId="2" applyNumberFormat="1" applyFont="1" applyFill="1" applyBorder="1" applyAlignment="1" applyProtection="1">
      <alignment horizontal="center" vertical="center"/>
      <protection locked="0"/>
    </xf>
    <xf numFmtId="0" fontId="18" fillId="36" borderId="3" xfId="2" applyNumberFormat="1" applyFont="1" applyFill="1" applyBorder="1" applyAlignment="1" applyProtection="1">
      <alignment horizontal="center" vertical="center"/>
      <protection locked="0"/>
    </xf>
    <xf numFmtId="1" fontId="17" fillId="35" borderId="9" xfId="2" applyNumberFormat="1" applyFont="1" applyFill="1" applyBorder="1" applyAlignment="1" applyProtection="1">
      <alignment horizontal="center" vertical="center"/>
      <protection locked="0"/>
    </xf>
    <xf numFmtId="2" fontId="17" fillId="35" borderId="0" xfId="6" applyNumberFormat="1" applyFont="1" applyFill="1" applyBorder="1" applyAlignment="1" applyProtection="1">
      <alignment horizontal="center" vertical="center"/>
      <protection locked="0"/>
    </xf>
    <xf numFmtId="0" fontId="27" fillId="35" borderId="30" xfId="0" applyFont="1" applyFill="1" applyBorder="1" applyAlignment="1" applyProtection="1">
      <alignment horizontal="center" vertical="center"/>
      <protection locked="0"/>
    </xf>
    <xf numFmtId="164" fontId="18" fillId="36" borderId="10" xfId="6" applyFont="1" applyFill="1" applyBorder="1" applyAlignment="1" applyProtection="1">
      <protection locked="0"/>
    </xf>
    <xf numFmtId="164" fontId="18" fillId="36" borderId="21" xfId="6" applyFont="1" applyFill="1" applyBorder="1" applyAlignment="1" applyProtection="1">
      <protection locked="0"/>
    </xf>
    <xf numFmtId="164" fontId="6" fillId="36" borderId="10" xfId="6" applyFont="1" applyFill="1" applyBorder="1" applyAlignment="1" applyProtection="1">
      <alignment horizontal="center" vertical="center"/>
      <protection locked="0"/>
    </xf>
    <xf numFmtId="164" fontId="6" fillId="35" borderId="0" xfId="6" applyFont="1" applyFill="1" applyBorder="1" applyAlignment="1" applyProtection="1">
      <alignment vertical="center"/>
      <protection locked="0"/>
    </xf>
    <xf numFmtId="164" fontId="6" fillId="36" borderId="19" xfId="6" applyFont="1" applyFill="1" applyBorder="1" applyAlignment="1" applyProtection="1">
      <alignment horizontal="center" vertical="center"/>
      <protection locked="0"/>
    </xf>
    <xf numFmtId="171" fontId="6" fillId="36" borderId="0" xfId="6" applyNumberFormat="1" applyFont="1" applyFill="1" applyAlignment="1" applyProtection="1">
      <alignment horizontal="center" vertical="center"/>
      <protection locked="0"/>
    </xf>
    <xf numFmtId="3" fontId="6" fillId="36" borderId="0" xfId="0" applyNumberFormat="1" applyFont="1" applyFill="1" applyAlignment="1" applyProtection="1">
      <alignment horizontal="center" vertical="center"/>
      <protection locked="0"/>
    </xf>
    <xf numFmtId="171" fontId="6" fillId="36" borderId="0" xfId="6" applyNumberFormat="1" applyFont="1" applyFill="1" applyBorder="1" applyAlignment="1" applyProtection="1">
      <alignment horizontal="center" vertical="center"/>
      <protection locked="0"/>
    </xf>
    <xf numFmtId="0" fontId="6" fillId="36" borderId="9" xfId="0" applyFont="1" applyFill="1" applyBorder="1" applyAlignment="1" applyProtection="1">
      <alignment horizontal="center" vertical="center"/>
      <protection locked="0"/>
    </xf>
    <xf numFmtId="0" fontId="6" fillId="36" borderId="19" xfId="0" applyFont="1" applyFill="1" applyBorder="1" applyAlignment="1" applyProtection="1">
      <alignment horizontal="left" vertical="center"/>
      <protection locked="0"/>
    </xf>
    <xf numFmtId="0" fontId="6" fillId="36" borderId="0" xfId="0" applyFont="1" applyFill="1" applyAlignment="1" applyProtection="1">
      <alignment horizontal="center" vertical="center"/>
      <protection locked="0"/>
    </xf>
    <xf numFmtId="3" fontId="6" fillId="36" borderId="18" xfId="0" applyNumberFormat="1" applyFont="1" applyFill="1" applyBorder="1" applyAlignment="1" applyProtection="1">
      <alignment horizontal="center" vertical="center"/>
      <protection locked="0"/>
    </xf>
    <xf numFmtId="3" fontId="6" fillId="36" borderId="19" xfId="0" applyNumberFormat="1" applyFont="1" applyFill="1" applyBorder="1" applyAlignment="1" applyProtection="1">
      <alignment horizontal="center" vertical="center"/>
      <protection locked="0"/>
    </xf>
    <xf numFmtId="3" fontId="6" fillId="36" borderId="20" xfId="0" applyNumberFormat="1" applyFont="1" applyFill="1" applyBorder="1" applyAlignment="1" applyProtection="1">
      <alignment horizontal="center" vertical="center"/>
      <protection locked="0"/>
    </xf>
    <xf numFmtId="43" fontId="6" fillId="36" borderId="18" xfId="2" applyFont="1" applyFill="1" applyBorder="1" applyAlignment="1" applyProtection="1">
      <protection locked="0"/>
    </xf>
    <xf numFmtId="43" fontId="6" fillId="36" borderId="9" xfId="2" applyFont="1" applyFill="1" applyBorder="1" applyAlignment="1" applyProtection="1">
      <protection locked="0"/>
    </xf>
    <xf numFmtId="171" fontId="6" fillId="36" borderId="9" xfId="6" applyNumberFormat="1" applyFont="1" applyFill="1" applyBorder="1" applyAlignment="1" applyProtection="1">
      <protection locked="0"/>
    </xf>
    <xf numFmtId="43" fontId="6" fillId="36" borderId="19" xfId="2" applyFont="1" applyFill="1" applyBorder="1" applyAlignment="1" applyProtection="1">
      <protection locked="0"/>
    </xf>
    <xf numFmtId="43" fontId="6" fillId="36" borderId="0" xfId="2" applyFont="1" applyFill="1" applyBorder="1" applyAlignment="1" applyProtection="1">
      <protection locked="0"/>
    </xf>
    <xf numFmtId="171" fontId="6" fillId="36" borderId="0" xfId="6" applyNumberFormat="1" applyFont="1" applyFill="1" applyBorder="1" applyAlignment="1" applyProtection="1">
      <protection locked="0"/>
    </xf>
    <xf numFmtId="43" fontId="6" fillId="36" borderId="20" xfId="2" applyFont="1" applyFill="1" applyBorder="1" applyAlignment="1" applyProtection="1">
      <protection locked="0"/>
    </xf>
    <xf numFmtId="43" fontId="6" fillId="36" borderId="3" xfId="2" applyFont="1" applyFill="1" applyBorder="1" applyAlignment="1" applyProtection="1">
      <protection locked="0"/>
    </xf>
    <xf numFmtId="0" fontId="6" fillId="36" borderId="9" xfId="0" applyFont="1" applyFill="1" applyBorder="1" applyAlignment="1" applyProtection="1">
      <alignment horizontal="left" vertical="center"/>
      <protection locked="0"/>
    </xf>
    <xf numFmtId="9" fontId="6" fillId="36" borderId="9" xfId="0" applyNumberFormat="1" applyFont="1" applyFill="1" applyBorder="1" applyAlignment="1" applyProtection="1">
      <alignment horizontal="center" vertical="center"/>
      <protection locked="0"/>
    </xf>
    <xf numFmtId="171" fontId="6" fillId="36" borderId="9" xfId="6" applyNumberFormat="1" applyFont="1" applyFill="1" applyBorder="1" applyAlignment="1" applyProtection="1">
      <alignment horizontal="center" vertical="center"/>
      <protection locked="0"/>
    </xf>
    <xf numFmtId="0" fontId="6" fillId="36" borderId="0" xfId="0" applyFont="1" applyFill="1" applyAlignment="1" applyProtection="1">
      <alignment horizontal="left" vertical="center"/>
      <protection locked="0"/>
    </xf>
    <xf numFmtId="9" fontId="6" fillId="36" borderId="0" xfId="0" applyNumberFormat="1" applyFont="1" applyFill="1" applyAlignment="1" applyProtection="1">
      <alignment horizontal="center" vertical="center"/>
      <protection locked="0"/>
    </xf>
    <xf numFmtId="9" fontId="6" fillId="36" borderId="0" xfId="1" applyFont="1" applyFill="1" applyBorder="1" applyAlignment="1" applyProtection="1">
      <alignment horizontal="center" vertical="center"/>
      <protection locked="0"/>
    </xf>
    <xf numFmtId="0" fontId="6" fillId="36" borderId="3" xfId="0" applyFont="1" applyFill="1" applyBorder="1" applyAlignment="1" applyProtection="1">
      <alignment horizontal="center" vertical="center"/>
      <protection locked="0"/>
    </xf>
    <xf numFmtId="9" fontId="6" fillId="36" borderId="3" xfId="1" applyFont="1" applyFill="1" applyBorder="1" applyAlignment="1" applyProtection="1">
      <alignment horizontal="center" vertical="center"/>
      <protection locked="0"/>
    </xf>
    <xf numFmtId="171" fontId="6" fillId="36" borderId="3" xfId="6" applyNumberFormat="1" applyFont="1" applyFill="1" applyBorder="1" applyAlignment="1" applyProtection="1">
      <alignment horizontal="center" vertical="center"/>
      <protection locked="0"/>
    </xf>
    <xf numFmtId="164" fontId="6" fillId="36" borderId="3" xfId="6" applyFont="1" applyFill="1" applyBorder="1" applyAlignment="1" applyProtection="1">
      <alignment horizontal="center" vertical="center"/>
      <protection locked="0"/>
    </xf>
    <xf numFmtId="164" fontId="6" fillId="36" borderId="0" xfId="6" applyFont="1" applyFill="1" applyBorder="1" applyAlignment="1" applyProtection="1">
      <alignment horizontal="center" vertical="center"/>
      <protection locked="0"/>
    </xf>
    <xf numFmtId="0" fontId="8" fillId="36" borderId="0" xfId="0" applyFont="1" applyFill="1" applyAlignment="1" applyProtection="1">
      <alignment horizontal="center" vertical="center"/>
      <protection locked="0"/>
    </xf>
    <xf numFmtId="0" fontId="8" fillId="36" borderId="19" xfId="0" applyFont="1" applyFill="1" applyBorder="1" applyAlignment="1" applyProtection="1">
      <alignment horizontal="center" vertical="center"/>
      <protection locked="0"/>
    </xf>
    <xf numFmtId="4" fontId="6" fillId="36" borderId="0" xfId="0" applyNumberFormat="1" applyFont="1" applyFill="1" applyAlignment="1" applyProtection="1">
      <alignment horizontal="center" vertical="center"/>
      <protection locked="0"/>
    </xf>
    <xf numFmtId="9" fontId="6" fillId="36" borderId="10" xfId="1" applyFont="1" applyFill="1" applyBorder="1" applyAlignment="1" applyProtection="1">
      <protection locked="0"/>
    </xf>
    <xf numFmtId="43" fontId="8" fillId="36" borderId="19" xfId="2" applyFont="1" applyFill="1" applyBorder="1" applyAlignment="1" applyProtection="1">
      <alignment horizontal="center" vertical="center"/>
      <protection locked="0"/>
    </xf>
    <xf numFmtId="43" fontId="8" fillId="36" borderId="0" xfId="2" applyFont="1" applyFill="1" applyBorder="1" applyAlignment="1" applyProtection="1">
      <alignment horizontal="center" vertical="center"/>
      <protection locked="0"/>
    </xf>
    <xf numFmtId="171" fontId="6" fillId="36" borderId="0" xfId="0" applyNumberFormat="1" applyFont="1" applyFill="1" applyProtection="1">
      <protection locked="0"/>
    </xf>
    <xf numFmtId="166" fontId="8" fillId="35" borderId="0" xfId="0" applyNumberFormat="1" applyFont="1" applyFill="1" applyAlignment="1" applyProtection="1">
      <alignment horizontal="center" vertical="center"/>
      <protection locked="0"/>
    </xf>
    <xf numFmtId="0" fontId="19" fillId="0" borderId="0" xfId="0" applyFont="1" applyAlignment="1">
      <alignment vertical="center"/>
    </xf>
    <xf numFmtId="0" fontId="5" fillId="0" borderId="19" xfId="0" applyFont="1" applyBorder="1" applyAlignment="1">
      <alignment vertical="center"/>
    </xf>
    <xf numFmtId="164" fontId="6" fillId="0" borderId="0" xfId="6" applyFont="1" applyFill="1" applyBorder="1" applyAlignment="1" applyProtection="1">
      <alignment vertical="center"/>
      <protection locked="0"/>
    </xf>
    <xf numFmtId="10" fontId="6" fillId="35" borderId="0" xfId="0" applyNumberFormat="1" applyFont="1" applyFill="1" applyAlignment="1" applyProtection="1">
      <alignment horizontal="center" vertical="center"/>
      <protection locked="0"/>
    </xf>
    <xf numFmtId="43" fontId="4" fillId="2" borderId="7" xfId="2" applyFont="1" applyFill="1" applyBorder="1" applyAlignment="1" applyProtection="1">
      <alignment vertical="center"/>
    </xf>
    <xf numFmtId="43" fontId="4" fillId="2" borderId="2" xfId="2" applyFont="1" applyFill="1" applyBorder="1" applyAlignment="1" applyProtection="1">
      <alignment vertical="center"/>
    </xf>
    <xf numFmtId="0" fontId="3" fillId="2" borderId="0" xfId="0" applyFont="1" applyFill="1" applyAlignment="1">
      <alignment vertical="center" textRotation="90"/>
    </xf>
    <xf numFmtId="0" fontId="0" fillId="35" borderId="6" xfId="0" applyFill="1" applyBorder="1" applyProtection="1">
      <protection locked="0"/>
    </xf>
    <xf numFmtId="3" fontId="0" fillId="35" borderId="24" xfId="0" applyNumberFormat="1" applyFill="1" applyBorder="1" applyProtection="1">
      <protection locked="0"/>
    </xf>
    <xf numFmtId="164" fontId="0" fillId="35" borderId="35" xfId="6" applyFont="1" applyFill="1" applyBorder="1" applyAlignment="1" applyProtection="1">
      <alignment horizontal="center"/>
      <protection locked="0"/>
    </xf>
    <xf numFmtId="164" fontId="0" fillId="35" borderId="38" xfId="6" applyFont="1" applyFill="1" applyBorder="1" applyAlignment="1" applyProtection="1">
      <alignment horizontal="center"/>
      <protection locked="0"/>
    </xf>
    <xf numFmtId="164" fontId="0" fillId="35" borderId="10" xfId="6" applyFont="1" applyFill="1" applyBorder="1" applyAlignment="1" applyProtection="1">
      <alignment horizontal="center"/>
      <protection locked="0"/>
    </xf>
    <xf numFmtId="9" fontId="0" fillId="35" borderId="35" xfId="1" applyFont="1" applyFill="1" applyBorder="1" applyAlignment="1" applyProtection="1">
      <alignment horizontal="center"/>
      <protection locked="0"/>
    </xf>
    <xf numFmtId="9" fontId="0" fillId="35" borderId="38" xfId="6" applyNumberFormat="1" applyFont="1" applyFill="1" applyBorder="1" applyAlignment="1" applyProtection="1">
      <alignment horizontal="center"/>
      <protection locked="0"/>
    </xf>
    <xf numFmtId="9" fontId="0" fillId="35" borderId="21" xfId="6" applyNumberFormat="1" applyFont="1" applyFill="1" applyBorder="1" applyAlignment="1" applyProtection="1">
      <alignment horizontal="center"/>
      <protection locked="0"/>
    </xf>
    <xf numFmtId="0" fontId="27" fillId="0" borderId="0" xfId="0" applyFont="1" applyAlignment="1">
      <alignment horizontal="right" vertical="center"/>
    </xf>
    <xf numFmtId="0" fontId="21" fillId="35" borderId="0" xfId="0" applyFont="1" applyFill="1"/>
    <xf numFmtId="0" fontId="0" fillId="0" borderId="0" xfId="0" applyAlignment="1">
      <alignment horizontal="center" vertical="center" wrapText="1"/>
    </xf>
    <xf numFmtId="0" fontId="12" fillId="35" borderId="0" xfId="0" applyFont="1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4" fontId="6" fillId="6" borderId="0" xfId="0" applyNumberFormat="1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5" fillId="13" borderId="22" xfId="0" applyFont="1" applyFill="1" applyBorder="1" applyAlignment="1">
      <alignment vertical="center"/>
    </xf>
    <xf numFmtId="10" fontId="5" fillId="3" borderId="22" xfId="1" applyNumberFormat="1" applyFont="1" applyFill="1" applyBorder="1" applyAlignment="1" applyProtection="1">
      <alignment horizontal="center" vertical="center"/>
    </xf>
    <xf numFmtId="164" fontId="5" fillId="36" borderId="22" xfId="6" applyFont="1" applyFill="1" applyBorder="1" applyAlignment="1" applyProtection="1">
      <alignment horizontal="center" vertical="center"/>
      <protection locked="0"/>
    </xf>
    <xf numFmtId="164" fontId="15" fillId="3" borderId="22" xfId="6" applyFont="1" applyFill="1" applyBorder="1" applyAlignment="1" applyProtection="1">
      <alignment vertical="center"/>
    </xf>
    <xf numFmtId="0" fontId="24" fillId="13" borderId="22" xfId="0" applyFont="1" applyFill="1" applyBorder="1" applyAlignment="1">
      <alignment vertical="center"/>
    </xf>
    <xf numFmtId="0" fontId="15" fillId="3" borderId="11" xfId="0" applyFont="1" applyFill="1" applyBorder="1" applyAlignment="1">
      <alignment horizontal="center" vertical="center"/>
    </xf>
    <xf numFmtId="0" fontId="6" fillId="36" borderId="3" xfId="0" applyFont="1" applyFill="1" applyBorder="1" applyAlignment="1" applyProtection="1">
      <alignment horizontal="left" vertical="center"/>
      <protection locked="0"/>
    </xf>
    <xf numFmtId="0" fontId="9" fillId="8" borderId="0" xfId="0" applyFont="1" applyFill="1" applyAlignment="1">
      <alignment vertical="center" textRotation="90"/>
    </xf>
    <xf numFmtId="0" fontId="9" fillId="0" borderId="0" xfId="0" applyFont="1" applyAlignment="1">
      <alignment vertical="center" textRotation="90"/>
    </xf>
    <xf numFmtId="164" fontId="3" fillId="0" borderId="0" xfId="6" applyFont="1" applyFill="1" applyBorder="1" applyAlignment="1" applyProtection="1">
      <alignment vertical="center" textRotation="90"/>
    </xf>
    <xf numFmtId="168" fontId="73" fillId="23" borderId="6" xfId="6" applyNumberFormat="1" applyFont="1" applyFill="1" applyBorder="1" applyAlignment="1" applyProtection="1">
      <alignment horizontal="center" vertical="center" wrapText="1"/>
    </xf>
    <xf numFmtId="175" fontId="8" fillId="36" borderId="6" xfId="6" applyNumberFormat="1" applyFont="1" applyFill="1" applyBorder="1" applyAlignment="1" applyProtection="1">
      <alignment horizontal="center" vertical="center" wrapText="1"/>
      <protection locked="0" hidden="1"/>
    </xf>
    <xf numFmtId="175" fontId="8" fillId="36" borderId="0" xfId="6" applyNumberFormat="1" applyFont="1" applyFill="1" applyBorder="1" applyAlignment="1" applyProtection="1">
      <alignment horizontal="center" vertical="center"/>
      <protection locked="0" hidden="1"/>
    </xf>
    <xf numFmtId="175" fontId="6" fillId="36" borderId="0" xfId="6" applyNumberFormat="1" applyFont="1" applyFill="1" applyBorder="1" applyAlignment="1" applyProtection="1">
      <alignment horizontal="center" vertical="center"/>
      <protection locked="0" hidden="1"/>
    </xf>
    <xf numFmtId="164" fontId="73" fillId="3" borderId="0" xfId="0" applyNumberFormat="1" applyFont="1" applyFill="1"/>
    <xf numFmtId="164" fontId="73" fillId="3" borderId="0" xfId="6" applyFont="1" applyFill="1" applyBorder="1" applyAlignment="1" applyProtection="1">
      <alignment horizontal="center" vertical="center"/>
    </xf>
    <xf numFmtId="166" fontId="73" fillId="3" borderId="0" xfId="0" applyNumberFormat="1" applyFont="1" applyFill="1" applyAlignment="1">
      <alignment horizontal="center" vertical="center"/>
    </xf>
    <xf numFmtId="164" fontId="74" fillId="4" borderId="0" xfId="6" applyFont="1" applyFill="1" applyBorder="1" applyAlignment="1" applyProtection="1">
      <alignment horizontal="center" vertical="center"/>
    </xf>
    <xf numFmtId="164" fontId="31" fillId="2" borderId="0" xfId="6" applyFont="1" applyFill="1" applyBorder="1" applyAlignment="1" applyProtection="1">
      <alignment horizontal="center" vertical="center"/>
    </xf>
    <xf numFmtId="171" fontId="75" fillId="2" borderId="0" xfId="0" applyNumberFormat="1" applyFont="1" applyFill="1"/>
    <xf numFmtId="171" fontId="4" fillId="0" borderId="0" xfId="0" applyNumberFormat="1" applyFont="1"/>
    <xf numFmtId="171" fontId="29" fillId="0" borderId="0" xfId="0" applyNumberFormat="1" applyFont="1"/>
    <xf numFmtId="164" fontId="29" fillId="3" borderId="0" xfId="0" applyNumberFormat="1" applyFont="1" applyFill="1"/>
    <xf numFmtId="164" fontId="29" fillId="3" borderId="0" xfId="6" applyFont="1" applyFill="1" applyBorder="1" applyAlignment="1" applyProtection="1">
      <alignment horizontal="center" vertical="center"/>
    </xf>
    <xf numFmtId="164" fontId="4" fillId="4" borderId="0" xfId="6" applyFont="1" applyFill="1" applyBorder="1" applyAlignment="1" applyProtection="1">
      <alignment horizontal="center" vertical="center"/>
    </xf>
    <xf numFmtId="0" fontId="29" fillId="10" borderId="0" xfId="0" applyFont="1" applyFill="1" applyAlignment="1">
      <alignment horizontal="center" vertical="center"/>
    </xf>
    <xf numFmtId="0" fontId="29" fillId="10" borderId="0" xfId="0" applyFont="1" applyFill="1" applyAlignment="1">
      <alignment vertical="center"/>
    </xf>
    <xf numFmtId="0" fontId="29" fillId="0" borderId="0" xfId="0" applyFont="1"/>
    <xf numFmtId="164" fontId="6" fillId="0" borderId="18" xfId="6" applyFont="1" applyFill="1" applyBorder="1" applyAlignment="1" applyProtection="1">
      <alignment horizontal="center" vertical="center"/>
    </xf>
    <xf numFmtId="164" fontId="6" fillId="0" borderId="5" xfId="6" applyFont="1" applyFill="1" applyBorder="1" applyAlignment="1" applyProtection="1">
      <alignment horizontal="center" vertical="center"/>
    </xf>
    <xf numFmtId="164" fontId="0" fillId="35" borderId="10" xfId="6" applyFont="1" applyFill="1" applyBorder="1" applyAlignment="1" applyProtection="1">
      <alignment horizontal="center" vertical="center"/>
      <protection locked="0"/>
    </xf>
    <xf numFmtId="0" fontId="0" fillId="35" borderId="0" xfId="0" applyFill="1" applyAlignment="1" applyProtection="1">
      <alignment horizontal="center" vertical="center"/>
      <protection locked="0"/>
    </xf>
    <xf numFmtId="10" fontId="76" fillId="35" borderId="0" xfId="0" applyNumberFormat="1" applyFont="1" applyFill="1" applyAlignment="1" applyProtection="1">
      <alignment horizontal="center" vertical="center"/>
      <protection locked="0"/>
    </xf>
    <xf numFmtId="164" fontId="6" fillId="35" borderId="10" xfId="6" applyFont="1" applyFill="1" applyBorder="1" applyAlignment="1" applyProtection="1">
      <alignment horizontal="center" vertical="center"/>
      <protection locked="0"/>
    </xf>
    <xf numFmtId="0" fontId="0" fillId="36" borderId="18" xfId="0" applyFill="1" applyBorder="1" applyAlignment="1" applyProtection="1">
      <alignment horizontal="left" vertical="center"/>
      <protection locked="0"/>
    </xf>
    <xf numFmtId="0" fontId="0" fillId="36" borderId="9" xfId="0" applyFill="1" applyBorder="1" applyAlignment="1" applyProtection="1">
      <alignment horizontal="center" vertical="center"/>
      <protection locked="0"/>
    </xf>
    <xf numFmtId="0" fontId="0" fillId="36" borderId="19" xfId="0" applyFill="1" applyBorder="1" applyAlignment="1" applyProtection="1">
      <alignment horizontal="left" vertical="center"/>
      <protection locked="0"/>
    </xf>
    <xf numFmtId="0" fontId="0" fillId="36" borderId="0" xfId="0" applyFill="1" applyAlignment="1" applyProtection="1">
      <alignment horizontal="center" vertical="center"/>
      <protection locked="0"/>
    </xf>
    <xf numFmtId="164" fontId="1" fillId="35" borderId="10" xfId="6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71" fontId="6" fillId="36" borderId="0" xfId="0" applyNumberFormat="1" applyFont="1" applyFill="1" applyAlignment="1" applyProtection="1">
      <alignment horizontal="center" vertical="center"/>
      <protection locked="0"/>
    </xf>
    <xf numFmtId="171" fontId="6" fillId="36" borderId="10" xfId="0" applyNumberFormat="1" applyFont="1" applyFill="1" applyBorder="1" applyAlignment="1" applyProtection="1">
      <alignment horizontal="center" vertical="center"/>
      <protection locked="0"/>
    </xf>
    <xf numFmtId="164" fontId="3" fillId="12" borderId="0" xfId="6" applyFont="1" applyFill="1" applyBorder="1" applyAlignment="1" applyProtection="1">
      <alignment horizontal="center" vertical="center" textRotation="90"/>
    </xf>
    <xf numFmtId="0" fontId="9" fillId="8" borderId="4" xfId="0" applyFont="1" applyFill="1" applyBorder="1" applyAlignment="1">
      <alignment horizontal="center" vertical="center" textRotation="90"/>
    </xf>
    <xf numFmtId="0" fontId="9" fillId="8" borderId="22" xfId="0" applyFont="1" applyFill="1" applyBorder="1" applyAlignment="1">
      <alignment horizontal="center" vertical="center" textRotation="90"/>
    </xf>
    <xf numFmtId="0" fontId="9" fillId="8" borderId="18" xfId="0" applyFont="1" applyFill="1" applyBorder="1" applyAlignment="1">
      <alignment horizontal="center" vertical="center" textRotation="90"/>
    </xf>
    <xf numFmtId="0" fontId="9" fillId="8" borderId="5" xfId="0" applyFont="1" applyFill="1" applyBorder="1" applyAlignment="1">
      <alignment horizontal="center" vertical="center" textRotation="90"/>
    </xf>
    <xf numFmtId="0" fontId="9" fillId="8" borderId="19" xfId="0" applyFont="1" applyFill="1" applyBorder="1" applyAlignment="1">
      <alignment horizontal="center" vertical="center" textRotation="90"/>
    </xf>
    <xf numFmtId="0" fontId="9" fillId="8" borderId="10" xfId="0" applyFont="1" applyFill="1" applyBorder="1" applyAlignment="1">
      <alignment horizontal="center" vertical="center" textRotation="90"/>
    </xf>
    <xf numFmtId="0" fontId="9" fillId="8" borderId="0" xfId="0" applyFont="1" applyFill="1" applyAlignment="1">
      <alignment horizontal="center" vertical="center" textRotation="90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center" vertical="center"/>
    </xf>
    <xf numFmtId="0" fontId="52" fillId="13" borderId="9" xfId="0" applyFont="1" applyFill="1" applyBorder="1" applyAlignment="1">
      <alignment horizontal="center" vertical="center" wrapText="1"/>
    </xf>
    <xf numFmtId="0" fontId="52" fillId="13" borderId="3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171" fontId="6" fillId="36" borderId="3" xfId="0" applyNumberFormat="1" applyFont="1" applyFill="1" applyBorder="1" applyAlignment="1" applyProtection="1">
      <alignment horizontal="center" vertical="center"/>
      <protection locked="0"/>
    </xf>
    <xf numFmtId="171" fontId="6" fillId="36" borderId="21" xfId="0" applyNumberFormat="1" applyFont="1" applyFill="1" applyBorder="1" applyAlignment="1" applyProtection="1">
      <alignment horizontal="center" vertical="center"/>
      <protection locked="0"/>
    </xf>
    <xf numFmtId="0" fontId="31" fillId="2" borderId="20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15" fillId="13" borderId="18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0" fontId="19" fillId="13" borderId="9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right" vertical="center"/>
    </xf>
    <xf numFmtId="0" fontId="5" fillId="13" borderId="18" xfId="0" applyFont="1" applyFill="1" applyBorder="1" applyAlignment="1">
      <alignment horizontal="center" vertical="center" wrapText="1"/>
    </xf>
    <xf numFmtId="0" fontId="5" fillId="13" borderId="20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textRotation="90"/>
    </xf>
    <xf numFmtId="0" fontId="3" fillId="8" borderId="22" xfId="0" applyFont="1" applyFill="1" applyBorder="1" applyAlignment="1">
      <alignment horizontal="center" vertical="center" textRotation="90"/>
    </xf>
    <xf numFmtId="164" fontId="3" fillId="12" borderId="18" xfId="6" applyFont="1" applyFill="1" applyBorder="1" applyAlignment="1" applyProtection="1">
      <alignment horizontal="center" vertical="center" textRotation="90"/>
    </xf>
    <xf numFmtId="164" fontId="3" fillId="12" borderId="5" xfId="6" applyFont="1" applyFill="1" applyBorder="1" applyAlignment="1" applyProtection="1">
      <alignment horizontal="center" vertical="center" textRotation="90"/>
    </xf>
    <xf numFmtId="164" fontId="3" fillId="12" borderId="19" xfId="6" applyFont="1" applyFill="1" applyBorder="1" applyAlignment="1" applyProtection="1">
      <alignment horizontal="center" vertical="center" textRotation="90"/>
    </xf>
    <xf numFmtId="164" fontId="3" fillId="12" borderId="10" xfId="6" applyFont="1" applyFill="1" applyBorder="1" applyAlignment="1" applyProtection="1">
      <alignment horizontal="center" vertical="center" textRotation="90"/>
    </xf>
    <xf numFmtId="0" fontId="5" fillId="13" borderId="0" xfId="0" applyFont="1" applyFill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165" fontId="5" fillId="13" borderId="9" xfId="0" applyNumberFormat="1" applyFont="1" applyFill="1" applyBorder="1" applyAlignment="1">
      <alignment horizontal="center" vertical="center" wrapText="1"/>
    </xf>
    <xf numFmtId="165" fontId="5" fillId="13" borderId="3" xfId="0" applyNumberFormat="1" applyFont="1" applyFill="1" applyBorder="1" applyAlignment="1">
      <alignment horizontal="center" vertical="center" wrapText="1"/>
    </xf>
    <xf numFmtId="171" fontId="6" fillId="36" borderId="9" xfId="0" applyNumberFormat="1" applyFont="1" applyFill="1" applyBorder="1" applyAlignment="1" applyProtection="1">
      <alignment horizontal="center" vertical="center"/>
      <protection locked="0"/>
    </xf>
    <xf numFmtId="171" fontId="6" fillId="36" borderId="5" xfId="0" applyNumberFormat="1" applyFont="1" applyFill="1" applyBorder="1" applyAlignment="1" applyProtection="1">
      <alignment horizontal="center" vertical="center"/>
      <protection locked="0"/>
    </xf>
    <xf numFmtId="0" fontId="15" fillId="13" borderId="20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0" fontId="19" fillId="14" borderId="0" xfId="0" applyFont="1" applyFill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/>
    </xf>
    <xf numFmtId="4" fontId="19" fillId="14" borderId="0" xfId="0" applyNumberFormat="1" applyFont="1" applyFill="1" applyAlignment="1">
      <alignment horizontal="center" vertical="center" wrapText="1"/>
    </xf>
    <xf numFmtId="0" fontId="19" fillId="13" borderId="5" xfId="0" applyFont="1" applyFill="1" applyBorder="1" applyAlignment="1">
      <alignment horizontal="center" vertical="center" wrapText="1"/>
    </xf>
    <xf numFmtId="0" fontId="19" fillId="13" borderId="21" xfId="0" applyFont="1" applyFill="1" applyBorder="1" applyAlignment="1">
      <alignment horizontal="center" vertical="center" wrapText="1"/>
    </xf>
    <xf numFmtId="43" fontId="4" fillId="2" borderId="3" xfId="2" applyFont="1" applyFill="1" applyBorder="1" applyAlignment="1" applyProtection="1">
      <alignment horizontal="center" vertical="center"/>
    </xf>
    <xf numFmtId="43" fontId="4" fillId="2" borderId="21" xfId="2" applyFont="1" applyFill="1" applyBorder="1" applyAlignment="1" applyProtection="1">
      <alignment horizontal="center" vertical="center"/>
    </xf>
    <xf numFmtId="0" fontId="13" fillId="14" borderId="0" xfId="0" applyFont="1" applyFill="1" applyAlignment="1">
      <alignment horizontal="center" vertical="center"/>
    </xf>
    <xf numFmtId="4" fontId="19" fillId="14" borderId="0" xfId="0" applyNumberFormat="1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textRotation="90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13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3" fillId="35" borderId="5" xfId="0" applyFont="1" applyFill="1" applyBorder="1" applyAlignment="1" applyProtection="1">
      <alignment horizontal="center" vertical="center"/>
      <protection locked="0"/>
    </xf>
    <xf numFmtId="0" fontId="53" fillId="35" borderId="21" xfId="0" applyFont="1" applyFill="1" applyBorder="1" applyAlignment="1" applyProtection="1">
      <alignment horizontal="center" vertical="center"/>
      <protection locked="0"/>
    </xf>
    <xf numFmtId="0" fontId="15" fillId="13" borderId="5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textRotation="90"/>
    </xf>
    <xf numFmtId="0" fontId="3" fillId="2" borderId="22" xfId="0" applyFont="1" applyFill="1" applyBorder="1" applyAlignment="1">
      <alignment horizontal="center" vertical="center" textRotation="90"/>
    </xf>
    <xf numFmtId="0" fontId="5" fillId="13" borderId="5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13" borderId="22" xfId="0" applyFont="1" applyFill="1" applyBorder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5" fillId="13" borderId="4" xfId="0" applyFont="1" applyFill="1" applyBorder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1" fontId="18" fillId="36" borderId="5" xfId="2" applyNumberFormat="1" applyFont="1" applyFill="1" applyBorder="1" applyAlignment="1" applyProtection="1">
      <alignment horizontal="center" vertical="center"/>
      <protection locked="0"/>
    </xf>
    <xf numFmtId="171" fontId="18" fillId="36" borderId="10" xfId="2" applyNumberFormat="1" applyFont="1" applyFill="1" applyBorder="1" applyAlignment="1" applyProtection="1">
      <alignment horizontal="center" vertical="center"/>
      <protection locked="0"/>
    </xf>
    <xf numFmtId="171" fontId="18" fillId="36" borderId="9" xfId="2" applyNumberFormat="1" applyFont="1" applyFill="1" applyBorder="1" applyAlignment="1" applyProtection="1">
      <alignment horizontal="center" vertical="center"/>
      <protection locked="0"/>
    </xf>
    <xf numFmtId="171" fontId="18" fillId="36" borderId="0" xfId="2" applyNumberFormat="1" applyFont="1" applyFill="1" applyBorder="1" applyAlignment="1" applyProtection="1">
      <alignment horizontal="center" vertical="center"/>
      <protection locked="0"/>
    </xf>
    <xf numFmtId="171" fontId="18" fillId="10" borderId="9" xfId="2" applyNumberFormat="1" applyFont="1" applyFill="1" applyBorder="1" applyAlignment="1" applyProtection="1">
      <alignment horizontal="center" vertical="center"/>
    </xf>
    <xf numFmtId="171" fontId="18" fillId="10" borderId="0" xfId="2" applyNumberFormat="1" applyFont="1" applyFill="1" applyBorder="1" applyAlignment="1" applyProtection="1">
      <alignment horizontal="center" vertical="center"/>
    </xf>
    <xf numFmtId="171" fontId="17" fillId="36" borderId="18" xfId="2" applyNumberFormat="1" applyFont="1" applyFill="1" applyBorder="1" applyAlignment="1" applyProtection="1">
      <alignment horizontal="center" vertical="center"/>
      <protection locked="0"/>
    </xf>
    <xf numFmtId="171" fontId="17" fillId="36" borderId="19" xfId="2" applyNumberFormat="1" applyFont="1" applyFill="1" applyBorder="1" applyAlignment="1" applyProtection="1">
      <alignment horizontal="center" vertical="center"/>
      <protection locked="0"/>
    </xf>
    <xf numFmtId="0" fontId="17" fillId="35" borderId="0" xfId="0" applyFont="1" applyFill="1" applyAlignment="1" applyProtection="1">
      <alignment horizontal="center" vertical="center"/>
      <protection locked="0"/>
    </xf>
    <xf numFmtId="0" fontId="17" fillId="35" borderId="10" xfId="0" applyFont="1" applyFill="1" applyBorder="1" applyAlignment="1" applyProtection="1">
      <alignment horizontal="center" vertical="center"/>
      <protection locked="0"/>
    </xf>
    <xf numFmtId="164" fontId="24" fillId="10" borderId="10" xfId="6" applyFont="1" applyFill="1" applyBorder="1" applyAlignment="1" applyProtection="1">
      <alignment horizontal="center" vertical="center"/>
    </xf>
    <xf numFmtId="164" fontId="24" fillId="10" borderId="0" xfId="6" applyFont="1" applyFill="1" applyBorder="1" applyAlignment="1" applyProtection="1">
      <alignment horizontal="center" vertical="center"/>
    </xf>
    <xf numFmtId="10" fontId="18" fillId="10" borderId="10" xfId="1" applyNumberFormat="1" applyFont="1" applyFill="1" applyBorder="1" applyAlignment="1" applyProtection="1">
      <alignment horizontal="center" vertical="center"/>
    </xf>
    <xf numFmtId="10" fontId="18" fillId="10" borderId="0" xfId="1" applyNumberFormat="1" applyFont="1" applyFill="1" applyBorder="1" applyAlignment="1" applyProtection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7" fillId="10" borderId="21" xfId="0" applyFont="1" applyFill="1" applyBorder="1" applyAlignment="1">
      <alignment horizontal="center" vertical="center"/>
    </xf>
    <xf numFmtId="172" fontId="17" fillId="36" borderId="19" xfId="2" applyNumberFormat="1" applyFont="1" applyFill="1" applyBorder="1" applyAlignment="1" applyProtection="1">
      <alignment horizontal="center" vertical="center"/>
      <protection locked="0"/>
    </xf>
    <xf numFmtId="10" fontId="18" fillId="10" borderId="19" xfId="1" applyNumberFormat="1" applyFont="1" applyFill="1" applyBorder="1" applyAlignment="1" applyProtection="1">
      <alignment horizontal="center" vertical="center"/>
    </xf>
    <xf numFmtId="164" fontId="24" fillId="10" borderId="19" xfId="6" applyFont="1" applyFill="1" applyBorder="1" applyAlignment="1" applyProtection="1">
      <alignment horizontal="center" vertical="center"/>
    </xf>
    <xf numFmtId="2" fontId="19" fillId="14" borderId="0" xfId="0" applyNumberFormat="1" applyFont="1" applyFill="1" applyAlignment="1">
      <alignment horizontal="center" vertical="center" wrapText="1"/>
    </xf>
    <xf numFmtId="4" fontId="5" fillId="14" borderId="0" xfId="0" applyNumberFormat="1" applyFont="1" applyFill="1" applyAlignment="1">
      <alignment horizontal="center" vertical="center" wrapText="1"/>
    </xf>
    <xf numFmtId="2" fontId="5" fillId="14" borderId="0" xfId="0" applyNumberFormat="1" applyFont="1" applyFill="1" applyAlignment="1">
      <alignment horizontal="center" vertical="center" wrapText="1"/>
    </xf>
    <xf numFmtId="172" fontId="18" fillId="10" borderId="0" xfId="2" applyNumberFormat="1" applyFont="1" applyFill="1" applyBorder="1" applyAlignment="1" applyProtection="1">
      <alignment horizontal="center" vertical="center"/>
    </xf>
    <xf numFmtId="172" fontId="18" fillId="36" borderId="0" xfId="2" applyNumberFormat="1" applyFont="1" applyFill="1" applyBorder="1" applyAlignment="1" applyProtection="1">
      <alignment horizontal="center" vertical="center"/>
      <protection locked="0"/>
    </xf>
    <xf numFmtId="172" fontId="18" fillId="36" borderId="10" xfId="2" applyNumberFormat="1" applyFont="1" applyFill="1" applyBorder="1" applyAlignment="1" applyProtection="1">
      <alignment horizontal="center" vertical="center"/>
      <protection locked="0"/>
    </xf>
    <xf numFmtId="164" fontId="18" fillId="7" borderId="0" xfId="6" applyFont="1" applyFill="1" applyBorder="1" applyAlignment="1" applyProtection="1">
      <alignment horizontal="center" vertical="center"/>
    </xf>
    <xf numFmtId="164" fontId="18" fillId="7" borderId="3" xfId="6" applyFont="1" applyFill="1" applyBorder="1" applyAlignment="1" applyProtection="1">
      <alignment horizontal="center" vertical="center"/>
    </xf>
    <xf numFmtId="0" fontId="35" fillId="36" borderId="9" xfId="0" applyFont="1" applyFill="1" applyBorder="1" applyAlignment="1" applyProtection="1">
      <alignment horizontal="center" vertical="center"/>
      <protection locked="0"/>
    </xf>
    <xf numFmtId="0" fontId="35" fillId="36" borderId="5" xfId="0" applyFont="1" applyFill="1" applyBorder="1" applyAlignment="1" applyProtection="1">
      <alignment horizontal="center" vertical="center"/>
      <protection locked="0"/>
    </xf>
    <xf numFmtId="0" fontId="35" fillId="36" borderId="0" xfId="0" applyFont="1" applyFill="1" applyAlignment="1" applyProtection="1">
      <alignment horizontal="center" vertical="center"/>
      <protection locked="0"/>
    </xf>
    <xf numFmtId="0" fontId="35" fillId="36" borderId="10" xfId="0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>
      <alignment horizontal="center" vertical="center" textRotation="90"/>
    </xf>
    <xf numFmtId="0" fontId="3" fillId="2" borderId="19" xfId="0" applyFont="1" applyFill="1" applyBorder="1" applyAlignment="1">
      <alignment horizontal="center" vertical="center" textRotation="90"/>
    </xf>
    <xf numFmtId="164" fontId="18" fillId="7" borderId="19" xfId="6" applyFont="1" applyFill="1" applyBorder="1" applyAlignment="1" applyProtection="1">
      <alignment horizontal="center" vertical="center"/>
    </xf>
    <xf numFmtId="164" fontId="18" fillId="7" borderId="20" xfId="6" applyFont="1" applyFill="1" applyBorder="1" applyAlignment="1" applyProtection="1">
      <alignment horizontal="center" vertical="center"/>
    </xf>
    <xf numFmtId="2" fontId="17" fillId="0" borderId="0" xfId="6" applyNumberFormat="1" applyFont="1" applyFill="1" applyBorder="1" applyAlignment="1" applyProtection="1">
      <alignment horizontal="center" vertical="center"/>
    </xf>
    <xf numFmtId="1" fontId="18" fillId="10" borderId="0" xfId="2" applyNumberFormat="1" applyFont="1" applyFill="1" applyBorder="1" applyAlignment="1" applyProtection="1">
      <alignment horizontal="center" vertical="center"/>
    </xf>
    <xf numFmtId="1" fontId="18" fillId="10" borderId="3" xfId="2" applyNumberFormat="1" applyFont="1" applyFill="1" applyBorder="1" applyAlignment="1" applyProtection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64" fontId="18" fillId="7" borderId="10" xfId="6" applyFont="1" applyFill="1" applyBorder="1" applyAlignment="1" applyProtection="1">
      <alignment horizontal="center" vertical="center"/>
    </xf>
    <xf numFmtId="164" fontId="18" fillId="7" borderId="21" xfId="6" applyFont="1" applyFill="1" applyBorder="1" applyAlignment="1" applyProtection="1">
      <alignment horizontal="center" vertical="center"/>
    </xf>
    <xf numFmtId="1" fontId="18" fillId="36" borderId="10" xfId="2" applyNumberFormat="1" applyFont="1" applyFill="1" applyBorder="1" applyAlignment="1" applyProtection="1">
      <alignment horizontal="center" vertical="center"/>
      <protection locked="0"/>
    </xf>
    <xf numFmtId="0" fontId="18" fillId="10" borderId="10" xfId="6" applyNumberFormat="1" applyFont="1" applyFill="1" applyBorder="1" applyAlignment="1" applyProtection="1">
      <alignment horizontal="center" vertical="center"/>
    </xf>
    <xf numFmtId="2" fontId="18" fillId="10" borderId="10" xfId="6" applyNumberFormat="1" applyFont="1" applyFill="1" applyBorder="1" applyAlignment="1" applyProtection="1">
      <alignment horizontal="center" vertical="center"/>
    </xf>
    <xf numFmtId="2" fontId="18" fillId="10" borderId="0" xfId="6" applyNumberFormat="1" applyFont="1" applyFill="1" applyBorder="1" applyAlignment="1" applyProtection="1">
      <alignment horizontal="center" vertical="center"/>
    </xf>
    <xf numFmtId="1" fontId="17" fillId="10" borderId="0" xfId="2" applyNumberFormat="1" applyFont="1" applyFill="1" applyBorder="1" applyAlignment="1" applyProtection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62" fillId="2" borderId="23" xfId="0" applyFont="1" applyFill="1" applyBorder="1" applyAlignment="1">
      <alignment horizontal="center" vertical="center" wrapText="1" shrinkToFit="1"/>
    </xf>
    <xf numFmtId="0" fontId="62" fillId="2" borderId="26" xfId="0" applyFont="1" applyFill="1" applyBorder="1" applyAlignment="1">
      <alignment horizontal="center" vertical="center" wrapText="1" shrinkToFit="1"/>
    </xf>
    <xf numFmtId="1" fontId="18" fillId="10" borderId="0" xfId="2" applyNumberFormat="1" applyFont="1" applyFill="1" applyBorder="1" applyAlignment="1" applyProtection="1">
      <alignment horizontal="center" vertical="center" wrapText="1"/>
    </xf>
    <xf numFmtId="1" fontId="18" fillId="10" borderId="3" xfId="2" applyNumberFormat="1" applyFont="1" applyFill="1" applyBorder="1" applyAlignment="1" applyProtection="1">
      <alignment horizontal="center" vertical="center" wrapText="1"/>
    </xf>
    <xf numFmtId="10" fontId="2" fillId="0" borderId="44" xfId="1" applyNumberFormat="1" applyFill="1" applyBorder="1" applyAlignment="1" applyProtection="1">
      <alignment horizontal="center" vertical="center"/>
    </xf>
    <xf numFmtId="10" fontId="2" fillId="0" borderId="6" xfId="1" applyNumberFormat="1" applyFill="1" applyBorder="1" applyAlignment="1" applyProtection="1">
      <alignment horizontal="center" vertical="center"/>
    </xf>
    <xf numFmtId="0" fontId="68" fillId="24" borderId="44" xfId="3" applyFont="1" applyFill="1" applyBorder="1" applyAlignment="1">
      <alignment horizontal="center" vertical="center" wrapText="1"/>
    </xf>
    <xf numFmtId="0" fontId="68" fillId="24" borderId="46" xfId="3" applyFont="1" applyFill="1" applyBorder="1" applyAlignment="1">
      <alignment horizontal="center" vertical="center" wrapText="1"/>
    </xf>
    <xf numFmtId="3" fontId="66" fillId="24" borderId="44" xfId="3" applyNumberFormat="1" applyFont="1" applyFill="1" applyBorder="1" applyAlignment="1">
      <alignment horizontal="center" vertical="center" wrapText="1"/>
    </xf>
    <xf numFmtId="3" fontId="66" fillId="24" borderId="6" xfId="3" applyNumberFormat="1" applyFont="1" applyFill="1" applyBorder="1" applyAlignment="1">
      <alignment horizontal="center" vertical="center" wrapText="1"/>
    </xf>
    <xf numFmtId="0" fontId="69" fillId="25" borderId="48" xfId="0" applyFont="1" applyFill="1" applyBorder="1" applyAlignment="1">
      <alignment horizontal="center" vertical="center" wrapText="1"/>
    </xf>
    <xf numFmtId="0" fontId="69" fillId="25" borderId="49" xfId="0" applyFont="1" applyFill="1" applyBorder="1" applyAlignment="1">
      <alignment horizontal="center" vertical="center" wrapText="1"/>
    </xf>
    <xf numFmtId="0" fontId="69" fillId="25" borderId="50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164" fontId="0" fillId="11" borderId="34" xfId="6" applyFont="1" applyFill="1" applyBorder="1" applyAlignment="1">
      <alignment horizontal="center"/>
    </xf>
    <xf numFmtId="164" fontId="0" fillId="11" borderId="35" xfId="6" applyFont="1" applyFill="1" applyBorder="1" applyAlignment="1">
      <alignment horizontal="center"/>
    </xf>
    <xf numFmtId="164" fontId="0" fillId="11" borderId="3" xfId="6" applyFont="1" applyFill="1" applyBorder="1" applyAlignment="1">
      <alignment horizontal="center"/>
    </xf>
    <xf numFmtId="164" fontId="0" fillId="11" borderId="21" xfId="6" applyFont="1" applyFill="1" applyBorder="1" applyAlignment="1">
      <alignment horizontal="center"/>
    </xf>
    <xf numFmtId="0" fontId="65" fillId="0" borderId="42" xfId="3" applyFont="1" applyBorder="1" applyAlignment="1">
      <alignment horizontal="center" vertical="center"/>
    </xf>
    <xf numFmtId="0" fontId="65" fillId="0" borderId="32" xfId="3" applyFont="1" applyBorder="1" applyAlignment="1">
      <alignment horizontal="center" vertical="center"/>
    </xf>
    <xf numFmtId="0" fontId="65" fillId="0" borderId="43" xfId="3" applyFont="1" applyBorder="1" applyAlignment="1">
      <alignment horizontal="center" vertical="center"/>
    </xf>
    <xf numFmtId="3" fontId="2" fillId="0" borderId="44" xfId="3" applyNumberFormat="1" applyBorder="1" applyAlignment="1">
      <alignment horizontal="center" vertical="center"/>
    </xf>
    <xf numFmtId="3" fontId="2" fillId="0" borderId="6" xfId="3" applyNumberFormat="1" applyBorder="1" applyAlignment="1">
      <alignment horizontal="center" vertical="center"/>
    </xf>
    <xf numFmtId="0" fontId="51" fillId="0" borderId="0" xfId="9" applyFont="1" applyAlignment="1">
      <alignment horizontal="center" vertical="center" wrapText="1"/>
    </xf>
    <xf numFmtId="0" fontId="39" fillId="18" borderId="8" xfId="0" applyFont="1" applyFill="1" applyBorder="1" applyAlignment="1">
      <alignment horizontal="center" vertical="center"/>
    </xf>
    <xf numFmtId="0" fontId="39" fillId="18" borderId="7" xfId="0" applyFont="1" applyFill="1" applyBorder="1" applyAlignment="1">
      <alignment horizontal="center" vertical="center"/>
    </xf>
    <xf numFmtId="0" fontId="39" fillId="18" borderId="2" xfId="0" applyFont="1" applyFill="1" applyBorder="1" applyAlignment="1">
      <alignment horizontal="center" vertical="center"/>
    </xf>
    <xf numFmtId="0" fontId="39" fillId="18" borderId="15" xfId="0" applyFont="1" applyFill="1" applyBorder="1" applyAlignment="1">
      <alignment horizontal="center" vertical="center"/>
    </xf>
    <xf numFmtId="0" fontId="40" fillId="18" borderId="16" xfId="0" applyFont="1" applyFill="1" applyBorder="1" applyAlignment="1">
      <alignment horizontal="center" vertical="center"/>
    </xf>
    <xf numFmtId="0" fontId="40" fillId="18" borderId="17" xfId="0" applyFont="1" applyFill="1" applyBorder="1" applyAlignment="1">
      <alignment horizontal="center" vertical="center"/>
    </xf>
    <xf numFmtId="0" fontId="41" fillId="18" borderId="8" xfId="0" applyFont="1" applyFill="1" applyBorder="1" applyAlignment="1">
      <alignment horizontal="center" vertical="center"/>
    </xf>
    <xf numFmtId="0" fontId="41" fillId="18" borderId="7" xfId="0" applyFont="1" applyFill="1" applyBorder="1" applyAlignment="1">
      <alignment horizontal="center" vertical="center"/>
    </xf>
    <xf numFmtId="0" fontId="41" fillId="18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 wrapText="1"/>
    </xf>
    <xf numFmtId="0" fontId="33" fillId="5" borderId="11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3">
    <cellStyle name="Comma" xfId="2" builtinId="3"/>
    <cellStyle name="Currency" xfId="6" builtinId="4"/>
    <cellStyle name="Normal" xfId="0" builtinId="0"/>
    <cellStyle name="Normalny 2" xfId="7" xr:uid="{00000000-0005-0000-0000-000002000000}"/>
    <cellStyle name="Normalny 2 2" xfId="8" xr:uid="{00000000-0005-0000-0000-000003000000}"/>
    <cellStyle name="Normalny 3" xfId="9" xr:uid="{00000000-0005-0000-0000-000004000000}"/>
    <cellStyle name="Normalny 3 2" xfId="3" xr:uid="{00000000-0005-0000-0000-000005000000}"/>
    <cellStyle name="Normalny 4" xfId="11" xr:uid="{00000000-0005-0000-0000-000006000000}"/>
    <cellStyle name="Normalny 5" xfId="4" xr:uid="{00000000-0005-0000-0000-000007000000}"/>
    <cellStyle name="Percent" xfId="1" builtinId="5"/>
    <cellStyle name="Procentowy 2" xfId="5" xr:uid="{00000000-0005-0000-0000-000009000000}"/>
    <cellStyle name="Procentowy 2 2" xfId="12" xr:uid="{00000000-0005-0000-0000-00000A000000}"/>
    <cellStyle name="Procentowy 4" xfId="10" xr:uid="{00000000-0005-0000-0000-00000B000000}"/>
  </cellStyles>
  <dxfs count="10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007343"/>
      <color rgb="FFF2F2F2"/>
      <color rgb="FFFFFF99"/>
      <color rgb="FFE2EFDA"/>
      <color rgb="FFFF3300"/>
      <color rgb="FFFF7C80"/>
      <color rgb="FF0077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6691032</xdr:colOff>
      <xdr:row>6</xdr:row>
      <xdr:rowOff>638735</xdr:rowOff>
    </xdr:from>
    <xdr:to>
      <xdr:col>0</xdr:col>
      <xdr:colOff>9006167</xdr:colOff>
      <xdr:row>8</xdr:row>
      <xdr:rowOff>109661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7919CFA-89EA-4271-89A3-B1D36C643C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901"/>
        <a:stretch/>
      </xdr:blipFill>
      <xdr:spPr bwMode="auto">
        <a:xfrm>
          <a:off x="6691032" y="2969559"/>
          <a:ext cx="2315135" cy="994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11115675</xdr:colOff>
      <xdr:row>41</xdr:row>
      <xdr:rowOff>66675</xdr:rowOff>
    </xdr:from>
    <xdr:to>
      <xdr:col>1</xdr:col>
      <xdr:colOff>0</xdr:colOff>
      <xdr:row>43</xdr:row>
      <xdr:rowOff>95251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3AFF1275-5783-4128-83DA-D7C460DF61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115675" y="10706100"/>
          <a:ext cx="772357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11353800</xdr:colOff>
      <xdr:row>43</xdr:row>
      <xdr:rowOff>95250</xdr:rowOff>
    </xdr:from>
    <xdr:to>
      <xdr:col>1</xdr:col>
      <xdr:colOff>0</xdr:colOff>
      <xdr:row>44</xdr:row>
      <xdr:rowOff>390525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D7A74256-4C8F-453A-BE23-68C95975EE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353800" y="11534775"/>
          <a:ext cx="52387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9791700</xdr:colOff>
      <xdr:row>45</xdr:row>
      <xdr:rowOff>5175</xdr:rowOff>
    </xdr:from>
    <xdr:to>
      <xdr:col>1</xdr:col>
      <xdr:colOff>0</xdr:colOff>
      <xdr:row>46</xdr:row>
      <xdr:rowOff>285751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828016B3-6191-4141-A859-1F44166C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11044650"/>
          <a:ext cx="2105025" cy="68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9144000</xdr:colOff>
      <xdr:row>55</xdr:row>
      <xdr:rowOff>22116</xdr:rowOff>
    </xdr:from>
    <xdr:to>
      <xdr:col>1</xdr:col>
      <xdr:colOff>0</xdr:colOff>
      <xdr:row>62</xdr:row>
      <xdr:rowOff>349702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614270DB-4FBD-48C8-A3B4-FE2CF8F8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649795"/>
          <a:ext cx="2735036" cy="3089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7167562</xdr:colOff>
      <xdr:row>13</xdr:row>
      <xdr:rowOff>23812</xdr:rowOff>
    </xdr:from>
    <xdr:to>
      <xdr:col>1</xdr:col>
      <xdr:colOff>0</xdr:colOff>
      <xdr:row>15</xdr:row>
      <xdr:rowOff>109537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1D7A060E-DDD3-4F36-9F59-64CA066F7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2" y="6679406"/>
          <a:ext cx="47148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6514991</xdr:colOff>
      <xdr:row>14</xdr:row>
      <xdr:rowOff>89647</xdr:rowOff>
    </xdr:from>
    <xdr:to>
      <xdr:col>0</xdr:col>
      <xdr:colOff>11306735</xdr:colOff>
      <xdr:row>18</xdr:row>
      <xdr:rowOff>190739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D219586F-E98D-4BBD-994F-D4DE4837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14991" y="7138147"/>
          <a:ext cx="4791744" cy="1714739"/>
        </a:xfrm>
        <a:prstGeom prst="rect">
          <a:avLst/>
        </a:prstGeom>
      </xdr:spPr>
    </xdr:pic>
    <xdr:clientData/>
  </xdr:twoCellAnchor>
  <xdr:twoCellAnchor editAs="oneCell">
    <xdr:from>
      <xdr:col>0</xdr:col>
      <xdr:colOff>7362264</xdr:colOff>
      <xdr:row>19</xdr:row>
      <xdr:rowOff>179295</xdr:rowOff>
    </xdr:from>
    <xdr:to>
      <xdr:col>0</xdr:col>
      <xdr:colOff>10706006</xdr:colOff>
      <xdr:row>22</xdr:row>
      <xdr:rowOff>121746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D9294E65-DA65-47F5-938A-CD424B6E7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62264" y="9244854"/>
          <a:ext cx="3343742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5636559</xdr:colOff>
      <xdr:row>24</xdr:row>
      <xdr:rowOff>89647</xdr:rowOff>
    </xdr:from>
    <xdr:to>
      <xdr:col>0</xdr:col>
      <xdr:colOff>11533357</xdr:colOff>
      <xdr:row>29</xdr:row>
      <xdr:rowOff>377961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7C2C9BDF-6AB0-4E60-920F-263452602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36559" y="11172265"/>
          <a:ext cx="5896798" cy="230537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6667500</xdr:colOff>
      <xdr:row>47</xdr:row>
      <xdr:rowOff>291354</xdr:rowOff>
    </xdr:from>
    <xdr:to>
      <xdr:col>1</xdr:col>
      <xdr:colOff>0</xdr:colOff>
      <xdr:row>52</xdr:row>
      <xdr:rowOff>8212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5683178A-AC99-46D0-8B13-98F3C3572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0" y="20652442"/>
          <a:ext cx="5210735" cy="1733917"/>
        </a:xfrm>
        <a:prstGeom prst="rect">
          <a:avLst/>
        </a:prstGeom>
      </xdr:spPr>
    </xdr:pic>
    <xdr:clientData/>
  </xdr:twoCellAnchor>
  <xdr:twoCellAnchor editAs="oneCell">
    <xdr:from>
      <xdr:col>0</xdr:col>
      <xdr:colOff>6210069</xdr:colOff>
      <xdr:row>65</xdr:row>
      <xdr:rowOff>33617</xdr:rowOff>
    </xdr:from>
    <xdr:to>
      <xdr:col>1</xdr:col>
      <xdr:colOff>0</xdr:colOff>
      <xdr:row>74</xdr:row>
      <xdr:rowOff>299180</xdr:rowOff>
    </xdr:to>
    <xdr:pic>
      <xdr:nvPicPr>
        <xdr:cNvPr id="22" name="Obraz 21">
          <a:extLst>
            <a:ext uri="{FF2B5EF4-FFF2-40B4-BE49-F238E27FC236}">
              <a16:creationId xmlns:a16="http://schemas.microsoft.com/office/drawing/2014/main" id="{C559EAE6-10B1-4327-A56B-50ACB5449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10069" y="27667323"/>
          <a:ext cx="5668166" cy="3896269"/>
        </a:xfrm>
        <a:prstGeom prst="rect">
          <a:avLst/>
        </a:prstGeom>
      </xdr:spPr>
    </xdr:pic>
    <xdr:clientData/>
  </xdr:twoCellAnchor>
  <xdr:twoCellAnchor editAs="oneCell">
    <xdr:from>
      <xdr:col>0</xdr:col>
      <xdr:colOff>7664824</xdr:colOff>
      <xdr:row>9</xdr:row>
      <xdr:rowOff>0</xdr:rowOff>
    </xdr:from>
    <xdr:to>
      <xdr:col>0</xdr:col>
      <xdr:colOff>8864347</xdr:colOff>
      <xdr:row>12</xdr:row>
      <xdr:rowOff>33618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1B95AAB2-150B-4502-8DE9-EA30F9EA3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64824" y="6017559"/>
          <a:ext cx="1199523" cy="1658470"/>
        </a:xfrm>
        <a:prstGeom prst="rect">
          <a:avLst/>
        </a:prstGeom>
      </xdr:spPr>
    </xdr:pic>
    <xdr:clientData/>
  </xdr:twoCellAnchor>
  <xdr:twoCellAnchor editAs="oneCell">
    <xdr:from>
      <xdr:col>0</xdr:col>
      <xdr:colOff>9412941</xdr:colOff>
      <xdr:row>38</xdr:row>
      <xdr:rowOff>224118</xdr:rowOff>
    </xdr:from>
    <xdr:to>
      <xdr:col>0</xdr:col>
      <xdr:colOff>11832629</xdr:colOff>
      <xdr:row>41</xdr:row>
      <xdr:rowOff>147515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47D9294C-ED89-4B87-9955-CC666F6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412941" y="18478500"/>
          <a:ext cx="2419688" cy="1133633"/>
        </a:xfrm>
        <a:prstGeom prst="rect">
          <a:avLst/>
        </a:prstGeom>
      </xdr:spPr>
    </xdr:pic>
    <xdr:clientData/>
  </xdr:twoCellAnchor>
  <xdr:twoCellAnchor editAs="oneCell">
    <xdr:from>
      <xdr:col>0</xdr:col>
      <xdr:colOff>829235</xdr:colOff>
      <xdr:row>83</xdr:row>
      <xdr:rowOff>112059</xdr:rowOff>
    </xdr:from>
    <xdr:to>
      <xdr:col>0</xdr:col>
      <xdr:colOff>10098354</xdr:colOff>
      <xdr:row>101</xdr:row>
      <xdr:rowOff>195448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0BA4F9E0-DA3A-4FD9-8606-8814BD6DB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9235" y="36531177"/>
          <a:ext cx="9269119" cy="734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</xdr:row>
      <xdr:rowOff>28575</xdr:rowOff>
    </xdr:from>
    <xdr:to>
      <xdr:col>6</xdr:col>
      <xdr:colOff>248341</xdr:colOff>
      <xdr:row>15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6AEA437-3819-433F-BD7C-A0F46C441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8" t="23434" b="31064"/>
        <a:stretch/>
      </xdr:blipFill>
      <xdr:spPr>
        <a:xfrm>
          <a:off x="323850" y="790575"/>
          <a:ext cx="4877491" cy="221932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257175</xdr:colOff>
      <xdr:row>21</xdr:row>
      <xdr:rowOff>66675</xdr:rowOff>
    </xdr:from>
    <xdr:to>
      <xdr:col>9</xdr:col>
      <xdr:colOff>382078</xdr:colOff>
      <xdr:row>26</xdr:row>
      <xdr:rowOff>143019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3DF74AD0-40B2-48DD-9105-20C52CAC0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4067175"/>
          <a:ext cx="7725853" cy="102884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9526</xdr:colOff>
      <xdr:row>31</xdr:row>
      <xdr:rowOff>152400</xdr:rowOff>
    </xdr:from>
    <xdr:to>
      <xdr:col>2</xdr:col>
      <xdr:colOff>257176</xdr:colOff>
      <xdr:row>53</xdr:row>
      <xdr:rowOff>41795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60ED187C-1165-4CD1-9B67-AD76D570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6057900"/>
          <a:ext cx="2057400" cy="408039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266699</xdr:colOff>
      <xdr:row>56</xdr:row>
      <xdr:rowOff>57150</xdr:rowOff>
    </xdr:from>
    <xdr:to>
      <xdr:col>6</xdr:col>
      <xdr:colOff>187374</xdr:colOff>
      <xdr:row>73</xdr:row>
      <xdr:rowOff>57149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F04617E9-8565-4D58-8252-612DE76D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699" y="10725150"/>
          <a:ext cx="4873675" cy="323849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604180</xdr:colOff>
      <xdr:row>66</xdr:row>
      <xdr:rowOff>195964</xdr:rowOff>
    </xdr:from>
    <xdr:to>
      <xdr:col>22</xdr:col>
      <xdr:colOff>312966</xdr:colOff>
      <xdr:row>72</xdr:row>
      <xdr:rowOff>2722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AD40BAD-8673-4929-A4BB-D66AEA074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80501" y="13585393"/>
          <a:ext cx="1260000" cy="1260000"/>
        </a:xfrm>
        <a:prstGeom prst="rect">
          <a:avLst/>
        </a:prstGeom>
      </xdr:spPr>
    </xdr:pic>
    <xdr:clientData/>
  </xdr:twoCellAnchor>
  <xdr:twoCellAnchor editAs="oneCell">
    <xdr:from>
      <xdr:col>20</xdr:col>
      <xdr:colOff>47546</xdr:colOff>
      <xdr:row>72</xdr:row>
      <xdr:rowOff>104553</xdr:rowOff>
    </xdr:from>
    <xdr:to>
      <xdr:col>23</xdr:col>
      <xdr:colOff>56470</xdr:colOff>
      <xdr:row>75</xdr:row>
      <xdr:rowOff>70074</xdr:rowOff>
    </xdr:to>
    <xdr:pic>
      <xdr:nvPicPr>
        <xdr:cNvPr id="3" name="Obraz 2" descr="color-ppt.jpg">
          <a:extLst>
            <a:ext uri="{FF2B5EF4-FFF2-40B4-BE49-F238E27FC236}">
              <a16:creationId xmlns:a16="http://schemas.microsoft.com/office/drawing/2014/main" id="{E9E8C1A4-5A0C-4561-BBC0-B8F95271D49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6153" y="16678053"/>
          <a:ext cx="2308531" cy="700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0070C0"/>
  </sheetPr>
  <dimension ref="A1:Q170"/>
  <sheetViews>
    <sheetView showGridLines="0" zoomScale="85" zoomScaleNormal="85" workbookViewId="0">
      <selection activeCell="N9" sqref="N9"/>
    </sheetView>
  </sheetViews>
  <sheetFormatPr defaultColWidth="0" defaultRowHeight="15" zeroHeight="1"/>
  <cols>
    <col min="1" max="1" width="178.140625" style="21" customWidth="1"/>
    <col min="2" max="2" width="2" style="21" hidden="1" customWidth="1"/>
    <col min="3" max="16384" width="9.140625" style="21" hidden="1"/>
  </cols>
  <sheetData>
    <row r="1" spans="1:17" s="22" customFormat="1" ht="32.2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32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32.2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8.5" customHeight="1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28.5" customHeight="1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s="22" customFormat="1" ht="32.25" customHeight="1">
      <c r="A6" s="23" t="s">
        <v>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ht="60" customHeight="1">
      <c r="A7" s="20" t="s">
        <v>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60" customHeight="1">
      <c r="A8" s="20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60" customHeight="1">
      <c r="A9" s="20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60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60" customHeight="1">
      <c r="A11" s="20" t="s">
        <v>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8.2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s="22" customFormat="1" ht="32.25" customHeight="1">
      <c r="A13" s="23" t="s">
        <v>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spans="1:17" s="125" customFormat="1" ht="32.25" customHeight="1">
      <c r="A14" s="127" t="s">
        <v>10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</row>
    <row r="15" spans="1:17" s="125" customFormat="1" ht="32.25" customHeight="1">
      <c r="A15" s="126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</row>
    <row r="16" spans="1:17" ht="32.25" customHeight="1">
      <c r="A16" s="127" t="s">
        <v>11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17" ht="32.25" customHeight="1">
      <c r="A17" s="20" t="s">
        <v>12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ht="32.25" customHeight="1">
      <c r="A18" s="158" t="s">
        <v>13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 ht="32.25" customHeight="1">
      <c r="A19" s="15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32.25" customHeight="1">
      <c r="A20" s="20" t="s">
        <v>14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7" ht="32.25" customHeight="1">
      <c r="A21" s="158" t="s">
        <v>15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ht="32.25" customHeight="1">
      <c r="A22" s="158" t="s">
        <v>16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7" ht="32.25" customHeight="1">
      <c r="A23" s="158" t="s">
        <v>17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1:17" ht="32.25" customHeight="1">
      <c r="A24" s="158" t="s">
        <v>18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1:17" ht="32.25" customHeight="1">
      <c r="A25" s="15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ht="32.25" customHeight="1">
      <c r="A26" s="20" t="s">
        <v>19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7" ht="32.25" customHeight="1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ht="32.25" customHeight="1">
      <c r="A28" s="20" t="s">
        <v>21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7" ht="32.25" customHeight="1">
      <c r="A29" s="20" t="s">
        <v>22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7" ht="32.25" customHeight="1">
      <c r="A30" s="20" t="s">
        <v>23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ht="32.25" customHeight="1">
      <c r="A31" s="20" t="s">
        <v>24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7" ht="32.25" customHeight="1">
      <c r="A32" s="20" t="s">
        <v>25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1:17" ht="32.25" customHeight="1">
      <c r="A33" s="21" t="s">
        <v>26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ht="32.25" customHeight="1">
      <c r="A34" s="21" t="s">
        <v>27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ht="32.25" customHeight="1">
      <c r="A35" s="21" t="s">
        <v>28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 ht="32.25" customHeight="1">
      <c r="A36" s="20" t="s">
        <v>29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ht="32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ht="32.25" customHeight="1">
      <c r="A38" s="20" t="s">
        <v>30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7" ht="32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32.25" customHeight="1">
      <c r="A40" s="20" t="s">
        <v>31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17" ht="32.25" customHeight="1">
      <c r="A41" s="20" t="s">
        <v>32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1:17" ht="32.2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ht="32.25" customHeight="1">
      <c r="A43" s="24" t="s">
        <v>33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ht="32.2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17" ht="32.25" customHeight="1">
      <c r="A45" s="25" t="s">
        <v>34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ht="32.25" customHeight="1">
      <c r="A46" s="20" t="s">
        <v>35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1:17" ht="32.25" customHeight="1">
      <c r="A47" s="20" t="s">
        <v>36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ht="32.25" customHeight="1">
      <c r="A48" s="20" t="s">
        <v>37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ht="32.2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ht="32.25" customHeight="1">
      <c r="A50" s="20" t="s">
        <v>38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ht="32.25" customHeight="1">
      <c r="A51" s="20" t="s">
        <v>39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ht="32.2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1:17" ht="32.25" customHeight="1">
      <c r="A53" s="20" t="s">
        <v>40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1:17" ht="32.2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17" s="22" customFormat="1" ht="32.25" customHeight="1">
      <c r="A55" s="23" t="s">
        <v>41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 spans="1:17" ht="32.25" customHeight="1">
      <c r="A56" s="20" t="s">
        <v>42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ht="32.25" customHeight="1">
      <c r="A57" s="21" t="s">
        <v>43</v>
      </c>
    </row>
    <row r="58" spans="1:17" ht="32.25" customHeight="1">
      <c r="A58" s="21" t="s">
        <v>44</v>
      </c>
    </row>
    <row r="59" spans="1:17" ht="32.25" customHeight="1">
      <c r="A59" s="21" t="s">
        <v>45</v>
      </c>
    </row>
    <row r="60" spans="1:17" ht="32.25" customHeight="1">
      <c r="A60" s="21" t="s">
        <v>46</v>
      </c>
    </row>
    <row r="61" spans="1:17" ht="32.25" customHeight="1">
      <c r="A61" s="21" t="s">
        <v>47</v>
      </c>
    </row>
    <row r="62" spans="1:17" ht="32.25" customHeight="1"/>
    <row r="63" spans="1:17" ht="32.25" customHeight="1"/>
    <row r="64" spans="1:17" ht="32.25" customHeight="1"/>
    <row r="65" spans="1:17" s="22" customFormat="1" ht="32.25" customHeight="1">
      <c r="A65" s="23" t="s">
        <v>48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</row>
    <row r="66" spans="1:17" ht="32.25" customHeight="1">
      <c r="A66" s="21" t="s">
        <v>49</v>
      </c>
    </row>
    <row r="67" spans="1:17" ht="32.25" customHeight="1"/>
    <row r="68" spans="1:17" ht="32.25" customHeight="1">
      <c r="A68" s="21" t="s">
        <v>50</v>
      </c>
    </row>
    <row r="69" spans="1:17" ht="32.25" customHeight="1">
      <c r="A69" s="21" t="s">
        <v>51</v>
      </c>
    </row>
    <row r="70" spans="1:17" ht="32.25" customHeight="1">
      <c r="A70" s="21" t="s">
        <v>52</v>
      </c>
    </row>
    <row r="71" spans="1:17" ht="32.25" customHeight="1">
      <c r="A71" s="21" t="s">
        <v>53</v>
      </c>
    </row>
    <row r="72" spans="1:17" ht="32.25" customHeight="1">
      <c r="A72" s="21" t="s">
        <v>54</v>
      </c>
    </row>
    <row r="73" spans="1:17" ht="32.25" customHeight="1">
      <c r="A73" s="134" t="s">
        <v>55</v>
      </c>
    </row>
    <row r="74" spans="1:17" ht="32.25" customHeight="1">
      <c r="A74" s="21" t="s">
        <v>56</v>
      </c>
    </row>
    <row r="75" spans="1:17" ht="32.25" customHeight="1">
      <c r="A75" s="21" t="s">
        <v>57</v>
      </c>
    </row>
    <row r="76" spans="1:17" ht="32.25" customHeight="1">
      <c r="A76" s="21" t="s">
        <v>58</v>
      </c>
    </row>
    <row r="77" spans="1:17" ht="32.25" customHeight="1">
      <c r="A77" s="21" t="s">
        <v>59</v>
      </c>
    </row>
    <row r="78" spans="1:17" ht="32.25" customHeight="1"/>
    <row r="79" spans="1:17" ht="32.25" customHeight="1">
      <c r="A79" s="21" t="s">
        <v>60</v>
      </c>
    </row>
    <row r="80" spans="1:17" ht="32.25" customHeight="1">
      <c r="A80" s="21" t="s">
        <v>61</v>
      </c>
    </row>
    <row r="81" spans="1:17" ht="32.25" customHeight="1">
      <c r="A81" s="21" t="s">
        <v>62</v>
      </c>
    </row>
    <row r="82" spans="1:17" s="22" customFormat="1" ht="32.25" customHeight="1">
      <c r="A82" s="23" t="s">
        <v>63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</row>
    <row r="83" spans="1:17" ht="32.25" customHeight="1">
      <c r="A83" s="21" t="s">
        <v>64</v>
      </c>
    </row>
    <row r="84" spans="1:17" ht="32.25" customHeight="1"/>
    <row r="85" spans="1:17" ht="32.25" customHeight="1"/>
    <row r="86" spans="1:17" ht="32.25" customHeight="1"/>
    <row r="87" spans="1:17" ht="32.25" customHeight="1"/>
    <row r="88" spans="1:17" ht="32.25" customHeight="1"/>
    <row r="89" spans="1:17" ht="32.25" customHeight="1"/>
    <row r="90" spans="1:17" ht="32.25" customHeight="1"/>
    <row r="91" spans="1:17" ht="32.25" customHeight="1"/>
    <row r="92" spans="1:17" ht="32.25" customHeight="1"/>
    <row r="93" spans="1:17" ht="32.25" customHeight="1"/>
    <row r="94" spans="1:17" ht="32.25" customHeight="1"/>
    <row r="95" spans="1:17" ht="32.25" customHeight="1"/>
    <row r="96" spans="1:17" ht="32.25" customHeight="1"/>
    <row r="97" ht="32.25" customHeight="1"/>
    <row r="98" ht="32.25" customHeight="1"/>
    <row r="99" ht="32.25" customHeight="1"/>
    <row r="100" ht="32.25" customHeight="1"/>
    <row r="101" ht="32.25" customHeight="1"/>
    <row r="102" ht="32.25" customHeight="1"/>
    <row r="103" ht="32.25" customHeight="1"/>
    <row r="104" ht="32.25" hidden="1" customHeight="1"/>
    <row r="105" ht="32.25" hidden="1" customHeight="1"/>
    <row r="106" ht="32.25" hidden="1" customHeight="1"/>
    <row r="107" ht="32.25" hidden="1" customHeight="1"/>
    <row r="108" ht="32.25" hidden="1" customHeight="1"/>
    <row r="109" ht="32.25" hidden="1" customHeight="1"/>
    <row r="110" ht="32.25" hidden="1" customHeight="1"/>
    <row r="111" ht="32.25" hidden="1" customHeight="1"/>
    <row r="112" ht="32.25" hidden="1" customHeight="1"/>
    <row r="113" ht="32.25" hidden="1" customHeight="1"/>
    <row r="114" ht="32.25" hidden="1" customHeight="1"/>
    <row r="115" ht="32.25" hidden="1" customHeight="1"/>
    <row r="116" ht="32.25" hidden="1" customHeight="1"/>
    <row r="117" ht="32.25" hidden="1" customHeight="1"/>
    <row r="118" ht="32.25" hidden="1" customHeight="1"/>
    <row r="119" ht="32.25" hidden="1" customHeight="1"/>
    <row r="120" ht="32.25" hidden="1" customHeight="1"/>
    <row r="121" ht="32.25" hidden="1" customHeight="1"/>
    <row r="122" ht="32.25" hidden="1" customHeight="1"/>
    <row r="123" ht="32.25" hidden="1" customHeight="1"/>
    <row r="124" ht="32.25" hidden="1" customHeight="1"/>
    <row r="125" ht="32.25" hidden="1" customHeight="1"/>
    <row r="126" ht="32.25" hidden="1" customHeight="1"/>
    <row r="127" ht="32.25" hidden="1" customHeight="1"/>
    <row r="128" ht="32.25" hidden="1" customHeight="1"/>
    <row r="129" ht="32.25" hidden="1" customHeight="1"/>
    <row r="130" ht="32.25" hidden="1" customHeight="1"/>
    <row r="131" ht="32.25" hidden="1" customHeight="1"/>
    <row r="132" ht="32.25" hidden="1" customHeight="1"/>
    <row r="133" ht="32.25" hidden="1" customHeight="1"/>
    <row r="134" ht="32.25" hidden="1" customHeight="1"/>
    <row r="135" ht="32.25" hidden="1" customHeight="1"/>
    <row r="136" ht="32.25" hidden="1" customHeight="1"/>
    <row r="137" ht="32.25" hidden="1" customHeight="1"/>
    <row r="138" ht="32.25" hidden="1" customHeight="1"/>
    <row r="139" ht="32.25" hidden="1" customHeight="1"/>
    <row r="140" ht="32.25" hidden="1" customHeight="1"/>
    <row r="141" ht="32.25" hidden="1" customHeight="1"/>
    <row r="142" ht="32.25" hidden="1" customHeight="1"/>
    <row r="143" ht="32.25" hidden="1" customHeight="1"/>
    <row r="144" ht="32.25" hidden="1" customHeight="1"/>
    <row r="145" ht="32.25" hidden="1" customHeight="1"/>
    <row r="146" ht="32.25" hidden="1" customHeight="1"/>
    <row r="147" ht="32.25" hidden="1" customHeight="1"/>
    <row r="148" ht="32.25" hidden="1" customHeight="1"/>
    <row r="149" ht="32.25" hidden="1" customHeight="1"/>
    <row r="150" ht="32.25" hidden="1" customHeight="1"/>
    <row r="151" ht="32.25" hidden="1" customHeight="1"/>
    <row r="152" ht="32.25" hidden="1" customHeight="1"/>
    <row r="153" ht="32.25" hidden="1" customHeight="1"/>
    <row r="154" ht="32.25" hidden="1" customHeight="1"/>
    <row r="155" ht="32.25" hidden="1" customHeight="1"/>
    <row r="156" ht="32.25" hidden="1" customHeight="1"/>
    <row r="157" ht="32.25" hidden="1" customHeight="1"/>
    <row r="158" ht="32.25" hidden="1" customHeight="1"/>
    <row r="159" ht="32.25" hidden="1" customHeight="1"/>
    <row r="160" ht="32.25" hidden="1" customHeight="1"/>
    <row r="161" ht="32.25" hidden="1" customHeight="1"/>
    <row r="162"/>
    <row r="163"/>
    <row r="164"/>
    <row r="165"/>
    <row r="166"/>
    <row r="167"/>
    <row r="168"/>
    <row r="169"/>
    <row r="170"/>
  </sheetData>
  <sheetProtection algorithmName="SHA-512" hashValue="3GMzpAyj8gBFiS3Zpslv5dO2bPHXvd0kecizlXoWoy/OHzmgyUkYNs5zDqeGEIAtICiK/noibBtd/Qy/Yc3H3g==" saltValue="b5JZA2vMdcjDJ60QDS2wKw==" spinCount="100000" sheet="1" objects="1" scenarios="1" selectLockedCell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007343"/>
  </sheetPr>
  <dimension ref="A1:G106"/>
  <sheetViews>
    <sheetView showGridLines="0" showRowColHeaders="0" topLeftCell="A109" workbookViewId="0">
      <selection activeCell="D104" sqref="D104"/>
    </sheetView>
  </sheetViews>
  <sheetFormatPr defaultColWidth="9.140625" defaultRowHeight="15"/>
  <cols>
    <col min="1" max="1" width="4.28515625" customWidth="1"/>
    <col min="2" max="2" width="27.140625" customWidth="1"/>
    <col min="3" max="4" width="21.42578125" customWidth="1"/>
    <col min="5" max="6" width="21.42578125" hidden="1" customWidth="1"/>
    <col min="7" max="7" width="21.42578125" customWidth="1"/>
  </cols>
  <sheetData>
    <row r="1" spans="2:2">
      <c r="B1" s="162" t="s">
        <v>65</v>
      </c>
    </row>
    <row r="3" spans="2:2">
      <c r="B3" t="s">
        <v>66</v>
      </c>
    </row>
    <row r="18" spans="2:2">
      <c r="B18" s="162" t="s">
        <v>67</v>
      </c>
    </row>
    <row r="20" spans="2:2">
      <c r="B20" t="s">
        <v>68</v>
      </c>
    </row>
    <row r="29" spans="2:2">
      <c r="B29" s="162" t="s">
        <v>69</v>
      </c>
    </row>
    <row r="31" spans="2:2">
      <c r="B31" t="s">
        <v>70</v>
      </c>
    </row>
    <row r="55" spans="2:2">
      <c r="B55" t="s">
        <v>71</v>
      </c>
    </row>
    <row r="78" spans="1:6">
      <c r="A78" s="179" t="s">
        <v>72</v>
      </c>
      <c r="B78" s="180"/>
      <c r="C78" s="180"/>
      <c r="D78" s="180"/>
      <c r="E78" s="180"/>
      <c r="F78" s="180"/>
    </row>
    <row r="80" spans="1:6">
      <c r="A80" s="163"/>
      <c r="B80" s="434" t="s">
        <v>73</v>
      </c>
    </row>
    <row r="81" spans="1:7">
      <c r="A81" s="163"/>
    </row>
    <row r="82" spans="1:7">
      <c r="A82" s="163"/>
      <c r="B82" s="163" t="s">
        <v>74</v>
      </c>
      <c r="C82" s="164">
        <f>CALCULATOR!F1</f>
        <v>108120</v>
      </c>
      <c r="D82" s="165"/>
    </row>
    <row r="83" spans="1:7">
      <c r="A83" s="163"/>
      <c r="B83" s="163" t="s">
        <v>75</v>
      </c>
      <c r="C83" s="164" t="str">
        <f>CALCULATOR!C1</f>
        <v>SBX Warszawa Janki</v>
      </c>
      <c r="D83" s="165"/>
    </row>
    <row r="84" spans="1:7">
      <c r="A84" s="163"/>
      <c r="B84" s="163" t="s">
        <v>76</v>
      </c>
      <c r="C84" s="166" t="str">
        <f>CALCULATOR!C5</f>
        <v>WRZESIEŃ</v>
      </c>
      <c r="D84" s="167"/>
    </row>
    <row r="85" spans="1:7">
      <c r="A85" s="163"/>
    </row>
    <row r="86" spans="1:7" ht="60">
      <c r="A86" s="181" t="s">
        <v>77</v>
      </c>
      <c r="B86" s="181" t="s">
        <v>78</v>
      </c>
      <c r="C86" s="181" t="s">
        <v>79</v>
      </c>
      <c r="D86" s="181" t="s">
        <v>80</v>
      </c>
      <c r="E86" s="181" t="s">
        <v>81</v>
      </c>
      <c r="F86" s="181" t="s">
        <v>82</v>
      </c>
      <c r="G86" s="181" t="s">
        <v>83</v>
      </c>
    </row>
    <row r="87" spans="1:7">
      <c r="A87" s="164">
        <v>1</v>
      </c>
      <c r="B87" s="168" t="str">
        <f>IF(CALCULATOR!I3="","",CALCULATOR!I3)</f>
        <v xml:space="preserve">Dawid Szeluga </v>
      </c>
      <c r="C87" s="425">
        <v>2</v>
      </c>
      <c r="D87" s="450">
        <f>CALCULATOR!L3*CALCULATOR!K3</f>
        <v>7200</v>
      </c>
      <c r="E87" s="176">
        <f>ROUND((D87/21)*C87,0)</f>
        <v>686</v>
      </c>
      <c r="F87" s="176">
        <f>ROUND(E87*0.195,0)</f>
        <v>134</v>
      </c>
      <c r="G87" s="176">
        <f>E87+F87</f>
        <v>820</v>
      </c>
    </row>
    <row r="88" spans="1:7">
      <c r="A88" s="164">
        <v>2</v>
      </c>
      <c r="B88" s="168" t="str">
        <f>IF(CALCULATOR!I4="","",CALCULATOR!I4)</f>
        <v>Dawid Apel</v>
      </c>
      <c r="C88" s="425">
        <v>4</v>
      </c>
      <c r="D88" s="450">
        <f>CALCULATOR!L4*CALCULATOR!K4</f>
        <v>6300</v>
      </c>
      <c r="E88" s="176">
        <f t="shared" ref="E88:E101" si="0">ROUND((D88/21)*C88,0)</f>
        <v>1200</v>
      </c>
      <c r="F88" s="176">
        <f t="shared" ref="F88:F101" si="1">ROUND(E88*0.195,0)</f>
        <v>234</v>
      </c>
      <c r="G88" s="176">
        <f t="shared" ref="G88:G101" si="2">E88+F88</f>
        <v>1434</v>
      </c>
    </row>
    <row r="89" spans="1:7">
      <c r="A89" s="164">
        <v>3</v>
      </c>
      <c r="B89" s="168" t="str">
        <f>IF(CALCULATOR!I5="","",CALCULATOR!I5)</f>
        <v xml:space="preserve">Zuzanna Makowska </v>
      </c>
      <c r="C89" s="425">
        <v>1</v>
      </c>
      <c r="D89" s="450">
        <f>CALCULATOR!L5*CALCULATOR!K5</f>
        <v>2632.5</v>
      </c>
      <c r="E89" s="176">
        <f t="shared" si="0"/>
        <v>125</v>
      </c>
      <c r="F89" s="176">
        <f t="shared" si="1"/>
        <v>24</v>
      </c>
      <c r="G89" s="176">
        <f t="shared" si="2"/>
        <v>149</v>
      </c>
    </row>
    <row r="90" spans="1:7">
      <c r="A90" s="164">
        <v>4</v>
      </c>
      <c r="B90" s="168" t="str">
        <f>IF(CALCULATOR!I6="","",CALCULATOR!I6)</f>
        <v>Weronika Bieńkowska</v>
      </c>
      <c r="C90" s="425">
        <v>4</v>
      </c>
      <c r="D90" s="450">
        <f>CALCULATOR!L6*CALCULATOR!K6</f>
        <v>2800</v>
      </c>
      <c r="E90" s="176">
        <f>ROUND((D90/21)*C90,0)</f>
        <v>533</v>
      </c>
      <c r="F90" s="176">
        <f t="shared" ref="F90:F97" si="3">ROUND(E90*0.195,0)</f>
        <v>104</v>
      </c>
      <c r="G90" s="176">
        <f>E90+F90</f>
        <v>637</v>
      </c>
    </row>
    <row r="91" spans="1:7">
      <c r="A91" s="164">
        <v>5</v>
      </c>
      <c r="B91" s="168" t="str">
        <f>IF(CALCULATOR!I7="","",CALCULATOR!I7)</f>
        <v>Nikola Studzińska</v>
      </c>
      <c r="C91" s="425">
        <v>4</v>
      </c>
      <c r="D91" s="450">
        <f>CALCULATOR!L7*CALCULATOR!K7</f>
        <v>1150</v>
      </c>
      <c r="E91" s="176">
        <f t="shared" ref="E91:E95" si="4">ROUND((D91/21)*C91,0)</f>
        <v>219</v>
      </c>
      <c r="F91" s="176">
        <f t="shared" si="3"/>
        <v>43</v>
      </c>
      <c r="G91" s="176">
        <f t="shared" ref="G91:G95" si="5">E91+F91</f>
        <v>262</v>
      </c>
    </row>
    <row r="92" spans="1:7">
      <c r="A92" s="164">
        <v>6</v>
      </c>
      <c r="B92" s="168" t="str">
        <f>IF(CALCULATOR!I8="","",CALCULATOR!I8)</f>
        <v>Kamil Kamiński</v>
      </c>
      <c r="C92" s="425"/>
      <c r="D92" s="450">
        <f>CALCULATOR!L8*CALCULATOR!K8</f>
        <v>5600</v>
      </c>
      <c r="E92" s="176">
        <f t="shared" ref="E92:E93" si="6">ROUND((D92/21)*C92,0)</f>
        <v>0</v>
      </c>
      <c r="F92" s="176">
        <f t="shared" ref="F92:F93" si="7">ROUND(E92*0.195,0)</f>
        <v>0</v>
      </c>
      <c r="G92" s="176">
        <f t="shared" si="5"/>
        <v>0</v>
      </c>
    </row>
    <row r="93" spans="1:7">
      <c r="A93" s="164">
        <v>7</v>
      </c>
      <c r="B93" s="168" t="str">
        <f>IF(CALCULATOR!I9="","",CALCULATOR!I9)</f>
        <v/>
      </c>
      <c r="C93" s="425"/>
      <c r="D93" s="450">
        <f>CALCULATOR!L9*CALCULATOR!K9</f>
        <v>0</v>
      </c>
      <c r="E93" s="176">
        <f t="shared" si="6"/>
        <v>0</v>
      </c>
      <c r="F93" s="176">
        <f t="shared" si="7"/>
        <v>0</v>
      </c>
      <c r="G93" s="176">
        <f t="shared" si="5"/>
        <v>0</v>
      </c>
    </row>
    <row r="94" spans="1:7">
      <c r="A94" s="164">
        <v>8</v>
      </c>
      <c r="B94" s="168" t="str">
        <f>IF(CALCULATOR!I10="","",CALCULATOR!I10)</f>
        <v/>
      </c>
      <c r="C94" s="425"/>
      <c r="D94" s="450">
        <f>CALCULATOR!L10*CALCULATOR!K10</f>
        <v>0</v>
      </c>
      <c r="E94" s="176">
        <f t="shared" si="4"/>
        <v>0</v>
      </c>
      <c r="F94" s="176">
        <f t="shared" si="3"/>
        <v>0</v>
      </c>
      <c r="G94" s="176">
        <f t="shared" si="5"/>
        <v>0</v>
      </c>
    </row>
    <row r="95" spans="1:7">
      <c r="A95" s="164">
        <v>9</v>
      </c>
      <c r="B95" s="168" t="str">
        <f>IF(CALCULATOR!I11="","",CALCULATOR!I11)</f>
        <v/>
      </c>
      <c r="C95" s="425"/>
      <c r="D95" s="450">
        <f>CALCULATOR!L11*CALCULATOR!K11</f>
        <v>0</v>
      </c>
      <c r="E95" s="176">
        <f t="shared" si="4"/>
        <v>0</v>
      </c>
      <c r="F95" s="176">
        <f t="shared" si="3"/>
        <v>0</v>
      </c>
      <c r="G95" s="176">
        <f t="shared" si="5"/>
        <v>0</v>
      </c>
    </row>
    <row r="96" spans="1:7">
      <c r="A96" s="164">
        <v>10</v>
      </c>
      <c r="B96" s="168" t="str">
        <f>IF(CALCULATOR!I12="","",CALCULATOR!I12)</f>
        <v/>
      </c>
      <c r="C96" s="425"/>
      <c r="D96" s="450">
        <f>CALCULATOR!L12*CALCULATOR!K12</f>
        <v>0</v>
      </c>
      <c r="E96" s="176">
        <f t="shared" si="0"/>
        <v>0</v>
      </c>
      <c r="F96" s="176">
        <f t="shared" si="3"/>
        <v>0</v>
      </c>
      <c r="G96" s="176">
        <f t="shared" si="2"/>
        <v>0</v>
      </c>
    </row>
    <row r="97" spans="1:7">
      <c r="A97" s="164">
        <v>11</v>
      </c>
      <c r="B97" s="168" t="s">
        <v>84</v>
      </c>
      <c r="C97" s="425"/>
      <c r="D97" s="450">
        <f>CALCULATOR!L13*CALCULATOR!K13</f>
        <v>0</v>
      </c>
      <c r="E97" s="176">
        <f t="shared" si="0"/>
        <v>0</v>
      </c>
      <c r="F97" s="176">
        <f t="shared" si="3"/>
        <v>0</v>
      </c>
      <c r="G97" s="176">
        <f t="shared" si="2"/>
        <v>0</v>
      </c>
    </row>
    <row r="98" spans="1:7">
      <c r="A98" s="164">
        <v>12</v>
      </c>
      <c r="B98" s="168" t="s">
        <v>85</v>
      </c>
      <c r="C98" s="425"/>
      <c r="D98" s="451"/>
      <c r="E98" s="176">
        <f t="shared" si="0"/>
        <v>0</v>
      </c>
      <c r="F98" s="176">
        <f t="shared" si="1"/>
        <v>0</v>
      </c>
      <c r="G98" s="176">
        <f t="shared" si="2"/>
        <v>0</v>
      </c>
    </row>
    <row r="99" spans="1:7">
      <c r="A99" s="164">
        <v>13</v>
      </c>
      <c r="B99" s="168" t="s">
        <v>85</v>
      </c>
      <c r="C99" s="425"/>
      <c r="D99" s="451"/>
      <c r="E99" s="176">
        <f t="shared" si="0"/>
        <v>0</v>
      </c>
      <c r="F99" s="176">
        <f t="shared" si="1"/>
        <v>0</v>
      </c>
      <c r="G99" s="176">
        <f t="shared" si="2"/>
        <v>0</v>
      </c>
    </row>
    <row r="100" spans="1:7">
      <c r="A100" s="164">
        <v>14</v>
      </c>
      <c r="B100" s="425"/>
      <c r="C100" s="425"/>
      <c r="D100" s="451"/>
      <c r="E100" s="176">
        <f t="shared" si="0"/>
        <v>0</v>
      </c>
      <c r="F100" s="176">
        <f t="shared" si="1"/>
        <v>0</v>
      </c>
      <c r="G100" s="176">
        <f t="shared" si="2"/>
        <v>0</v>
      </c>
    </row>
    <row r="101" spans="1:7">
      <c r="A101" s="164">
        <v>15</v>
      </c>
      <c r="B101" s="425"/>
      <c r="C101" s="425"/>
      <c r="D101" s="451"/>
      <c r="E101" s="176">
        <f t="shared" si="0"/>
        <v>0</v>
      </c>
      <c r="F101" s="176">
        <f t="shared" si="1"/>
        <v>0</v>
      </c>
      <c r="G101" s="176">
        <f t="shared" si="2"/>
        <v>0</v>
      </c>
    </row>
    <row r="102" spans="1:7">
      <c r="A102" s="170"/>
      <c r="B102" s="171" t="s">
        <v>86</v>
      </c>
      <c r="C102" s="172">
        <f>SUM(C87:C101)</f>
        <v>15</v>
      </c>
      <c r="D102" s="175">
        <f>SUM(D87:D101)</f>
        <v>25682.5</v>
      </c>
      <c r="E102" s="177">
        <f>SUM(E87:E101)</f>
        <v>2763</v>
      </c>
      <c r="F102" s="177">
        <f>SUM(F87:F101)</f>
        <v>539</v>
      </c>
      <c r="G102" s="178">
        <f>SUM(G87:G101)</f>
        <v>3302</v>
      </c>
    </row>
    <row r="103" spans="1:7" ht="15.75" thickBot="1">
      <c r="A103" s="163"/>
    </row>
    <row r="104" spans="1:7" ht="15.75" thickBot="1">
      <c r="A104" s="163"/>
      <c r="C104" s="163" t="s">
        <v>87</v>
      </c>
      <c r="D104" s="426">
        <v>-127</v>
      </c>
      <c r="F104" s="169">
        <f>ROUND(D104*0.195,0)</f>
        <v>-25</v>
      </c>
      <c r="G104" s="169">
        <f>D104+F104</f>
        <v>-152</v>
      </c>
    </row>
    <row r="105" spans="1:7">
      <c r="A105" s="163"/>
      <c r="F105" s="163" t="s">
        <v>88</v>
      </c>
      <c r="G105" s="169">
        <f>G102</f>
        <v>3302</v>
      </c>
    </row>
    <row r="106" spans="1:7">
      <c r="A106" s="163"/>
      <c r="F106" s="173" t="s">
        <v>89</v>
      </c>
      <c r="G106" s="172">
        <f>G105-G104</f>
        <v>3454</v>
      </c>
    </row>
  </sheetData>
  <sheetProtection algorithmName="SHA-512" hashValue="DCSx/MeCjl1/SPFv3v5bME1oJhlbcNcsoXqB6uLj7j++Fz4UHwZ8/fGD3KFIOjtl+dMirYCxH+zT4TdRyJyahg==" saltValue="HQGKmyVIKShIe+dEAsxgqw==" spinCount="100000" sheet="1" selectLockedCells="1"/>
  <dataValidations count="1">
    <dataValidation allowBlank="1" showInputMessage="1" showErrorMessage="1" prompt="Proszę wprowadzić tylko wartość  &quot;dodatnią&quot;" sqref="D104" xr:uid="{00000000-0002-0000-0100-000000000000}"/>
  </dataValidations>
  <pageMargins left="0.7" right="0.7" top="0.75" bottom="0.75" header="0.3" footer="0.3"/>
  <pageSetup paperSize="9" orientation="portrait" r:id="rId1"/>
  <ignoredErrors>
    <ignoredError sqref="C82:C84" unlocked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74EBFF9-5F3D-4530-BCA6-87B3DA8A467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D87:D101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1">
    <tabColor rgb="FF007343"/>
    <pageSetUpPr fitToPage="1"/>
  </sheetPr>
  <dimension ref="A1:DG97"/>
  <sheetViews>
    <sheetView showGridLines="0" showRowColHeaders="0" tabSelected="1" zoomScale="90" zoomScaleNormal="90" zoomScaleSheetLayoutView="100" zoomScalePageLayoutView="25" workbookViewId="0">
      <selection activeCell="S4" sqref="S4"/>
    </sheetView>
  </sheetViews>
  <sheetFormatPr defaultColWidth="0" defaultRowHeight="15"/>
  <cols>
    <col min="1" max="1" width="1.42578125" customWidth="1"/>
    <col min="2" max="2" width="35.7109375" style="75" customWidth="1"/>
    <col min="3" max="3" width="18.7109375" style="267" customWidth="1"/>
    <col min="4" max="4" width="15.7109375" style="267" customWidth="1"/>
    <col min="5" max="5" width="17.140625" style="267" bestFit="1" customWidth="1"/>
    <col min="6" max="6" width="15.7109375" style="267" customWidth="1"/>
    <col min="7" max="7" width="2.140625" style="267" customWidth="1"/>
    <col min="8" max="8" width="4.7109375" style="4" customWidth="1"/>
    <col min="9" max="9" width="23.7109375" style="4" customWidth="1"/>
    <col min="10" max="10" width="8" style="4" customWidth="1"/>
    <col min="11" max="11" width="9" style="4" customWidth="1"/>
    <col min="12" max="12" width="15.42578125" style="4" customWidth="1"/>
    <col min="13" max="13" width="15.28515625" style="4" customWidth="1"/>
    <col min="14" max="15" width="12.7109375" style="4" customWidth="1"/>
    <col min="16" max="16" width="11.7109375" style="120" customWidth="1"/>
    <col min="17" max="17" width="6.7109375" style="4" customWidth="1"/>
    <col min="18" max="18" width="4.7109375" style="4" customWidth="1"/>
    <col min="19" max="19" width="14.42578125" style="4" customWidth="1"/>
    <col min="20" max="22" width="11.7109375" style="47" customWidth="1"/>
    <col min="23" max="23" width="11.140625" style="47" customWidth="1"/>
    <col min="24" max="24" width="9" style="47" customWidth="1"/>
    <col min="25" max="25" width="18.85546875" style="47" customWidth="1"/>
    <col min="26" max="26" width="2.42578125" style="47" customWidth="1"/>
    <col min="27" max="27" width="6.28515625" style="47" bestFit="1" customWidth="1"/>
    <col min="28" max="29" width="13.7109375" style="47" customWidth="1"/>
    <col min="30" max="36" width="13.7109375" style="4" customWidth="1"/>
    <col min="37" max="37" width="3.7109375" style="4" customWidth="1"/>
    <col min="38" max="38" width="5" style="4" customWidth="1"/>
    <col min="39" max="42" width="13.7109375" style="4" customWidth="1"/>
    <col min="43" max="43" width="2.7109375" style="4" customWidth="1"/>
    <col min="44" max="44" width="6.28515625" style="4" bestFit="1" customWidth="1"/>
    <col min="45" max="48" width="13.7109375" style="4" customWidth="1"/>
    <col min="49" max="49" width="2.140625" style="4" customWidth="1"/>
    <col min="50" max="50" width="6.28515625" style="4" bestFit="1" customWidth="1"/>
    <col min="51" max="59" width="13.7109375" style="4" customWidth="1"/>
    <col min="60" max="60" width="20.7109375" style="4" customWidth="1"/>
    <col min="61" max="61" width="6.28515625" style="4" bestFit="1" customWidth="1"/>
    <col min="62" max="64" width="13.7109375" style="4" customWidth="1"/>
    <col min="65" max="65" width="13.7109375" style="47" customWidth="1"/>
    <col min="66" max="66" width="18" style="4" customWidth="1"/>
    <col min="67" max="67" width="6.28515625" style="4" bestFit="1" customWidth="1"/>
    <col min="68" max="68" width="18" style="4" customWidth="1"/>
    <col min="69" max="69" width="23.140625" style="4" customWidth="1"/>
    <col min="70" max="70" width="14.42578125" style="4" customWidth="1"/>
    <col min="71" max="74" width="18" style="4" customWidth="1"/>
    <col min="75" max="75" width="11.7109375" customWidth="1"/>
    <col min="76" max="76" width="22.85546875" hidden="1" customWidth="1"/>
    <col min="77" max="77" width="29" hidden="1" customWidth="1"/>
    <col min="78" max="80" width="39.42578125" hidden="1" customWidth="1"/>
    <col min="81" max="81" width="18.42578125" hidden="1" customWidth="1"/>
    <col min="82" max="82" width="18.140625" hidden="1" customWidth="1"/>
    <col min="83" max="83" width="12.85546875" hidden="1" customWidth="1"/>
    <col min="84" max="84" width="13.85546875" hidden="1" customWidth="1"/>
    <col min="85" max="85" width="12.7109375" hidden="1" customWidth="1"/>
    <col min="86" max="86" width="13.42578125" hidden="1" customWidth="1"/>
    <col min="87" max="87" width="13.85546875" hidden="1" customWidth="1"/>
    <col min="88" max="89" width="39.42578125" hidden="1" customWidth="1"/>
    <col min="90" max="90" width="14.42578125" hidden="1" customWidth="1"/>
    <col min="91" max="91" width="11.42578125" hidden="1" customWidth="1"/>
    <col min="92" max="92" width="18.42578125" hidden="1" customWidth="1"/>
    <col min="93" max="93" width="24.42578125" hidden="1" customWidth="1"/>
    <col min="94" max="94" width="39.42578125" hidden="1" customWidth="1"/>
    <col min="95" max="95" width="17.7109375" hidden="1" customWidth="1"/>
    <col min="96" max="98" width="11.7109375" hidden="1" customWidth="1"/>
    <col min="99" max="99" width="12.42578125" hidden="1" customWidth="1"/>
    <col min="100" max="100" width="11.7109375" hidden="1" customWidth="1"/>
    <col min="101" max="101" width="22.85546875" hidden="1" customWidth="1"/>
    <col min="102" max="102" width="29" hidden="1" customWidth="1"/>
    <col min="103" max="109" width="39.42578125" hidden="1" customWidth="1"/>
    <col min="110" max="111" width="29" hidden="1" customWidth="1"/>
    <col min="112" max="16384" width="39.42578125" hidden="1"/>
  </cols>
  <sheetData>
    <row r="1" spans="1:72" s="219" customFormat="1" ht="18" customHeight="1">
      <c r="A1" s="26"/>
      <c r="B1" s="540" t="s">
        <v>90</v>
      </c>
      <c r="C1" s="542" t="str">
        <f>IFERROR(VLOOKUP(F1,DANE!$AA$3:$AB$100,2,FALSE),"")</f>
        <v>SBX Warszawa Janki</v>
      </c>
      <c r="D1" s="542"/>
      <c r="E1" s="542"/>
      <c r="F1" s="544">
        <v>108120</v>
      </c>
      <c r="G1" s="203"/>
      <c r="H1" s="589" t="s">
        <v>91</v>
      </c>
      <c r="I1" s="516" t="s">
        <v>92</v>
      </c>
      <c r="J1" s="493" t="s">
        <v>93</v>
      </c>
      <c r="K1" s="516" t="s">
        <v>94</v>
      </c>
      <c r="L1" s="518" t="s">
        <v>95</v>
      </c>
      <c r="M1" s="490" t="s">
        <v>96</v>
      </c>
      <c r="N1" s="490" t="s">
        <v>97</v>
      </c>
      <c r="O1" s="490" t="s">
        <v>98</v>
      </c>
      <c r="P1" s="516" t="s">
        <v>99</v>
      </c>
      <c r="Q1" s="546" t="s">
        <v>100</v>
      </c>
      <c r="R1" s="548" t="s">
        <v>101</v>
      </c>
      <c r="S1" s="501" t="s">
        <v>102</v>
      </c>
      <c r="T1" s="490" t="s">
        <v>97</v>
      </c>
      <c r="U1" s="490" t="s">
        <v>98</v>
      </c>
      <c r="V1" s="516" t="s">
        <v>103</v>
      </c>
      <c r="W1" s="550" t="s">
        <v>104</v>
      </c>
      <c r="X1" s="553" t="s">
        <v>105</v>
      </c>
      <c r="Y1" s="554" t="s">
        <v>106</v>
      </c>
      <c r="Z1" s="218"/>
      <c r="AA1" s="535" t="s">
        <v>107</v>
      </c>
      <c r="AB1" s="555" t="s">
        <v>108</v>
      </c>
      <c r="AC1" s="555" t="s">
        <v>99</v>
      </c>
      <c r="AD1" s="515" t="s">
        <v>109</v>
      </c>
      <c r="AE1" s="515" t="s">
        <v>110</v>
      </c>
      <c r="AF1" s="515" t="s">
        <v>111</v>
      </c>
      <c r="AG1" s="515" t="s">
        <v>112</v>
      </c>
      <c r="AH1" s="515" t="s">
        <v>113</v>
      </c>
      <c r="AI1" s="515" t="s">
        <v>114</v>
      </c>
      <c r="AJ1" s="555" t="s">
        <v>115</v>
      </c>
      <c r="AL1" s="535" t="s">
        <v>116</v>
      </c>
      <c r="AM1" s="524" t="s">
        <v>108</v>
      </c>
      <c r="AN1" s="525" t="s">
        <v>117</v>
      </c>
      <c r="AO1" s="527" t="s">
        <v>115</v>
      </c>
      <c r="AP1" s="527" t="s">
        <v>118</v>
      </c>
      <c r="AR1" s="356"/>
      <c r="AS1" s="439"/>
      <c r="AT1" s="418"/>
      <c r="AU1" s="220"/>
      <c r="AV1" s="418"/>
      <c r="AX1" s="535" t="s">
        <v>119</v>
      </c>
      <c r="AY1" s="524" t="s">
        <v>108</v>
      </c>
      <c r="AZ1" s="524" t="s">
        <v>99</v>
      </c>
      <c r="BA1" s="539" t="s">
        <v>109</v>
      </c>
      <c r="BB1" s="539" t="s">
        <v>110</v>
      </c>
      <c r="BC1" s="539" t="s">
        <v>111</v>
      </c>
      <c r="BD1" s="539" t="s">
        <v>112</v>
      </c>
      <c r="BE1" s="539" t="s">
        <v>113</v>
      </c>
      <c r="BF1" s="539" t="s">
        <v>114</v>
      </c>
      <c r="BG1" s="525" t="s">
        <v>115</v>
      </c>
      <c r="BH1" s="221"/>
      <c r="BI1" s="535" t="s">
        <v>116</v>
      </c>
      <c r="BJ1" s="532" t="s">
        <v>108</v>
      </c>
      <c r="BK1" s="534" t="s">
        <v>117</v>
      </c>
      <c r="BL1" s="533" t="s">
        <v>115</v>
      </c>
      <c r="BM1" s="533" t="s">
        <v>118</v>
      </c>
      <c r="BO1" s="356"/>
      <c r="BP1" s="537"/>
      <c r="BQ1" s="538"/>
      <c r="BR1" s="220"/>
      <c r="BS1" s="538"/>
    </row>
    <row r="2" spans="1:72" s="219" customFormat="1" ht="18" customHeight="1">
      <c r="A2" s="26"/>
      <c r="B2" s="541"/>
      <c r="C2" s="543"/>
      <c r="D2" s="543"/>
      <c r="E2" s="543"/>
      <c r="F2" s="545"/>
      <c r="G2" s="218"/>
      <c r="H2" s="590"/>
      <c r="I2" s="517"/>
      <c r="J2" s="494"/>
      <c r="K2" s="517"/>
      <c r="L2" s="519"/>
      <c r="M2" s="491"/>
      <c r="N2" s="491"/>
      <c r="O2" s="491"/>
      <c r="P2" s="517"/>
      <c r="Q2" s="547"/>
      <c r="R2" s="549"/>
      <c r="S2" s="522"/>
      <c r="T2" s="491"/>
      <c r="U2" s="491"/>
      <c r="V2" s="517"/>
      <c r="W2" s="551"/>
      <c r="X2" s="553"/>
      <c r="Y2" s="552"/>
      <c r="Z2" s="218"/>
      <c r="AA2" s="535"/>
      <c r="AB2" s="555"/>
      <c r="AC2" s="555"/>
      <c r="AD2" s="515"/>
      <c r="AE2" s="515"/>
      <c r="AF2" s="515"/>
      <c r="AG2" s="515"/>
      <c r="AH2" s="515"/>
      <c r="AI2" s="515"/>
      <c r="AJ2" s="555"/>
      <c r="AL2" s="535"/>
      <c r="AM2" s="524"/>
      <c r="AN2" s="525"/>
      <c r="AO2" s="527"/>
      <c r="AP2" s="527"/>
      <c r="AR2" s="356"/>
      <c r="AS2" s="439"/>
      <c r="AT2" s="418"/>
      <c r="AU2" s="220"/>
      <c r="AV2" s="418"/>
      <c r="AX2" s="535"/>
      <c r="AY2" s="524"/>
      <c r="AZ2" s="524"/>
      <c r="BA2" s="539"/>
      <c r="BB2" s="539"/>
      <c r="BC2" s="539"/>
      <c r="BD2" s="539"/>
      <c r="BE2" s="539"/>
      <c r="BF2" s="539"/>
      <c r="BG2" s="525"/>
      <c r="BH2" s="221"/>
      <c r="BI2" s="535"/>
      <c r="BJ2" s="532"/>
      <c r="BK2" s="534"/>
      <c r="BL2" s="533"/>
      <c r="BM2" s="533"/>
      <c r="BO2" s="356"/>
      <c r="BP2" s="537"/>
      <c r="BQ2" s="538"/>
      <c r="BR2" s="220"/>
      <c r="BS2" s="538"/>
    </row>
    <row r="3" spans="1:72" s="219" customFormat="1" ht="18" customHeight="1">
      <c r="A3" s="26"/>
      <c r="G3" s="218"/>
      <c r="H3" s="590"/>
      <c r="I3" s="402" t="s">
        <v>120</v>
      </c>
      <c r="J3" s="387" t="s">
        <v>121</v>
      </c>
      <c r="K3" s="403">
        <v>1</v>
      </c>
      <c r="L3" s="453">
        <v>7200</v>
      </c>
      <c r="M3" s="415">
        <v>176</v>
      </c>
      <c r="N3" s="415"/>
      <c r="O3" s="415"/>
      <c r="P3" s="416"/>
      <c r="Q3" s="174"/>
      <c r="R3" s="549"/>
      <c r="S3" s="414">
        <v>176</v>
      </c>
      <c r="T3" s="415"/>
      <c r="U3" s="415"/>
      <c r="V3" s="416"/>
      <c r="W3" s="413">
        <v>1</v>
      </c>
      <c r="X3" s="27">
        <f t="shared" ref="X3:X12" si="0">IFERROR(IF(Q3="Tak",K3*$C$8/8*7*W3,K3*$C$8),"")</f>
        <v>176</v>
      </c>
      <c r="Y3" s="440" t="s">
        <v>122</v>
      </c>
      <c r="Z3" s="222"/>
      <c r="AA3" s="535"/>
      <c r="AB3" s="454">
        <f t="shared" ref="AB3:AB12" si="1">K3*L3*W3-AM3</f>
        <v>7200</v>
      </c>
      <c r="AC3" s="357">
        <f t="shared" ref="AC3:AC12" si="2">P3</f>
        <v>0</v>
      </c>
      <c r="AD3" s="455">
        <f t="shared" ref="AD3:AD12" si="3">(AB3+AC3+AH3+AI3)*$Y$4-AN3</f>
        <v>1331.8831</v>
      </c>
      <c r="AE3" s="455">
        <f t="shared" ref="AE3:AE12" si="4">(AB3+AC3+AH3+AI3)*$Y$6</f>
        <v>200.60849999999999</v>
      </c>
      <c r="AF3" s="224">
        <f>(IFERROR(VLOOKUP(J3,DANE!$B$3:$H$7,5,FALSE),"0")*K3)*W3</f>
        <v>300</v>
      </c>
      <c r="AG3" s="224">
        <f t="shared" ref="AG3:AG12" si="5">K3*$Y$13*W3</f>
        <v>200</v>
      </c>
      <c r="AH3" s="225">
        <f>IFERROR(VLOOKUP(J3,DANE!$B$2:$I$7,7,FALSE),"0")*W3</f>
        <v>300</v>
      </c>
      <c r="AI3" s="224">
        <f t="shared" ref="AI3:AI12" si="6">IF(J3="SM","367","0")*K3*W3</f>
        <v>367</v>
      </c>
      <c r="AJ3" s="457">
        <f>SUM(AB3:AI3)</f>
        <v>9899.4915999999994</v>
      </c>
      <c r="AL3" s="535"/>
      <c r="AM3" s="461">
        <f t="shared" ref="AM3:AM12" si="7">L3/$Y$18*N3*$AP$3</f>
        <v>0</v>
      </c>
      <c r="AN3" s="226">
        <f t="shared" ref="AN3:AN12" si="8">AM3*$Y$4*$AP$3</f>
        <v>0</v>
      </c>
      <c r="AO3" s="460">
        <f>SUM(AM3:AN3)</f>
        <v>0</v>
      </c>
      <c r="AP3" s="227">
        <v>0.2</v>
      </c>
      <c r="AR3" s="356"/>
      <c r="AS3" s="228"/>
      <c r="AT3" s="229"/>
      <c r="AU3" s="229"/>
      <c r="AV3" s="230"/>
      <c r="AX3" s="535"/>
      <c r="AY3" s="462">
        <f t="shared" ref="AY3:AY12" si="9">K3*L3*W3-BJ3</f>
        <v>7200</v>
      </c>
      <c r="AZ3" s="223">
        <f t="shared" ref="AZ3:AZ12" si="10">V3</f>
        <v>0</v>
      </c>
      <c r="BA3" s="463">
        <f t="shared" ref="BA3:BA12" si="11">(AY3+AZ3+BE3+BF3)*$Y$4-BK3</f>
        <v>1331.8831</v>
      </c>
      <c r="BB3" s="463">
        <f t="shared" ref="BB3:BB12" si="12">(AY3+AZ3+BE3+BF3)*$Y$6</f>
        <v>200.60849999999999</v>
      </c>
      <c r="BC3" s="224">
        <f>IFERROR(VLOOKUP(J3,DANE!$B$3:$H$7,5,FALSE),"0")*K3*W3</f>
        <v>300</v>
      </c>
      <c r="BD3" s="224">
        <f t="shared" ref="BD3:BD12" si="13">K3*$Y$13*W3</f>
        <v>200</v>
      </c>
      <c r="BE3" s="225">
        <f>IFERROR(VLOOKUP(J3,DANE!$B$2:$I$7,7,FALSE),"0")*W3</f>
        <v>300</v>
      </c>
      <c r="BF3" s="224">
        <f t="shared" ref="BF3:BF12" si="14">IF(J3="SM","367","0")*K3*W3</f>
        <v>367</v>
      </c>
      <c r="BG3" s="464">
        <f t="shared" ref="BG3:BG16" si="15">SUM(AY3:BF3)</f>
        <v>9899.4915999999994</v>
      </c>
      <c r="BH3" s="28"/>
      <c r="BI3" s="535"/>
      <c r="BJ3" s="461">
        <f t="shared" ref="BJ3:BJ12" si="16">L3/$Y$18*T3*$BM$3</f>
        <v>0</v>
      </c>
      <c r="BK3" s="226">
        <f t="shared" ref="BK3:BK12" si="17">BJ3*$Y$4*$BM$3</f>
        <v>0</v>
      </c>
      <c r="BL3" s="460">
        <f>SUM(BJ3:BK3)</f>
        <v>0</v>
      </c>
      <c r="BM3" s="227">
        <v>0.2</v>
      </c>
      <c r="BO3" s="356"/>
      <c r="BP3" s="228"/>
      <c r="BQ3" s="229"/>
      <c r="BR3" s="229"/>
      <c r="BS3" s="230"/>
    </row>
    <row r="4" spans="1:72" s="219" customFormat="1" ht="18" customHeight="1">
      <c r="A4" s="26"/>
      <c r="B4" s="206" t="s">
        <v>123</v>
      </c>
      <c r="C4" s="207" t="s">
        <v>124</v>
      </c>
      <c r="D4" s="207" t="s">
        <v>125</v>
      </c>
      <c r="E4" s="207" t="s">
        <v>126</v>
      </c>
      <c r="F4" s="94" t="s">
        <v>127</v>
      </c>
      <c r="G4" s="218"/>
      <c r="H4" s="590"/>
      <c r="I4" s="402" t="s">
        <v>128</v>
      </c>
      <c r="J4" s="387" t="s">
        <v>129</v>
      </c>
      <c r="K4" s="403">
        <v>1</v>
      </c>
      <c r="L4" s="453">
        <v>6300</v>
      </c>
      <c r="M4" s="415">
        <v>176</v>
      </c>
      <c r="N4" s="415"/>
      <c r="O4" s="415"/>
      <c r="P4" s="416"/>
      <c r="Q4" s="154"/>
      <c r="R4" s="549"/>
      <c r="S4" s="414">
        <v>176</v>
      </c>
      <c r="T4" s="415"/>
      <c r="U4" s="415"/>
      <c r="V4" s="416"/>
      <c r="W4" s="413">
        <v>1</v>
      </c>
      <c r="X4" s="27">
        <f t="shared" si="0"/>
        <v>176</v>
      </c>
      <c r="Y4" s="441">
        <f>DANE!E3</f>
        <v>0.16930000000000001</v>
      </c>
      <c r="Z4" s="222"/>
      <c r="AA4" s="535"/>
      <c r="AB4" s="454">
        <f>K4*L4*W4-AM4</f>
        <v>6300</v>
      </c>
      <c r="AC4" s="357">
        <f t="shared" si="2"/>
        <v>0</v>
      </c>
      <c r="AD4" s="455">
        <f t="shared" si="3"/>
        <v>1108.915</v>
      </c>
      <c r="AE4" s="455">
        <f t="shared" si="4"/>
        <v>167.02499999999998</v>
      </c>
      <c r="AF4" s="224">
        <f>(IFERROR(VLOOKUP(J4,DANE!$B$3:$H$7,5,FALSE),"0")*K4)*W4</f>
        <v>300</v>
      </c>
      <c r="AG4" s="224">
        <f t="shared" si="5"/>
        <v>200</v>
      </c>
      <c r="AH4" s="225">
        <f>IFERROR(VLOOKUP(J4,DANE!$B$2:$I$7,7,FALSE),"0")*W4</f>
        <v>250</v>
      </c>
      <c r="AI4" s="224">
        <f t="shared" si="6"/>
        <v>0</v>
      </c>
      <c r="AJ4" s="457">
        <f t="shared" ref="AJ4:AJ16" si="18">SUM(AB4:AI4)</f>
        <v>8325.9399999999987</v>
      </c>
      <c r="AL4" s="535"/>
      <c r="AM4" s="461">
        <f>L4/$Y$18*N4*$AP$3</f>
        <v>0</v>
      </c>
      <c r="AN4" s="226">
        <f t="shared" si="8"/>
        <v>0</v>
      </c>
      <c r="AO4" s="460">
        <f t="shared" ref="AO4:AO12" si="19">SUM(AM4:AN4)</f>
        <v>0</v>
      </c>
      <c r="AP4" s="536" t="s">
        <v>130</v>
      </c>
      <c r="AR4" s="356"/>
      <c r="AS4" s="228"/>
      <c r="AT4" s="229"/>
      <c r="AU4" s="229"/>
      <c r="AV4" s="230"/>
      <c r="AX4" s="535"/>
      <c r="AY4" s="462">
        <f>K4*L4*W4-BJ4</f>
        <v>6300</v>
      </c>
      <c r="AZ4" s="223">
        <f t="shared" si="10"/>
        <v>0</v>
      </c>
      <c r="BA4" s="463">
        <f t="shared" si="11"/>
        <v>1108.915</v>
      </c>
      <c r="BB4" s="463">
        <f t="shared" si="12"/>
        <v>167.02499999999998</v>
      </c>
      <c r="BC4" s="224">
        <f>IFERROR(VLOOKUP(J4,DANE!$B$3:$H$7,5,FALSE),"0")*K4*W4</f>
        <v>300</v>
      </c>
      <c r="BD4" s="224">
        <f t="shared" si="13"/>
        <v>200</v>
      </c>
      <c r="BE4" s="225">
        <f>IFERROR(VLOOKUP(J4,DANE!$B$2:$I$7,7,FALSE),"0")*W4</f>
        <v>250</v>
      </c>
      <c r="BF4" s="224">
        <f t="shared" si="14"/>
        <v>0</v>
      </c>
      <c r="BG4" s="464">
        <f t="shared" si="15"/>
        <v>8325.9399999999987</v>
      </c>
      <c r="BH4" s="28"/>
      <c r="BI4" s="535"/>
      <c r="BJ4" s="461">
        <f>L4/$Y$18*T4*$BM$3</f>
        <v>0</v>
      </c>
      <c r="BK4" s="226">
        <f t="shared" si="17"/>
        <v>0</v>
      </c>
      <c r="BL4" s="460">
        <f t="shared" ref="BL4:BL12" si="20">SUM(BJ4:BK4)</f>
        <v>0</v>
      </c>
      <c r="BM4" s="536" t="s">
        <v>130</v>
      </c>
      <c r="BO4" s="356"/>
      <c r="BP4" s="228"/>
      <c r="BQ4" s="229"/>
      <c r="BR4" s="229"/>
      <c r="BS4" s="230"/>
    </row>
    <row r="5" spans="1:72" s="219" customFormat="1" ht="18" customHeight="1">
      <c r="A5" s="26"/>
      <c r="B5" s="557" t="s">
        <v>131</v>
      </c>
      <c r="C5" s="585" t="s">
        <v>132</v>
      </c>
      <c r="D5" s="585"/>
      <c r="E5" s="585"/>
      <c r="F5" s="586"/>
      <c r="G5" s="218"/>
      <c r="H5" s="590"/>
      <c r="I5" s="402" t="s">
        <v>133</v>
      </c>
      <c r="J5" s="387" t="s">
        <v>134</v>
      </c>
      <c r="K5" s="403">
        <v>0.75</v>
      </c>
      <c r="L5" s="453">
        <v>3510</v>
      </c>
      <c r="M5" s="415">
        <v>96</v>
      </c>
      <c r="N5" s="415"/>
      <c r="O5" s="415">
        <v>5</v>
      </c>
      <c r="P5" s="416"/>
      <c r="Q5" s="154"/>
      <c r="R5" s="549"/>
      <c r="S5" s="414">
        <v>96</v>
      </c>
      <c r="T5" s="415"/>
      <c r="U5" s="415">
        <v>5</v>
      </c>
      <c r="V5" s="416"/>
      <c r="W5" s="413">
        <v>1</v>
      </c>
      <c r="X5" s="27">
        <f t="shared" si="0"/>
        <v>132</v>
      </c>
      <c r="Y5" s="440" t="s">
        <v>110</v>
      </c>
      <c r="Z5" s="222"/>
      <c r="AA5" s="535"/>
      <c r="AB5" s="454">
        <f>K5*L5*W5-AM5</f>
        <v>2632.5</v>
      </c>
      <c r="AC5" s="357">
        <f t="shared" si="2"/>
        <v>0</v>
      </c>
      <c r="AD5" s="455">
        <f t="shared" si="3"/>
        <v>479.54225000000002</v>
      </c>
      <c r="AE5" s="455">
        <f t="shared" si="4"/>
        <v>72.228749999999991</v>
      </c>
      <c r="AF5" s="224">
        <f>(IFERROR(VLOOKUP(J5,DANE!$B$3:$H$7,5,FALSE),"0")*K5)*W5</f>
        <v>262.5</v>
      </c>
      <c r="AG5" s="224">
        <f t="shared" si="5"/>
        <v>150</v>
      </c>
      <c r="AH5" s="225">
        <f>IFERROR(VLOOKUP(J5,DANE!$B$2:$I$7,7,FALSE),"0")*W5</f>
        <v>200</v>
      </c>
      <c r="AI5" s="224">
        <f t="shared" si="6"/>
        <v>0</v>
      </c>
      <c r="AJ5" s="457">
        <f t="shared" si="18"/>
        <v>3796.7709999999997</v>
      </c>
      <c r="AL5" s="535"/>
      <c r="AM5" s="461">
        <f>L5/$Y$18*N5*$AP$3</f>
        <v>0</v>
      </c>
      <c r="AN5" s="226">
        <f t="shared" si="8"/>
        <v>0</v>
      </c>
      <c r="AO5" s="460">
        <f t="shared" si="19"/>
        <v>0</v>
      </c>
      <c r="AP5" s="536"/>
      <c r="AR5" s="356"/>
      <c r="AS5" s="228"/>
      <c r="AT5" s="229"/>
      <c r="AU5" s="229"/>
      <c r="AV5" s="230"/>
      <c r="AX5" s="535"/>
      <c r="AY5" s="462">
        <f>K5*L5*W5-BJ5</f>
        <v>2632.5</v>
      </c>
      <c r="AZ5" s="223">
        <f t="shared" si="10"/>
        <v>0</v>
      </c>
      <c r="BA5" s="463">
        <f t="shared" si="11"/>
        <v>479.54225000000002</v>
      </c>
      <c r="BB5" s="463">
        <f t="shared" si="12"/>
        <v>72.228749999999991</v>
      </c>
      <c r="BC5" s="224">
        <f>IFERROR(VLOOKUP(J5,DANE!$B$3:$H$7,5,FALSE),"0")*K5*W5</f>
        <v>262.5</v>
      </c>
      <c r="BD5" s="224">
        <f t="shared" si="13"/>
        <v>150</v>
      </c>
      <c r="BE5" s="225">
        <f>IFERROR(VLOOKUP(J5,DANE!$B$2:$I$7,7,FALSE),"0")*W5</f>
        <v>200</v>
      </c>
      <c r="BF5" s="224">
        <f t="shared" si="14"/>
        <v>0</v>
      </c>
      <c r="BG5" s="464">
        <f t="shared" si="15"/>
        <v>3796.7709999999997</v>
      </c>
      <c r="BH5" s="28"/>
      <c r="BI5" s="535"/>
      <c r="BJ5" s="461">
        <f>L5/$Y$18*T5*$BM$3</f>
        <v>0</v>
      </c>
      <c r="BK5" s="226">
        <f t="shared" si="17"/>
        <v>0</v>
      </c>
      <c r="BL5" s="460">
        <f t="shared" si="20"/>
        <v>0</v>
      </c>
      <c r="BM5" s="536"/>
      <c r="BO5" s="356"/>
      <c r="BP5" s="228"/>
      <c r="BQ5" s="229"/>
      <c r="BR5" s="229"/>
      <c r="BS5" s="230"/>
    </row>
    <row r="6" spans="1:72" s="219" customFormat="1" ht="18" customHeight="1">
      <c r="A6" s="26"/>
      <c r="B6" s="556"/>
      <c r="C6" s="587"/>
      <c r="D6" s="587"/>
      <c r="E6" s="587"/>
      <c r="F6" s="588"/>
      <c r="G6" s="218"/>
      <c r="H6" s="590"/>
      <c r="I6" s="402" t="s">
        <v>135</v>
      </c>
      <c r="J6" s="387" t="s">
        <v>136</v>
      </c>
      <c r="K6" s="403">
        <v>0.5</v>
      </c>
      <c r="L6" s="453">
        <v>5600</v>
      </c>
      <c r="M6" s="415">
        <v>88</v>
      </c>
      <c r="N6" s="415"/>
      <c r="O6" s="415">
        <v>3</v>
      </c>
      <c r="P6" s="416"/>
      <c r="Q6" s="154"/>
      <c r="R6" s="549"/>
      <c r="S6" s="414">
        <v>39</v>
      </c>
      <c r="T6" s="415">
        <v>4</v>
      </c>
      <c r="U6" s="415">
        <v>3</v>
      </c>
      <c r="V6" s="416"/>
      <c r="W6" s="413">
        <v>1</v>
      </c>
      <c r="X6" s="27">
        <f t="shared" si="0"/>
        <v>88</v>
      </c>
      <c r="Y6" s="441">
        <v>2.5499999999999998E-2</v>
      </c>
      <c r="Z6" s="222"/>
      <c r="AA6" s="535"/>
      <c r="AB6" s="454">
        <f t="shared" si="1"/>
        <v>2800</v>
      </c>
      <c r="AC6" s="357">
        <f t="shared" si="2"/>
        <v>0</v>
      </c>
      <c r="AD6" s="455">
        <f t="shared" si="3"/>
        <v>507.90000000000003</v>
      </c>
      <c r="AE6" s="455">
        <f t="shared" si="4"/>
        <v>76.5</v>
      </c>
      <c r="AF6" s="224">
        <f>(IFERROR(VLOOKUP(J6,DANE!$B$3:$H$7,5,FALSE),"0")*K6)*W6</f>
        <v>175</v>
      </c>
      <c r="AG6" s="224">
        <f t="shared" si="5"/>
        <v>100</v>
      </c>
      <c r="AH6" s="225">
        <f>IFERROR(VLOOKUP(J6,DANE!$B$2:$I$7,7,FALSE),"0")*W6</f>
        <v>200</v>
      </c>
      <c r="AI6" s="224">
        <f t="shared" si="6"/>
        <v>0</v>
      </c>
      <c r="AJ6" s="457">
        <f>SUM(AB6:AI6)</f>
        <v>3859.4</v>
      </c>
      <c r="AL6" s="535"/>
      <c r="AM6" s="461">
        <f t="shared" si="7"/>
        <v>0</v>
      </c>
      <c r="AN6" s="226">
        <f t="shared" si="8"/>
        <v>0</v>
      </c>
      <c r="AO6" s="460">
        <f t="shared" si="19"/>
        <v>0</v>
      </c>
      <c r="AP6" s="536"/>
      <c r="AR6" s="356"/>
      <c r="AS6" s="228"/>
      <c r="AT6" s="229"/>
      <c r="AU6" s="229"/>
      <c r="AV6" s="230"/>
      <c r="AX6" s="535"/>
      <c r="AY6" s="462">
        <f t="shared" si="9"/>
        <v>2774.5454545454545</v>
      </c>
      <c r="AZ6" s="223">
        <f t="shared" si="10"/>
        <v>0</v>
      </c>
      <c r="BA6" s="463">
        <f t="shared" si="11"/>
        <v>502.72865454545456</v>
      </c>
      <c r="BB6" s="463">
        <f t="shared" si="12"/>
        <v>75.850909090909084</v>
      </c>
      <c r="BC6" s="224">
        <f>IFERROR(VLOOKUP(J6,DANE!$B$3:$H$7,5,FALSE),"0")*K6*W6</f>
        <v>175</v>
      </c>
      <c r="BD6" s="224">
        <f t="shared" si="13"/>
        <v>100</v>
      </c>
      <c r="BE6" s="225">
        <f>IFERROR(VLOOKUP(J6,DANE!$B$2:$I$7,7,FALSE),"0")*W6</f>
        <v>200</v>
      </c>
      <c r="BF6" s="224">
        <f t="shared" si="14"/>
        <v>0</v>
      </c>
      <c r="BG6" s="464">
        <f t="shared" si="15"/>
        <v>3828.1250181818182</v>
      </c>
      <c r="BH6" s="28"/>
      <c r="BI6" s="535"/>
      <c r="BJ6" s="461">
        <f t="shared" si="16"/>
        <v>25.454545454545453</v>
      </c>
      <c r="BK6" s="226">
        <f t="shared" si="17"/>
        <v>0.86189090909090904</v>
      </c>
      <c r="BL6" s="460">
        <f t="shared" si="20"/>
        <v>26.316436363636363</v>
      </c>
      <c r="BM6" s="536"/>
      <c r="BO6" s="356"/>
      <c r="BP6" s="228"/>
      <c r="BQ6" s="229"/>
      <c r="BR6" s="229"/>
      <c r="BS6" s="230"/>
    </row>
    <row r="7" spans="1:72" s="219" customFormat="1" ht="18" customHeight="1">
      <c r="A7" s="26"/>
      <c r="B7" s="282" t="s">
        <v>137</v>
      </c>
      <c r="C7" s="566"/>
      <c r="D7" s="566"/>
      <c r="E7" s="566"/>
      <c r="F7" s="567"/>
      <c r="H7" s="590"/>
      <c r="I7" s="402" t="s">
        <v>138</v>
      </c>
      <c r="J7" s="387" t="s">
        <v>136</v>
      </c>
      <c r="K7" s="403">
        <v>0.5</v>
      </c>
      <c r="L7" s="453">
        <v>2300</v>
      </c>
      <c r="M7" s="415">
        <v>56</v>
      </c>
      <c r="N7" s="415"/>
      <c r="O7" s="415">
        <v>4</v>
      </c>
      <c r="P7" s="416"/>
      <c r="Q7" s="154"/>
      <c r="R7" s="549"/>
      <c r="S7" s="414">
        <v>60</v>
      </c>
      <c r="T7" s="415"/>
      <c r="U7" s="415">
        <v>4</v>
      </c>
      <c r="V7" s="416"/>
      <c r="W7" s="413">
        <v>1</v>
      </c>
      <c r="X7" s="27">
        <f t="shared" si="0"/>
        <v>88</v>
      </c>
      <c r="Y7" s="441"/>
      <c r="Z7" s="222"/>
      <c r="AA7" s="535"/>
      <c r="AB7" s="454">
        <f t="shared" si="1"/>
        <v>1150</v>
      </c>
      <c r="AC7" s="357">
        <f t="shared" si="2"/>
        <v>0</v>
      </c>
      <c r="AD7" s="455">
        <f t="shared" si="3"/>
        <v>228.55500000000001</v>
      </c>
      <c r="AE7" s="455">
        <f t="shared" si="4"/>
        <v>34.424999999999997</v>
      </c>
      <c r="AF7" s="224">
        <f>(IFERROR(VLOOKUP(J7,DANE!$B$3:$H$7,5,FALSE),"0")*K7)*W7</f>
        <v>175</v>
      </c>
      <c r="AG7" s="224">
        <f t="shared" si="5"/>
        <v>100</v>
      </c>
      <c r="AH7" s="225">
        <f>IFERROR(VLOOKUP(J7,DANE!$B$2:$I$7,7,FALSE),"0")*W7</f>
        <v>200</v>
      </c>
      <c r="AI7" s="224">
        <f t="shared" si="6"/>
        <v>0</v>
      </c>
      <c r="AJ7" s="457">
        <f t="shared" ref="AJ7:AJ8" si="21">SUM(AB7:AI7)</f>
        <v>1887.98</v>
      </c>
      <c r="AL7" s="535"/>
      <c r="AM7" s="461">
        <f t="shared" si="7"/>
        <v>0</v>
      </c>
      <c r="AN7" s="226">
        <f t="shared" si="8"/>
        <v>0</v>
      </c>
      <c r="AO7" s="460">
        <f t="shared" ref="AO7:AO8" si="22">SUM(AM7:AN7)</f>
        <v>0</v>
      </c>
      <c r="AP7" s="536"/>
      <c r="AR7" s="356"/>
      <c r="AS7" s="228"/>
      <c r="AT7" s="229"/>
      <c r="AU7" s="229"/>
      <c r="AV7" s="230"/>
      <c r="AX7" s="535"/>
      <c r="AY7" s="462">
        <f t="shared" si="9"/>
        <v>1150</v>
      </c>
      <c r="AZ7" s="223">
        <f t="shared" si="10"/>
        <v>0</v>
      </c>
      <c r="BA7" s="463">
        <f t="shared" si="11"/>
        <v>228.55500000000001</v>
      </c>
      <c r="BB7" s="463">
        <f t="shared" si="12"/>
        <v>34.424999999999997</v>
      </c>
      <c r="BC7" s="224">
        <f>IFERROR(VLOOKUP(J7,DANE!$B$3:$H$7,5,FALSE),"0")*K7*W7</f>
        <v>175</v>
      </c>
      <c r="BD7" s="224">
        <f t="shared" si="13"/>
        <v>100</v>
      </c>
      <c r="BE7" s="225">
        <f>IFERROR(VLOOKUP(J7,DANE!$B$2:$I$7,7,FALSE),"0")*W7</f>
        <v>200</v>
      </c>
      <c r="BF7" s="224">
        <f t="shared" si="14"/>
        <v>0</v>
      </c>
      <c r="BG7" s="464">
        <f t="shared" ref="BG7:BG8" si="23">SUM(AY7:BF7)</f>
        <v>1887.98</v>
      </c>
      <c r="BH7" s="28"/>
      <c r="BI7" s="535"/>
      <c r="BJ7" s="461">
        <f t="shared" si="16"/>
        <v>0</v>
      </c>
      <c r="BK7" s="226">
        <f t="shared" si="17"/>
        <v>0</v>
      </c>
      <c r="BL7" s="460">
        <f t="shared" si="20"/>
        <v>0</v>
      </c>
      <c r="BM7" s="536"/>
      <c r="BO7" s="356"/>
      <c r="BP7" s="228"/>
      <c r="BQ7" s="229"/>
      <c r="BR7" s="229"/>
      <c r="BS7" s="230"/>
    </row>
    <row r="8" spans="1:72" s="219" customFormat="1" ht="18" customHeight="1">
      <c r="A8" s="26"/>
      <c r="B8" s="283" t="s">
        <v>139</v>
      </c>
      <c r="C8" s="572">
        <f>IFERROR(VLOOKUP(C5,DANE!$J$3:$L$14,3,FALSE),"")</f>
        <v>176</v>
      </c>
      <c r="D8" s="572"/>
      <c r="E8" s="572"/>
      <c r="F8" s="573"/>
      <c r="G8" s="218"/>
      <c r="H8" s="590"/>
      <c r="I8" s="402" t="s">
        <v>140</v>
      </c>
      <c r="J8" s="387" t="s">
        <v>136</v>
      </c>
      <c r="K8" s="403">
        <v>1</v>
      </c>
      <c r="L8" s="453">
        <v>5600</v>
      </c>
      <c r="M8" s="415">
        <v>128</v>
      </c>
      <c r="N8" s="415"/>
      <c r="O8" s="415">
        <v>6</v>
      </c>
      <c r="P8" s="416"/>
      <c r="Q8" s="154"/>
      <c r="R8" s="549"/>
      <c r="S8" s="414">
        <v>128</v>
      </c>
      <c r="T8" s="415"/>
      <c r="U8" s="415">
        <v>6</v>
      </c>
      <c r="V8" s="416">
        <v>300</v>
      </c>
      <c r="W8" s="413">
        <v>1</v>
      </c>
      <c r="X8" s="27">
        <f t="shared" si="0"/>
        <v>176</v>
      </c>
      <c r="Y8" s="441"/>
      <c r="Z8" s="222"/>
      <c r="AA8" s="535"/>
      <c r="AB8" s="454">
        <f t="shared" si="1"/>
        <v>5600</v>
      </c>
      <c r="AC8" s="357">
        <f t="shared" si="2"/>
        <v>0</v>
      </c>
      <c r="AD8" s="455">
        <f t="shared" si="3"/>
        <v>981.94</v>
      </c>
      <c r="AE8" s="455">
        <f t="shared" si="4"/>
        <v>147.89999999999998</v>
      </c>
      <c r="AF8" s="224">
        <f>(IFERROR(VLOOKUP(J8,DANE!$B$3:$H$7,5,FALSE),"0")*K8)*W8</f>
        <v>350</v>
      </c>
      <c r="AG8" s="224">
        <f t="shared" si="5"/>
        <v>200</v>
      </c>
      <c r="AH8" s="225">
        <f>IFERROR(VLOOKUP(J8,DANE!$B$2:$I$7,7,FALSE),"0")*W8</f>
        <v>200</v>
      </c>
      <c r="AI8" s="224">
        <f t="shared" si="6"/>
        <v>0</v>
      </c>
      <c r="AJ8" s="457">
        <f t="shared" si="21"/>
        <v>7479.84</v>
      </c>
      <c r="AL8" s="535"/>
      <c r="AM8" s="461">
        <f t="shared" si="7"/>
        <v>0</v>
      </c>
      <c r="AN8" s="226">
        <f t="shared" si="8"/>
        <v>0</v>
      </c>
      <c r="AO8" s="460">
        <f t="shared" si="22"/>
        <v>0</v>
      </c>
      <c r="AP8" s="536"/>
      <c r="AR8" s="356"/>
      <c r="AS8" s="228"/>
      <c r="AT8" s="229"/>
      <c r="AU8" s="229"/>
      <c r="AV8" s="230"/>
      <c r="AX8" s="535"/>
      <c r="AY8" s="462">
        <f t="shared" si="9"/>
        <v>5600</v>
      </c>
      <c r="AZ8" s="223">
        <f t="shared" si="10"/>
        <v>300</v>
      </c>
      <c r="BA8" s="463">
        <f t="shared" si="11"/>
        <v>1032.73</v>
      </c>
      <c r="BB8" s="463">
        <f t="shared" si="12"/>
        <v>155.54999999999998</v>
      </c>
      <c r="BC8" s="224">
        <f>IFERROR(VLOOKUP(J8,DANE!$B$3:$H$7,5,FALSE),"0")*K8*W8</f>
        <v>350</v>
      </c>
      <c r="BD8" s="224">
        <f t="shared" si="13"/>
        <v>200</v>
      </c>
      <c r="BE8" s="225">
        <f>IFERROR(VLOOKUP(J8,DANE!$B$2:$I$7,7,FALSE),"0")*W8</f>
        <v>200</v>
      </c>
      <c r="BF8" s="224">
        <f t="shared" si="14"/>
        <v>0</v>
      </c>
      <c r="BG8" s="464">
        <f t="shared" si="23"/>
        <v>7838.28</v>
      </c>
      <c r="BH8" s="28"/>
      <c r="BI8" s="535"/>
      <c r="BJ8" s="461">
        <f t="shared" si="16"/>
        <v>0</v>
      </c>
      <c r="BK8" s="226">
        <f t="shared" si="17"/>
        <v>0</v>
      </c>
      <c r="BL8" s="460">
        <f t="shared" si="20"/>
        <v>0</v>
      </c>
      <c r="BM8" s="536"/>
      <c r="BO8" s="356"/>
      <c r="BP8" s="228"/>
      <c r="BQ8" s="229"/>
      <c r="BR8" s="229"/>
      <c r="BS8" s="230"/>
    </row>
    <row r="9" spans="1:72" s="219" customFormat="1" ht="18" customHeight="1">
      <c r="A9" s="26"/>
      <c r="B9" s="557" t="s">
        <v>141</v>
      </c>
      <c r="C9" s="564">
        <v>310000</v>
      </c>
      <c r="D9" s="562" t="str">
        <f>IFERROR(VLOOKUP($B9,AOP!$A$3:$Z$100,VLOOKUP(CALCULATOR!$C$5,DANE!$B$17:$C$28,2,FALSE),FALSE),"")</f>
        <v/>
      </c>
      <c r="E9" s="560">
        <v>280000</v>
      </c>
      <c r="F9" s="558"/>
      <c r="G9" s="218"/>
      <c r="H9" s="590"/>
      <c r="I9" s="402"/>
      <c r="J9" s="387"/>
      <c r="K9" s="403"/>
      <c r="L9" s="453"/>
      <c r="M9" s="415"/>
      <c r="N9" s="415"/>
      <c r="O9" s="415"/>
      <c r="P9" s="416"/>
      <c r="Q9" s="154"/>
      <c r="R9" s="549"/>
      <c r="S9" s="414"/>
      <c r="T9" s="415"/>
      <c r="U9" s="415"/>
      <c r="V9" s="416"/>
      <c r="W9" s="413">
        <v>1</v>
      </c>
      <c r="X9" s="27">
        <f t="shared" si="0"/>
        <v>0</v>
      </c>
      <c r="Y9" s="441"/>
      <c r="Z9" s="222"/>
      <c r="AA9" s="535"/>
      <c r="AB9" s="454">
        <f t="shared" si="1"/>
        <v>0</v>
      </c>
      <c r="AC9" s="357">
        <f t="shared" si="2"/>
        <v>0</v>
      </c>
      <c r="AD9" s="455">
        <f t="shared" si="3"/>
        <v>0</v>
      </c>
      <c r="AE9" s="455">
        <f t="shared" si="4"/>
        <v>0</v>
      </c>
      <c r="AF9" s="224">
        <f>(IFERROR(VLOOKUP(J9,DANE!$B$3:$H$7,5,FALSE),"0")*K9)*W9</f>
        <v>0</v>
      </c>
      <c r="AG9" s="224">
        <f t="shared" si="5"/>
        <v>0</v>
      </c>
      <c r="AH9" s="225">
        <f>IFERROR(VLOOKUP(J9,DANE!$B$2:$I$7,7,FALSE),"0")*W9</f>
        <v>0</v>
      </c>
      <c r="AI9" s="224">
        <f t="shared" si="6"/>
        <v>0</v>
      </c>
      <c r="AJ9" s="457">
        <f t="shared" ref="AJ9:AJ11" si="24">SUM(AB9:AI9)</f>
        <v>0</v>
      </c>
      <c r="AL9" s="535"/>
      <c r="AM9" s="461">
        <f t="shared" si="7"/>
        <v>0</v>
      </c>
      <c r="AN9" s="226">
        <f t="shared" si="8"/>
        <v>0</v>
      </c>
      <c r="AO9" s="460">
        <f t="shared" ref="AO9:AO11" si="25">SUM(AM9:AN9)</f>
        <v>0</v>
      </c>
      <c r="AP9" s="536"/>
      <c r="AR9" s="356"/>
      <c r="AS9" s="228"/>
      <c r="AT9" s="229"/>
      <c r="AU9" s="229"/>
      <c r="AV9" s="230"/>
      <c r="AX9" s="535"/>
      <c r="AY9" s="462">
        <f t="shared" si="9"/>
        <v>0</v>
      </c>
      <c r="AZ9" s="223">
        <f t="shared" si="10"/>
        <v>0</v>
      </c>
      <c r="BA9" s="463">
        <f t="shared" si="11"/>
        <v>0</v>
      </c>
      <c r="BB9" s="463">
        <f t="shared" si="12"/>
        <v>0</v>
      </c>
      <c r="BC9" s="224">
        <f>IFERROR(VLOOKUP(J9,DANE!$B$3:$H$7,5,FALSE),"0")*K9*W9</f>
        <v>0</v>
      </c>
      <c r="BD9" s="224">
        <f t="shared" si="13"/>
        <v>0</v>
      </c>
      <c r="BE9" s="225">
        <f>IFERROR(VLOOKUP(J9,DANE!$B$2:$I$7,7,FALSE),"0")*W9</f>
        <v>0</v>
      </c>
      <c r="BF9" s="224">
        <f t="shared" si="14"/>
        <v>0</v>
      </c>
      <c r="BG9" s="464">
        <f t="shared" ref="BG9:BG11" si="26">SUM(AY9:BF9)</f>
        <v>0</v>
      </c>
      <c r="BH9" s="28"/>
      <c r="BI9" s="535"/>
      <c r="BJ9" s="461">
        <f t="shared" si="16"/>
        <v>0</v>
      </c>
      <c r="BK9" s="226">
        <f t="shared" si="17"/>
        <v>0</v>
      </c>
      <c r="BL9" s="460">
        <f t="shared" ref="BL9:BL11" si="27">SUM(BJ9:BK9)</f>
        <v>0</v>
      </c>
      <c r="BM9" s="536"/>
      <c r="BO9" s="356"/>
      <c r="BP9" s="228"/>
      <c r="BQ9" s="229"/>
      <c r="BR9" s="229"/>
      <c r="BS9" s="230"/>
    </row>
    <row r="10" spans="1:72" s="219" customFormat="1" ht="18" customHeight="1">
      <c r="A10" s="26"/>
      <c r="B10" s="556"/>
      <c r="C10" s="565"/>
      <c r="D10" s="563"/>
      <c r="E10" s="561"/>
      <c r="F10" s="559"/>
      <c r="G10" s="234"/>
      <c r="H10" s="590"/>
      <c r="I10" s="402"/>
      <c r="J10" s="387"/>
      <c r="K10" s="403"/>
      <c r="L10" s="453"/>
      <c r="M10" s="415"/>
      <c r="N10" s="415"/>
      <c r="O10" s="415"/>
      <c r="P10" s="416"/>
      <c r="Q10" s="154"/>
      <c r="R10" s="549"/>
      <c r="S10" s="414"/>
      <c r="T10" s="415"/>
      <c r="U10" s="415"/>
      <c r="V10" s="416"/>
      <c r="W10" s="413">
        <v>1</v>
      </c>
      <c r="X10" s="27">
        <f t="shared" si="0"/>
        <v>0</v>
      </c>
      <c r="Y10" s="441"/>
      <c r="Z10" s="222"/>
      <c r="AA10" s="535"/>
      <c r="AB10" s="454">
        <f t="shared" si="1"/>
        <v>0</v>
      </c>
      <c r="AC10" s="357">
        <f t="shared" si="2"/>
        <v>0</v>
      </c>
      <c r="AD10" s="455">
        <f t="shared" si="3"/>
        <v>0</v>
      </c>
      <c r="AE10" s="455">
        <f t="shared" si="4"/>
        <v>0</v>
      </c>
      <c r="AF10" s="224">
        <f>(IFERROR(VLOOKUP(J10,DANE!$B$3:$H$7,5,FALSE),"0")*K10)*W10</f>
        <v>0</v>
      </c>
      <c r="AG10" s="224">
        <f t="shared" si="5"/>
        <v>0</v>
      </c>
      <c r="AH10" s="225">
        <f>IFERROR(VLOOKUP(J10,DANE!$B$2:$I$7,7,FALSE),"0")*W10</f>
        <v>0</v>
      </c>
      <c r="AI10" s="224">
        <f t="shared" si="6"/>
        <v>0</v>
      </c>
      <c r="AJ10" s="457">
        <f t="shared" si="24"/>
        <v>0</v>
      </c>
      <c r="AL10" s="535"/>
      <c r="AM10" s="461">
        <f t="shared" si="7"/>
        <v>0</v>
      </c>
      <c r="AN10" s="226">
        <f t="shared" si="8"/>
        <v>0</v>
      </c>
      <c r="AO10" s="460">
        <f t="shared" si="25"/>
        <v>0</v>
      </c>
      <c r="AP10" s="536"/>
      <c r="AR10" s="356"/>
      <c r="AS10" s="228"/>
      <c r="AT10" s="229"/>
      <c r="AU10" s="229"/>
      <c r="AV10" s="230"/>
      <c r="AX10" s="535"/>
      <c r="AY10" s="462">
        <f t="shared" si="9"/>
        <v>0</v>
      </c>
      <c r="AZ10" s="223">
        <f t="shared" si="10"/>
        <v>0</v>
      </c>
      <c r="BA10" s="463">
        <f t="shared" si="11"/>
        <v>0</v>
      </c>
      <c r="BB10" s="463">
        <f t="shared" si="12"/>
        <v>0</v>
      </c>
      <c r="BC10" s="224">
        <f>IFERROR(VLOOKUP(J10,DANE!$B$3:$H$7,5,FALSE),"0")*K10*W10</f>
        <v>0</v>
      </c>
      <c r="BD10" s="224">
        <f t="shared" si="13"/>
        <v>0</v>
      </c>
      <c r="BE10" s="225">
        <f>IFERROR(VLOOKUP(J10,DANE!$B$2:$I$7,7,FALSE),"0")*W10</f>
        <v>0</v>
      </c>
      <c r="BF10" s="224">
        <f t="shared" si="14"/>
        <v>0</v>
      </c>
      <c r="BG10" s="464">
        <f t="shared" si="26"/>
        <v>0</v>
      </c>
      <c r="BH10" s="28"/>
      <c r="BI10" s="535"/>
      <c r="BJ10" s="461">
        <f t="shared" si="16"/>
        <v>0</v>
      </c>
      <c r="BK10" s="226">
        <f t="shared" si="17"/>
        <v>0</v>
      </c>
      <c r="BL10" s="460">
        <f t="shared" si="27"/>
        <v>0</v>
      </c>
      <c r="BM10" s="536"/>
      <c r="BO10" s="356"/>
      <c r="BP10" s="228"/>
      <c r="BQ10" s="229"/>
      <c r="BR10" s="229"/>
      <c r="BS10" s="230"/>
    </row>
    <row r="11" spans="1:72" s="219" customFormat="1" ht="18" customHeight="1">
      <c r="A11" s="26"/>
      <c r="B11" s="556" t="s">
        <v>142</v>
      </c>
      <c r="C11" s="574">
        <v>10900</v>
      </c>
      <c r="D11" s="580" t="str">
        <f>IFERROR(VLOOKUP(B11,AOP!$A$2:$Z$100,VLOOKUP(CALCULATOR!C5,DANE!B17:C28,2,FALSE),FALSE),"")</f>
        <v/>
      </c>
      <c r="E11" s="581">
        <v>9700</v>
      </c>
      <c r="F11" s="582"/>
      <c r="G11" s="235"/>
      <c r="H11" s="590"/>
      <c r="I11" s="402"/>
      <c r="J11" s="387"/>
      <c r="K11" s="403"/>
      <c r="L11" s="453"/>
      <c r="M11" s="415"/>
      <c r="N11" s="415"/>
      <c r="O11" s="415"/>
      <c r="P11" s="416"/>
      <c r="Q11" s="154"/>
      <c r="R11" s="549"/>
      <c r="S11" s="414"/>
      <c r="T11" s="415"/>
      <c r="U11" s="415"/>
      <c r="V11" s="416"/>
      <c r="W11" s="413">
        <v>1</v>
      </c>
      <c r="X11" s="27">
        <f t="shared" si="0"/>
        <v>0</v>
      </c>
      <c r="Y11" s="441"/>
      <c r="Z11" s="222"/>
      <c r="AA11" s="535"/>
      <c r="AB11" s="454">
        <f t="shared" si="1"/>
        <v>0</v>
      </c>
      <c r="AC11" s="357">
        <f t="shared" si="2"/>
        <v>0</v>
      </c>
      <c r="AD11" s="455">
        <f t="shared" si="3"/>
        <v>0</v>
      </c>
      <c r="AE11" s="455">
        <f t="shared" si="4"/>
        <v>0</v>
      </c>
      <c r="AF11" s="224">
        <f>(IFERROR(VLOOKUP(J11,DANE!$B$3:$H$7,5,FALSE),"0")*K11)*W11</f>
        <v>0</v>
      </c>
      <c r="AG11" s="224">
        <f t="shared" si="5"/>
        <v>0</v>
      </c>
      <c r="AH11" s="225">
        <f>IFERROR(VLOOKUP(J11,DANE!$B$2:$I$7,7,FALSE),"0")*W11</f>
        <v>0</v>
      </c>
      <c r="AI11" s="224">
        <f t="shared" si="6"/>
        <v>0</v>
      </c>
      <c r="AJ11" s="457">
        <f t="shared" si="24"/>
        <v>0</v>
      </c>
      <c r="AL11" s="535"/>
      <c r="AM11" s="461">
        <f t="shared" si="7"/>
        <v>0</v>
      </c>
      <c r="AN11" s="226">
        <f t="shared" si="8"/>
        <v>0</v>
      </c>
      <c r="AO11" s="460">
        <f t="shared" si="25"/>
        <v>0</v>
      </c>
      <c r="AP11" s="536"/>
      <c r="AR11" s="356"/>
      <c r="AS11" s="228"/>
      <c r="AT11" s="229"/>
      <c r="AU11" s="229"/>
      <c r="AV11" s="230"/>
      <c r="AX11" s="535"/>
      <c r="AY11" s="462">
        <f t="shared" si="9"/>
        <v>0</v>
      </c>
      <c r="AZ11" s="223">
        <f t="shared" si="10"/>
        <v>0</v>
      </c>
      <c r="BA11" s="463">
        <f t="shared" si="11"/>
        <v>0</v>
      </c>
      <c r="BB11" s="463">
        <f t="shared" si="12"/>
        <v>0</v>
      </c>
      <c r="BC11" s="224">
        <f>IFERROR(VLOOKUP(J11,DANE!$B$3:$H$7,5,FALSE),"0")*K11*W11</f>
        <v>0</v>
      </c>
      <c r="BD11" s="224">
        <f t="shared" si="13"/>
        <v>0</v>
      </c>
      <c r="BE11" s="225">
        <f>IFERROR(VLOOKUP(J11,DANE!$B$2:$I$7,7,FALSE),"0")*W11</f>
        <v>0</v>
      </c>
      <c r="BF11" s="224">
        <f t="shared" si="14"/>
        <v>0</v>
      </c>
      <c r="BG11" s="464">
        <f t="shared" si="26"/>
        <v>0</v>
      </c>
      <c r="BH11" s="28"/>
      <c r="BI11" s="535"/>
      <c r="BJ11" s="461">
        <f t="shared" si="16"/>
        <v>0</v>
      </c>
      <c r="BK11" s="226">
        <f t="shared" si="17"/>
        <v>0</v>
      </c>
      <c r="BL11" s="460">
        <f t="shared" si="27"/>
        <v>0</v>
      </c>
      <c r="BM11" s="536"/>
      <c r="BO11" s="356"/>
      <c r="BP11" s="228"/>
      <c r="BQ11" s="229"/>
      <c r="BR11" s="229"/>
      <c r="BS11" s="230"/>
    </row>
    <row r="12" spans="1:72" s="219" customFormat="1" ht="18" customHeight="1">
      <c r="A12" s="26"/>
      <c r="B12" s="556"/>
      <c r="C12" s="574"/>
      <c r="D12" s="580"/>
      <c r="E12" s="581"/>
      <c r="F12" s="582"/>
      <c r="G12" s="218"/>
      <c r="H12" s="590"/>
      <c r="I12" s="402"/>
      <c r="J12" s="387"/>
      <c r="K12" s="403"/>
      <c r="L12" s="453"/>
      <c r="M12" s="415"/>
      <c r="N12" s="415"/>
      <c r="O12" s="415"/>
      <c r="P12" s="384"/>
      <c r="Q12" s="154"/>
      <c r="R12" s="549"/>
      <c r="S12" s="414"/>
      <c r="T12" s="415"/>
      <c r="U12" s="415"/>
      <c r="V12" s="416"/>
      <c r="W12" s="413">
        <v>1</v>
      </c>
      <c r="X12" s="27">
        <f t="shared" si="0"/>
        <v>0</v>
      </c>
      <c r="Y12" s="440" t="s">
        <v>112</v>
      </c>
      <c r="Z12" s="222"/>
      <c r="AA12" s="535"/>
      <c r="AB12" s="454">
        <f t="shared" si="1"/>
        <v>0</v>
      </c>
      <c r="AC12" s="357">
        <f t="shared" si="2"/>
        <v>0</v>
      </c>
      <c r="AD12" s="455">
        <f t="shared" si="3"/>
        <v>0</v>
      </c>
      <c r="AE12" s="455">
        <f t="shared" si="4"/>
        <v>0</v>
      </c>
      <c r="AF12" s="224">
        <f>(IFERROR(VLOOKUP(J12,DANE!$B$3:$H$7,5,FALSE),"0")*K12)*W12</f>
        <v>0</v>
      </c>
      <c r="AG12" s="224">
        <f t="shared" si="5"/>
        <v>0</v>
      </c>
      <c r="AH12" s="225">
        <f>IFERROR(VLOOKUP(J12,DANE!$B$2:$I$7,7,FALSE),"0")*W12</f>
        <v>0</v>
      </c>
      <c r="AI12" s="224">
        <f t="shared" si="6"/>
        <v>0</v>
      </c>
      <c r="AJ12" s="457">
        <f t="shared" si="18"/>
        <v>0</v>
      </c>
      <c r="AL12" s="535"/>
      <c r="AM12" s="461">
        <f t="shared" si="7"/>
        <v>0</v>
      </c>
      <c r="AN12" s="226">
        <f t="shared" si="8"/>
        <v>0</v>
      </c>
      <c r="AO12" s="460">
        <f t="shared" si="19"/>
        <v>0</v>
      </c>
      <c r="AP12" s="536"/>
      <c r="AR12" s="356"/>
      <c r="AS12" s="228"/>
      <c r="AT12" s="229"/>
      <c r="AU12" s="229"/>
      <c r="AV12" s="230"/>
      <c r="AX12" s="535"/>
      <c r="AY12" s="462">
        <f t="shared" si="9"/>
        <v>0</v>
      </c>
      <c r="AZ12" s="223">
        <f t="shared" si="10"/>
        <v>0</v>
      </c>
      <c r="BA12" s="463">
        <f t="shared" si="11"/>
        <v>0</v>
      </c>
      <c r="BB12" s="463">
        <f t="shared" si="12"/>
        <v>0</v>
      </c>
      <c r="BC12" s="224">
        <f>IFERROR(VLOOKUP(J12,DANE!$B$3:$H$7,5,FALSE),"0")*K12*W12</f>
        <v>0</v>
      </c>
      <c r="BD12" s="224">
        <f t="shared" si="13"/>
        <v>0</v>
      </c>
      <c r="BE12" s="225">
        <f>IFERROR(VLOOKUP(J12,DANE!$B$2:$I$7,7,FALSE),"0")*W12</f>
        <v>0</v>
      </c>
      <c r="BF12" s="224">
        <f t="shared" si="14"/>
        <v>0</v>
      </c>
      <c r="BG12" s="464">
        <f t="shared" si="15"/>
        <v>0</v>
      </c>
      <c r="BH12" s="28"/>
      <c r="BI12" s="535"/>
      <c r="BJ12" s="461">
        <f t="shared" si="16"/>
        <v>0</v>
      </c>
      <c r="BK12" s="226">
        <f t="shared" si="17"/>
        <v>0</v>
      </c>
      <c r="BL12" s="460">
        <f t="shared" si="20"/>
        <v>0</v>
      </c>
      <c r="BM12" s="536"/>
      <c r="BN12" s="231"/>
      <c r="BO12" s="356"/>
      <c r="BP12" s="228"/>
      <c r="BQ12" s="229"/>
      <c r="BR12" s="229"/>
      <c r="BS12" s="230"/>
    </row>
    <row r="13" spans="1:72" s="219" customFormat="1" ht="18" customHeight="1">
      <c r="A13" s="26"/>
      <c r="B13" s="285" t="s">
        <v>143</v>
      </c>
      <c r="C13" s="360"/>
      <c r="D13" s="143"/>
      <c r="E13" s="141"/>
      <c r="F13" s="142"/>
      <c r="G13" s="238"/>
      <c r="H13" s="590"/>
      <c r="I13" s="232" t="s">
        <v>85</v>
      </c>
      <c r="J13" s="29"/>
      <c r="K13" s="29"/>
      <c r="L13" s="29"/>
      <c r="M13" s="29"/>
      <c r="N13" s="29"/>
      <c r="O13" s="29"/>
      <c r="P13" s="29"/>
      <c r="Q13" s="29"/>
      <c r="R13" s="549"/>
      <c r="S13" s="88"/>
      <c r="T13" s="29"/>
      <c r="U13" s="29"/>
      <c r="V13" s="29"/>
      <c r="W13" s="80"/>
      <c r="X13" s="27"/>
      <c r="Y13" s="442">
        <v>200</v>
      </c>
      <c r="Z13" s="222"/>
      <c r="AA13" s="535"/>
      <c r="AB13" s="454"/>
      <c r="AC13" s="357"/>
      <c r="AD13" s="456"/>
      <c r="AE13" s="455"/>
      <c r="AF13" s="358"/>
      <c r="AG13" s="417"/>
      <c r="AH13" s="358"/>
      <c r="AI13" s="359"/>
      <c r="AJ13" s="457">
        <f t="shared" si="18"/>
        <v>0</v>
      </c>
      <c r="AL13" s="535"/>
      <c r="AM13" s="461"/>
      <c r="AN13" s="226"/>
      <c r="AO13" s="460"/>
      <c r="AP13" s="1"/>
      <c r="AR13" s="356"/>
      <c r="AS13" s="228"/>
      <c r="AT13" s="233"/>
      <c r="AU13" s="233"/>
      <c r="AV13" s="230"/>
      <c r="AX13" s="535"/>
      <c r="AY13" s="462"/>
      <c r="AZ13" s="223"/>
      <c r="BA13" s="463"/>
      <c r="BB13" s="463"/>
      <c r="BC13" s="224">
        <f>AF13</f>
        <v>0</v>
      </c>
      <c r="BD13" s="224"/>
      <c r="BE13" s="225">
        <f>AH13</f>
        <v>0</v>
      </c>
      <c r="BF13" s="224"/>
      <c r="BG13" s="464">
        <f t="shared" si="15"/>
        <v>0</v>
      </c>
      <c r="BH13" s="230"/>
      <c r="BI13" s="535"/>
      <c r="BJ13" s="461"/>
      <c r="BK13" s="226"/>
      <c r="BL13" s="460"/>
      <c r="BM13" s="1"/>
      <c r="BN13" s="231"/>
      <c r="BO13" s="356"/>
      <c r="BP13" s="228"/>
      <c r="BQ13" s="233"/>
      <c r="BR13" s="233"/>
      <c r="BS13" s="230"/>
    </row>
    <row r="14" spans="1:72" s="1" customFormat="1" ht="15.75" customHeight="1">
      <c r="A14" s="26"/>
      <c r="B14" s="556" t="s">
        <v>123</v>
      </c>
      <c r="C14" s="576">
        <f>C45</f>
        <v>78032.620660000015</v>
      </c>
      <c r="D14" s="569">
        <f>D45</f>
        <v>0</v>
      </c>
      <c r="E14" s="569">
        <f>E45</f>
        <v>76149.551318181824</v>
      </c>
      <c r="F14" s="568">
        <f>F45</f>
        <v>0</v>
      </c>
      <c r="G14" s="238"/>
      <c r="H14" s="590"/>
      <c r="I14" s="232" t="s">
        <v>84</v>
      </c>
      <c r="J14" s="387"/>
      <c r="K14" s="403"/>
      <c r="L14" s="452"/>
      <c r="M14" s="410"/>
      <c r="N14" s="410"/>
      <c r="O14" s="410"/>
      <c r="P14" s="409"/>
      <c r="Q14" s="154"/>
      <c r="R14" s="549"/>
      <c r="S14" s="411"/>
      <c r="T14" s="410"/>
      <c r="U14" s="410"/>
      <c r="V14" s="412"/>
      <c r="W14" s="413">
        <v>1</v>
      </c>
      <c r="X14" s="27">
        <f>IFERROR(IF(Q14="Tak",K14*$C$8/8*7*W14,K14*$C$8),"")</f>
        <v>0</v>
      </c>
      <c r="Y14" s="552" t="s">
        <v>144</v>
      </c>
      <c r="Z14" s="222"/>
      <c r="AA14" s="535"/>
      <c r="AB14" s="454">
        <f>K14*L14*W14-AM14</f>
        <v>0</v>
      </c>
      <c r="AC14" s="357">
        <f>P14</f>
        <v>0</v>
      </c>
      <c r="AD14" s="455">
        <f>(AB14+AC14+AH14+AI14)*$Y$4-AN14</f>
        <v>0</v>
      </c>
      <c r="AE14" s="455">
        <f>(AB14+AC14+AH14+AI14)*$Y$6</f>
        <v>0</v>
      </c>
      <c r="AF14" s="224">
        <f>(IFERROR(VLOOKUP(J14,DANE!$B$3:$H$7,5,FALSE),"0")*K14)*W14</f>
        <v>0</v>
      </c>
      <c r="AG14" s="224">
        <f>K14*$Y$13*W14</f>
        <v>0</v>
      </c>
      <c r="AH14" s="225">
        <f>(IFERROR(VLOOKUP(J14,DANE!$B$2:$I$7,7,FALSE),"0")*K14)*W14</f>
        <v>0</v>
      </c>
      <c r="AI14" s="224">
        <f>IF(J14="SM","367","0")*K14*W14</f>
        <v>0</v>
      </c>
      <c r="AJ14" s="457">
        <f>SUM(AB14:AI14)</f>
        <v>0</v>
      </c>
      <c r="AK14" s="219"/>
      <c r="AL14" s="535"/>
      <c r="AM14" s="461">
        <f>L14/$Y$18*N14*$AP$3</f>
        <v>0</v>
      </c>
      <c r="AN14" s="226">
        <f>AM14*$Y$4*$AP$3</f>
        <v>0</v>
      </c>
      <c r="AO14" s="460">
        <f>SUM(AM14:AN14)</f>
        <v>0</v>
      </c>
      <c r="AQ14" s="219"/>
      <c r="AR14" s="356"/>
      <c r="AS14" s="228"/>
      <c r="AT14" s="229"/>
      <c r="AU14" s="229"/>
      <c r="AV14" s="230"/>
      <c r="AW14" s="219"/>
      <c r="AX14" s="535"/>
      <c r="AY14" s="462">
        <f>K14*L14*W14-BJ14</f>
        <v>0</v>
      </c>
      <c r="AZ14" s="223">
        <f>V14</f>
        <v>0</v>
      </c>
      <c r="BA14" s="463">
        <f>(AY14+AZ14+BE14+BF14)*$Y$4-BK14</f>
        <v>0</v>
      </c>
      <c r="BB14" s="463">
        <f>(AY14+AZ14+BE14+BF14)*$Y$6</f>
        <v>0</v>
      </c>
      <c r="BC14" s="224">
        <f>IFERROR(VLOOKUP(J14,DANE!$B$3:$H$7,5,FALSE),"0")*K14*W14</f>
        <v>0</v>
      </c>
      <c r="BD14" s="224">
        <f>K14*$Y$13*W14</f>
        <v>0</v>
      </c>
      <c r="BE14" s="225">
        <f>(IFERROR(VLOOKUP(J14,DANE!$B$2:$I$7,7,FALSE),"0")*K14)*W14</f>
        <v>0</v>
      </c>
      <c r="BF14" s="224">
        <f>IF(J14="SM","367","0")*K14*W14</f>
        <v>0</v>
      </c>
      <c r="BG14" s="464">
        <f t="shared" si="15"/>
        <v>0</v>
      </c>
      <c r="BH14" s="230"/>
      <c r="BI14" s="535"/>
      <c r="BJ14" s="461">
        <f>L14/$Y$18*T14*$BM$3</f>
        <v>0</v>
      </c>
      <c r="BK14" s="226">
        <f>BJ14*$Y$4*$BM$3</f>
        <v>0</v>
      </c>
      <c r="BL14" s="460">
        <f>SUM(BJ14:BK14)</f>
        <v>0</v>
      </c>
      <c r="BN14" s="231"/>
      <c r="BO14" s="356"/>
      <c r="BP14" s="228"/>
      <c r="BQ14" s="229"/>
      <c r="BR14" s="229"/>
      <c r="BS14" s="230"/>
    </row>
    <row r="15" spans="1:72" s="219" customFormat="1" ht="18" customHeight="1">
      <c r="A15" s="26"/>
      <c r="B15" s="556"/>
      <c r="C15" s="576"/>
      <c r="D15" s="569"/>
      <c r="E15" s="569"/>
      <c r="F15" s="568"/>
      <c r="G15" s="240"/>
      <c r="H15" s="590"/>
      <c r="I15" s="232" t="s">
        <v>145</v>
      </c>
      <c r="J15" s="29"/>
      <c r="K15" s="29"/>
      <c r="L15" s="29"/>
      <c r="M15" s="29"/>
      <c r="N15" s="29"/>
      <c r="O15" s="29"/>
      <c r="P15" s="409">
        <v>685</v>
      </c>
      <c r="Q15" s="29"/>
      <c r="R15" s="549"/>
      <c r="S15" s="88"/>
      <c r="T15" s="29"/>
      <c r="U15" s="29"/>
      <c r="V15" s="29"/>
      <c r="W15" s="80"/>
      <c r="X15" s="27"/>
      <c r="Y15" s="552"/>
      <c r="Z15" s="218"/>
      <c r="AA15" s="535"/>
      <c r="AB15" s="454"/>
      <c r="AC15" s="357">
        <f>P15</f>
        <v>685</v>
      </c>
      <c r="AD15" s="455">
        <f>P15*$Y$4</f>
        <v>115.9705</v>
      </c>
      <c r="AE15" s="455"/>
      <c r="AF15" s="359"/>
      <c r="AG15" s="359"/>
      <c r="AH15" s="359"/>
      <c r="AI15" s="359"/>
      <c r="AJ15" s="457">
        <f t="shared" si="18"/>
        <v>800.97050000000002</v>
      </c>
      <c r="AL15" s="535"/>
      <c r="AM15" s="461"/>
      <c r="AN15" s="226"/>
      <c r="AO15" s="460"/>
      <c r="AP15" s="1"/>
      <c r="AR15" s="356"/>
      <c r="AS15" s="228"/>
      <c r="AT15" s="45"/>
      <c r="AU15" s="45"/>
      <c r="AV15" s="230"/>
      <c r="AX15" s="535"/>
      <c r="AY15" s="462"/>
      <c r="AZ15" s="223">
        <f>AC15</f>
        <v>685</v>
      </c>
      <c r="BA15" s="463">
        <f>AZ15*$Y$4</f>
        <v>115.9705</v>
      </c>
      <c r="BB15" s="463"/>
      <c r="BC15" s="224"/>
      <c r="BD15" s="224"/>
      <c r="BE15" s="225"/>
      <c r="BF15" s="224"/>
      <c r="BG15" s="464">
        <f t="shared" si="15"/>
        <v>800.97050000000002</v>
      </c>
      <c r="BH15" s="230"/>
      <c r="BI15" s="535"/>
      <c r="BJ15" s="461"/>
      <c r="BK15" s="226"/>
      <c r="BL15" s="460"/>
      <c r="BM15" s="1"/>
      <c r="BN15" s="231"/>
      <c r="BO15" s="356"/>
      <c r="BP15" s="228"/>
      <c r="BQ15" s="45"/>
      <c r="BR15" s="45"/>
      <c r="BS15" s="230"/>
      <c r="BT15" s="526"/>
    </row>
    <row r="16" spans="1:72" s="1" customFormat="1" ht="18" customHeight="1">
      <c r="A16" s="26"/>
      <c r="B16" s="556" t="s">
        <v>146</v>
      </c>
      <c r="C16" s="575">
        <f>IFERROR(C14/C9,"-")</f>
        <v>0.25171813116129038</v>
      </c>
      <c r="D16" s="571" t="str">
        <f>IFERROR(D14/D9,"-")</f>
        <v>-</v>
      </c>
      <c r="E16" s="571">
        <f>IFERROR(E14/E9,"-")</f>
        <v>0.2719626832792208</v>
      </c>
      <c r="F16" s="570" t="str">
        <f>IFERROR(F14/F9,"-")</f>
        <v>-</v>
      </c>
      <c r="G16" s="240"/>
      <c r="H16" s="590"/>
      <c r="I16" s="232" t="s">
        <v>147</v>
      </c>
      <c r="J16" s="29"/>
      <c r="K16" s="29"/>
      <c r="L16" s="29"/>
      <c r="M16" s="29"/>
      <c r="N16" s="29"/>
      <c r="O16" s="29"/>
      <c r="P16" s="409"/>
      <c r="Q16" s="29"/>
      <c r="R16" s="549"/>
      <c r="S16" s="88"/>
      <c r="T16" s="29"/>
      <c r="U16" s="29"/>
      <c r="V16" s="29"/>
      <c r="W16" s="80"/>
      <c r="X16" s="27"/>
      <c r="Y16" s="443">
        <f>DANE!F9</f>
        <v>0.85</v>
      </c>
      <c r="Z16" s="218"/>
      <c r="AA16" s="535"/>
      <c r="AB16" s="454"/>
      <c r="AC16" s="357">
        <f>P16</f>
        <v>0</v>
      </c>
      <c r="AD16" s="455">
        <f>P16*$Y$4</f>
        <v>0</v>
      </c>
      <c r="AE16" s="455"/>
      <c r="AF16" s="359"/>
      <c r="AG16" s="359"/>
      <c r="AH16" s="359"/>
      <c r="AI16" s="359"/>
      <c r="AJ16" s="457">
        <f t="shared" si="18"/>
        <v>0</v>
      </c>
      <c r="AK16" s="219"/>
      <c r="AL16" s="535"/>
      <c r="AM16" s="461"/>
      <c r="AN16" s="226"/>
      <c r="AO16" s="460"/>
      <c r="AQ16" s="219"/>
      <c r="AR16" s="356"/>
      <c r="AS16" s="228"/>
      <c r="AT16" s="45"/>
      <c r="AU16" s="45"/>
      <c r="AV16" s="230"/>
      <c r="AW16" s="219"/>
      <c r="AX16" s="535"/>
      <c r="AY16" s="462"/>
      <c r="AZ16" s="223">
        <f>AC16</f>
        <v>0</v>
      </c>
      <c r="BA16" s="463">
        <f>AZ16*$Y$4</f>
        <v>0</v>
      </c>
      <c r="BB16" s="463"/>
      <c r="BC16" s="224"/>
      <c r="BD16" s="224"/>
      <c r="BE16" s="225"/>
      <c r="BF16" s="224"/>
      <c r="BG16" s="464">
        <f t="shared" si="15"/>
        <v>0</v>
      </c>
      <c r="BH16" s="230"/>
      <c r="BI16" s="535"/>
      <c r="BJ16" s="461"/>
      <c r="BK16" s="226"/>
      <c r="BL16" s="460"/>
      <c r="BN16" s="231"/>
      <c r="BO16" s="356"/>
      <c r="BP16" s="228"/>
      <c r="BQ16" s="45"/>
      <c r="BR16" s="45"/>
      <c r="BS16" s="230"/>
      <c r="BT16" s="526"/>
    </row>
    <row r="17" spans="1:75" s="219" customFormat="1" ht="18" customHeight="1">
      <c r="A17" s="26"/>
      <c r="B17" s="556"/>
      <c r="C17" s="575"/>
      <c r="D17" s="571"/>
      <c r="E17" s="571"/>
      <c r="F17" s="570"/>
      <c r="G17" s="39"/>
      <c r="H17" s="590"/>
      <c r="I17" s="236" t="s">
        <v>148</v>
      </c>
      <c r="J17" s="81"/>
      <c r="K17" s="81"/>
      <c r="L17" s="237">
        <f>'Rezerwa urlopowa'!G106</f>
        <v>3454</v>
      </c>
      <c r="M17" s="81"/>
      <c r="N17" s="81"/>
      <c r="O17" s="81"/>
      <c r="P17" s="81"/>
      <c r="Q17" s="82"/>
      <c r="R17" s="549"/>
      <c r="S17" s="89"/>
      <c r="T17" s="81"/>
      <c r="U17" s="81"/>
      <c r="V17" s="408">
        <v>1819</v>
      </c>
      <c r="W17" s="82"/>
      <c r="X17" s="27"/>
      <c r="Y17" s="444" t="s">
        <v>149</v>
      </c>
      <c r="Z17" s="218"/>
      <c r="AA17" s="535"/>
      <c r="AB17" s="454">
        <f>L17</f>
        <v>3454</v>
      </c>
      <c r="AC17" s="357"/>
      <c r="AD17" s="455"/>
      <c r="AE17" s="455"/>
      <c r="AF17" s="359"/>
      <c r="AG17" s="359"/>
      <c r="AH17" s="359"/>
      <c r="AI17" s="359"/>
      <c r="AJ17" s="457">
        <f>SUM(AB17:AI17)</f>
        <v>3454</v>
      </c>
      <c r="AL17" s="535"/>
      <c r="AM17" s="461"/>
      <c r="AN17" s="226"/>
      <c r="AO17" s="460"/>
      <c r="AP17" s="1"/>
      <c r="AR17" s="356"/>
      <c r="AS17" s="228"/>
      <c r="AT17" s="45"/>
      <c r="AU17" s="45"/>
      <c r="AV17" s="230"/>
      <c r="AX17" s="535"/>
      <c r="AY17" s="462">
        <f>V17</f>
        <v>1819</v>
      </c>
      <c r="AZ17" s="357"/>
      <c r="BA17" s="463"/>
      <c r="BB17" s="463"/>
      <c r="BC17" s="224"/>
      <c r="BD17" s="224"/>
      <c r="BE17" s="225"/>
      <c r="BF17" s="224"/>
      <c r="BG17" s="464">
        <f>SUM(AY17:BF17)</f>
        <v>1819</v>
      </c>
      <c r="BH17" s="31"/>
      <c r="BI17" s="535"/>
      <c r="BJ17" s="461"/>
      <c r="BK17" s="226"/>
      <c r="BL17" s="460"/>
      <c r="BM17" s="1"/>
      <c r="BN17" s="31"/>
      <c r="BO17" s="356"/>
      <c r="BP17" s="228"/>
      <c r="BQ17" s="45"/>
      <c r="BR17" s="45"/>
      <c r="BS17" s="230"/>
      <c r="BT17" s="230"/>
    </row>
    <row r="18" spans="1:75" s="219" customFormat="1" ht="18" customHeight="1">
      <c r="A18" s="26"/>
      <c r="B18" s="556" t="s">
        <v>150</v>
      </c>
      <c r="C18" s="591">
        <f>IFERROR(C47+C48+C49+C56+C57+C60+C63+C62+C64+C66+C50+C51+C52,"")</f>
        <v>44608.359199999999</v>
      </c>
      <c r="D18" s="583">
        <f>IFERROR(D47+D48+D49+D56+D57+D60+D63+D62+D64+D66+D50+D51+D52,"")</f>
        <v>0</v>
      </c>
      <c r="E18" s="583">
        <f>IFERROR(E47+E48+E49+E56+E57+E60+E63+E62+E64+E66+E50+E51+E52,"")</f>
        <v>42892.712618181817</v>
      </c>
      <c r="F18" s="597">
        <f>IFERROR(F47+F48+F49+F56+F57+F60+F63+F62+F64+F66+F50+F51+F52,"")</f>
        <v>0</v>
      </c>
      <c r="G18" s="39"/>
      <c r="H18" s="160" t="s">
        <v>151</v>
      </c>
      <c r="I18" s="83"/>
      <c r="J18" s="83"/>
      <c r="K18" s="84">
        <f>SUM(K3:K12)</f>
        <v>4.75</v>
      </c>
      <c r="L18" s="85"/>
      <c r="M18" s="86">
        <f>SUM(M3:M17)</f>
        <v>720</v>
      </c>
      <c r="N18" s="86">
        <f>SUM(N3:N17)</f>
        <v>0</v>
      </c>
      <c r="O18" s="86">
        <f>SUM(O3:O17)</f>
        <v>18</v>
      </c>
      <c r="P18" s="86">
        <f>SUM(P3:P17)-P19</f>
        <v>685</v>
      </c>
      <c r="Q18" s="153"/>
      <c r="R18" s="153"/>
      <c r="S18" s="118">
        <f>SUM(S3:S17)</f>
        <v>675</v>
      </c>
      <c r="T18" s="118">
        <f>SUM(T3:T17)</f>
        <v>4</v>
      </c>
      <c r="U18" s="118">
        <f>SUM(U3:U17)</f>
        <v>18</v>
      </c>
      <c r="V18" s="118">
        <f>SUM(V3:V16)-V19</f>
        <v>0</v>
      </c>
      <c r="W18" s="119"/>
      <c r="X18" s="87"/>
      <c r="Y18" s="445">
        <f>VLOOKUP(CALCULATOR!$C$5,DANE!J3:L14,3,FALSE)</f>
        <v>176</v>
      </c>
      <c r="Z18" s="218"/>
      <c r="AA18" s="424"/>
      <c r="AB18" s="458">
        <f>SUM(AB3:AB17)-AD17</f>
        <v>29136.5</v>
      </c>
      <c r="AC18" s="32">
        <f>SUM(AC3:AC17)-AC19</f>
        <v>685</v>
      </c>
      <c r="AD18" s="458">
        <f t="shared" ref="AD18:AJ18" si="28">SUM(AD3:AD17)</f>
        <v>4754.7058500000003</v>
      </c>
      <c r="AE18" s="458">
        <f t="shared" si="28"/>
        <v>698.68724999999984</v>
      </c>
      <c r="AF18" s="32">
        <f t="shared" si="28"/>
        <v>1562.5</v>
      </c>
      <c r="AG18" s="32">
        <f t="shared" si="28"/>
        <v>950</v>
      </c>
      <c r="AH18" s="32">
        <f t="shared" si="28"/>
        <v>1350</v>
      </c>
      <c r="AI18" s="32">
        <f t="shared" si="28"/>
        <v>367</v>
      </c>
      <c r="AJ18" s="458">
        <f t="shared" si="28"/>
        <v>39504.393100000001</v>
      </c>
      <c r="AL18" s="424"/>
      <c r="AM18" s="459">
        <f>SUM(AM3:AM17)</f>
        <v>0</v>
      </c>
      <c r="AN18" s="239">
        <f>SUM(AN3:AN17)</f>
        <v>0</v>
      </c>
      <c r="AO18" s="459">
        <f>SUM(AO3:AO17)</f>
        <v>0</v>
      </c>
      <c r="AR18" s="356"/>
      <c r="AS18" s="33"/>
      <c r="AT18" s="33"/>
      <c r="AU18" s="33"/>
      <c r="AV18" s="33"/>
      <c r="AX18" s="424"/>
      <c r="AY18" s="458">
        <f>SUM(AY3:AY17)-BA17</f>
        <v>27476.045454545456</v>
      </c>
      <c r="AZ18" s="32">
        <f>SUM(AZ3:AZ17)-AZ19</f>
        <v>685</v>
      </c>
      <c r="BA18" s="458">
        <f t="shared" ref="BA18:BG18" si="29">SUM(BA3:BA17)</f>
        <v>4800.3245045454541</v>
      </c>
      <c r="BB18" s="458">
        <f t="shared" si="29"/>
        <v>705.68815909090893</v>
      </c>
      <c r="BC18" s="32">
        <f t="shared" si="29"/>
        <v>1562.5</v>
      </c>
      <c r="BD18" s="32">
        <f t="shared" si="29"/>
        <v>950</v>
      </c>
      <c r="BE18" s="32">
        <f t="shared" si="29"/>
        <v>1350</v>
      </c>
      <c r="BF18" s="32">
        <f t="shared" si="29"/>
        <v>367</v>
      </c>
      <c r="BG18" s="458">
        <f t="shared" si="29"/>
        <v>38196.55811818182</v>
      </c>
      <c r="BH18" s="34"/>
      <c r="BI18" s="424"/>
      <c r="BJ18" s="459">
        <f>SUM(BJ3:BJ17)</f>
        <v>25.454545454545453</v>
      </c>
      <c r="BK18" s="239">
        <f>SUM(BK3:BK17)</f>
        <v>0.86189090909090904</v>
      </c>
      <c r="BL18" s="459">
        <f>SUM(BL3:BL17)</f>
        <v>26.316436363636363</v>
      </c>
      <c r="BN18" s="31"/>
      <c r="BO18" s="356"/>
      <c r="BP18" s="33"/>
      <c r="BQ18" s="33"/>
      <c r="BR18" s="33"/>
      <c r="BS18" s="33"/>
      <c r="BT18" s="230"/>
    </row>
    <row r="19" spans="1:75" s="219" customFormat="1" ht="18" customHeight="1">
      <c r="A19" s="26"/>
      <c r="B19" s="604"/>
      <c r="C19" s="592"/>
      <c r="D19" s="584"/>
      <c r="E19" s="584"/>
      <c r="F19" s="598"/>
      <c r="G19" s="245"/>
      <c r="H19" s="36"/>
      <c r="I19" s="36"/>
      <c r="J19" s="36"/>
      <c r="K19" s="36"/>
      <c r="L19" s="36"/>
      <c r="M19" s="36"/>
      <c r="N19" s="36"/>
      <c r="O19" s="36"/>
      <c r="P19" s="465">
        <f>SUMIF($J$3:$J$12,"SSV",P3:P12)</f>
        <v>0</v>
      </c>
      <c r="Q19" s="465"/>
      <c r="R19" s="465"/>
      <c r="S19" s="465"/>
      <c r="T19" s="465"/>
      <c r="U19" s="465"/>
      <c r="V19" s="465">
        <f>SUMIF($J$3:$J$12,"SSV",V3:V12)</f>
        <v>300</v>
      </c>
      <c r="W19" s="466"/>
      <c r="X19" s="466"/>
      <c r="Y19" s="465"/>
      <c r="Z19" s="465"/>
      <c r="AA19" s="465"/>
      <c r="AB19" s="465"/>
      <c r="AC19" s="465">
        <f>SUMIF($J$3:$J$12,"SSV",AC3:AC12)</f>
        <v>0</v>
      </c>
      <c r="AD19" s="465"/>
      <c r="AE19" s="467"/>
      <c r="AF19" s="467"/>
      <c r="AG19" s="467"/>
      <c r="AH19" s="467"/>
      <c r="AI19" s="467"/>
      <c r="AJ19" s="467"/>
      <c r="AK19" s="467"/>
      <c r="AL19" s="467"/>
      <c r="AM19" s="467"/>
      <c r="AN19" s="467"/>
      <c r="AO19" s="467"/>
      <c r="AP19" s="467"/>
      <c r="AQ19" s="467"/>
      <c r="AR19" s="467"/>
      <c r="AS19" s="467"/>
      <c r="AT19" s="467"/>
      <c r="AU19" s="465"/>
      <c r="AV19" s="467"/>
      <c r="AW19" s="467"/>
      <c r="AX19" s="467"/>
      <c r="AY19" s="467"/>
      <c r="AZ19" s="465">
        <f>SUMIF($J$3:$J$12,"SSV",AZ3:AZ12)</f>
        <v>300</v>
      </c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7"/>
      <c r="BM19" s="37"/>
      <c r="BN19" s="31"/>
      <c r="BO19" s="31"/>
      <c r="BP19" s="31"/>
      <c r="BQ19" s="31"/>
      <c r="BR19" s="36"/>
      <c r="BS19" s="31"/>
      <c r="BT19" s="31"/>
      <c r="BU19" s="31"/>
      <c r="BV19" s="31"/>
      <c r="BW19" s="230"/>
    </row>
    <row r="20" spans="1:75" s="219" customFormat="1" ht="18" customHeight="1">
      <c r="A20" s="26"/>
      <c r="B20" s="280"/>
      <c r="F20" s="280"/>
      <c r="G20" s="218"/>
      <c r="H20" s="483" t="s">
        <v>152</v>
      </c>
      <c r="I20" s="516" t="s">
        <v>92</v>
      </c>
      <c r="J20" s="493" t="s">
        <v>93</v>
      </c>
      <c r="K20" s="516" t="s">
        <v>94</v>
      </c>
      <c r="L20" s="518" t="s">
        <v>95</v>
      </c>
      <c r="M20" s="490" t="s">
        <v>96</v>
      </c>
      <c r="N20" s="490" t="s">
        <v>97</v>
      </c>
      <c r="O20" s="490" t="s">
        <v>98</v>
      </c>
      <c r="P20" s="490" t="s">
        <v>105</v>
      </c>
      <c r="Q20" s="490" t="s">
        <v>100</v>
      </c>
      <c r="R20" s="483" t="s">
        <v>153</v>
      </c>
      <c r="S20" s="501" t="s">
        <v>102</v>
      </c>
      <c r="T20" s="490" t="s">
        <v>97</v>
      </c>
      <c r="U20" s="490" t="s">
        <v>98</v>
      </c>
      <c r="V20" s="516" t="s">
        <v>154</v>
      </c>
      <c r="W20" s="504" t="s">
        <v>155</v>
      </c>
      <c r="X20" s="504"/>
      <c r="Y20" s="550" t="s">
        <v>156</v>
      </c>
      <c r="AA20" s="489" t="s">
        <v>152</v>
      </c>
      <c r="AB20" s="555" t="s">
        <v>157</v>
      </c>
      <c r="AC20" s="438"/>
      <c r="AD20" s="555" t="s">
        <v>117</v>
      </c>
      <c r="AE20" s="515" t="s">
        <v>110</v>
      </c>
      <c r="AF20" s="555" t="s">
        <v>111</v>
      </c>
      <c r="AG20" s="579" t="s">
        <v>158</v>
      </c>
      <c r="AH20" s="438"/>
      <c r="AI20" s="438"/>
      <c r="AJ20" s="578" t="s">
        <v>115</v>
      </c>
      <c r="AK20" s="241"/>
      <c r="AL20" s="489" t="s">
        <v>159</v>
      </c>
      <c r="AM20" s="524" t="s">
        <v>157</v>
      </c>
      <c r="AN20" s="525" t="s">
        <v>117</v>
      </c>
      <c r="AO20" s="527" t="s">
        <v>115</v>
      </c>
      <c r="AP20" s="527" t="s">
        <v>118</v>
      </c>
      <c r="AQ20" s="241"/>
      <c r="AR20" s="489" t="s">
        <v>160</v>
      </c>
      <c r="AS20" s="524" t="s">
        <v>157</v>
      </c>
      <c r="AT20" s="525" t="s">
        <v>117</v>
      </c>
      <c r="AU20" s="525" t="s">
        <v>111</v>
      </c>
      <c r="AV20" s="527" t="s">
        <v>115</v>
      </c>
      <c r="AW20" s="241"/>
      <c r="AX20" s="489" t="s">
        <v>153</v>
      </c>
      <c r="AY20" s="524" t="s">
        <v>157</v>
      </c>
      <c r="AZ20" s="438"/>
      <c r="BA20" s="525" t="s">
        <v>117</v>
      </c>
      <c r="BB20" s="539" t="s">
        <v>110</v>
      </c>
      <c r="BC20" s="525" t="s">
        <v>111</v>
      </c>
      <c r="BD20" s="577" t="s">
        <v>158</v>
      </c>
      <c r="BE20" s="438"/>
      <c r="BF20" s="438"/>
      <c r="BG20" s="527" t="s">
        <v>115</v>
      </c>
      <c r="BH20" s="241"/>
      <c r="BI20" s="489" t="s">
        <v>161</v>
      </c>
      <c r="BJ20" s="532" t="s">
        <v>157</v>
      </c>
      <c r="BK20" s="534" t="s">
        <v>117</v>
      </c>
      <c r="BL20" s="533" t="s">
        <v>115</v>
      </c>
      <c r="BM20" s="533" t="s">
        <v>118</v>
      </c>
      <c r="BN20" s="220"/>
      <c r="BO20" s="489" t="s">
        <v>162</v>
      </c>
      <c r="BP20" s="532" t="s">
        <v>157</v>
      </c>
      <c r="BQ20" s="534" t="s">
        <v>117</v>
      </c>
      <c r="BR20" s="534" t="s">
        <v>111</v>
      </c>
      <c r="BS20" s="533" t="s">
        <v>115</v>
      </c>
      <c r="BT20" s="230"/>
    </row>
    <row r="21" spans="1:75" s="219" customFormat="1" ht="18" customHeight="1">
      <c r="A21" s="26"/>
      <c r="B21" s="281" t="s">
        <v>163</v>
      </c>
      <c r="C21" s="272">
        <f>M18</f>
        <v>720</v>
      </c>
      <c r="D21" s="362"/>
      <c r="E21" s="272">
        <f>S18</f>
        <v>675</v>
      </c>
      <c r="F21" s="363"/>
      <c r="G21" s="246"/>
      <c r="H21" s="484"/>
      <c r="I21" s="517"/>
      <c r="J21" s="494"/>
      <c r="K21" s="517"/>
      <c r="L21" s="519"/>
      <c r="M21" s="491"/>
      <c r="N21" s="491"/>
      <c r="O21" s="491"/>
      <c r="P21" s="491"/>
      <c r="Q21" s="491"/>
      <c r="R21" s="484"/>
      <c r="S21" s="502"/>
      <c r="T21" s="523"/>
      <c r="U21" s="523"/>
      <c r="V21" s="517"/>
      <c r="W21" s="505"/>
      <c r="X21" s="505"/>
      <c r="Y21" s="551"/>
      <c r="AA21" s="489"/>
      <c r="AB21" s="555"/>
      <c r="AC21" s="438"/>
      <c r="AD21" s="555"/>
      <c r="AE21" s="515"/>
      <c r="AF21" s="555"/>
      <c r="AG21" s="579"/>
      <c r="AH21" s="438"/>
      <c r="AI21" s="438"/>
      <c r="AJ21" s="578"/>
      <c r="AK21" s="241"/>
      <c r="AL21" s="489"/>
      <c r="AM21" s="524"/>
      <c r="AN21" s="525"/>
      <c r="AO21" s="527"/>
      <c r="AP21" s="527"/>
      <c r="AQ21" s="241"/>
      <c r="AR21" s="489"/>
      <c r="AS21" s="524"/>
      <c r="AT21" s="525"/>
      <c r="AU21" s="525"/>
      <c r="AV21" s="527"/>
      <c r="AW21" s="241"/>
      <c r="AX21" s="489"/>
      <c r="AY21" s="524"/>
      <c r="AZ21" s="438"/>
      <c r="BA21" s="525"/>
      <c r="BB21" s="539"/>
      <c r="BC21" s="525"/>
      <c r="BD21" s="577"/>
      <c r="BE21" s="438"/>
      <c r="BF21" s="438"/>
      <c r="BG21" s="527"/>
      <c r="BH21" s="241"/>
      <c r="BI21" s="489"/>
      <c r="BJ21" s="532"/>
      <c r="BK21" s="534"/>
      <c r="BL21" s="533"/>
      <c r="BM21" s="533"/>
      <c r="BN21" s="220"/>
      <c r="BO21" s="489"/>
      <c r="BP21" s="532"/>
      <c r="BQ21" s="534"/>
      <c r="BR21" s="534"/>
      <c r="BS21" s="533"/>
      <c r="BT21" s="230"/>
    </row>
    <row r="22" spans="1:75" s="219" customFormat="1" ht="18" customHeight="1">
      <c r="A22" s="26"/>
      <c r="B22" s="282" t="s">
        <v>164</v>
      </c>
      <c r="C22" s="35">
        <f>IFERROR(M41+M66,"")</f>
        <v>1040</v>
      </c>
      <c r="D22" s="361"/>
      <c r="E22" s="35">
        <f>S41+S66</f>
        <v>1038.5</v>
      </c>
      <c r="F22" s="364"/>
      <c r="G22" s="247"/>
      <c r="H22" s="484"/>
      <c r="I22" s="399" t="s">
        <v>165</v>
      </c>
      <c r="J22" s="385" t="s">
        <v>166</v>
      </c>
      <c r="K22" s="400">
        <v>0.5</v>
      </c>
      <c r="L22" s="401">
        <v>31.4</v>
      </c>
      <c r="M22" s="392">
        <v>88</v>
      </c>
      <c r="N22" s="392"/>
      <c r="O22" s="392"/>
      <c r="P22" s="151">
        <f>IFERROR(IF(Q22="tak",$C$8/8*7*K22,K22*$C$8),"")</f>
        <v>88</v>
      </c>
      <c r="Q22" s="155"/>
      <c r="R22" s="484"/>
      <c r="S22" s="391">
        <v>85</v>
      </c>
      <c r="T22" s="392"/>
      <c r="U22" s="392"/>
      <c r="V22" s="393"/>
      <c r="W22" s="503" t="str">
        <f t="shared" ref="W22:W40" si="30">IF(AND(SUM(M22:O22)&lt;P22,(SUM(M22:O22)&gt;0)),"TARGET: NIEDOGODZINY",IF(SUM(M22:O22)&gt;P22,"TARGET: NADGODZINY",IF(AND(SUM(S22:U22)&lt;P22,(SUM(S22:U22)&gt;0)),"ESTIMATION: NIEDOGODZINY",IF(SUM(S22:U22)&gt;P22,"ESTIMATION: NADGODZINY","-"))))</f>
        <v>ESTIMATION: NIEDOGODZINY</v>
      </c>
      <c r="X22" s="503"/>
      <c r="Y22" s="73">
        <f t="shared" ref="Y22:Y40" si="31">IF(OR(J22="KP",J22="BT",J22="LOBBY",J22="B"),(L22*1.1948)+0.7,"-")</f>
        <v>38.216720000000002</v>
      </c>
      <c r="AA22" s="489"/>
      <c r="AB22" s="40">
        <f>IF(L22&lt;VLOOKUP($C$5,DANE!$J$3:$N$14,4,FALSE),VLOOKUP($C$5,DANE!$J$3:$N$14,4,FALSE)*M22,L22*M22)</f>
        <v>2763.2</v>
      </c>
      <c r="AC22" s="29"/>
      <c r="AD22" s="40">
        <f t="shared" ref="AD22:AD40" si="32">AB22*$Y$4</f>
        <v>467.80975999999998</v>
      </c>
      <c r="AE22" s="40">
        <f>AB22*$Y$6</f>
        <v>70.46159999999999</v>
      </c>
      <c r="AF22" s="40">
        <f t="shared" ref="AF22:AF40" si="33">M22*$Y$16</f>
        <v>74.8</v>
      </c>
      <c r="AG22" s="40">
        <f t="shared" ref="AG22:AG40" si="34">K22*$Y$13</f>
        <v>100</v>
      </c>
      <c r="AH22" s="29"/>
      <c r="AI22" s="29"/>
      <c r="AJ22" s="242">
        <f>SUM(AB22:AG22)</f>
        <v>3476.2713600000002</v>
      </c>
      <c r="AK22" s="241"/>
      <c r="AL22" s="489"/>
      <c r="AM22" s="40">
        <f>N22*IF(L22&lt;VLOOKUP($C$5,DANE!$J$3:$N$14,4,FALSE),VLOOKUP($C$5,DANE!$J$3:$N$14,4,FALSE),L22)*$AP$22</f>
        <v>0</v>
      </c>
      <c r="AN22" s="40">
        <f t="shared" ref="AN22:AN40" si="35">AM22*$Y$4*$AP$22</f>
        <v>0</v>
      </c>
      <c r="AO22" s="242">
        <f>SUM(AM22:AN22)</f>
        <v>0</v>
      </c>
      <c r="AP22" s="227">
        <v>0.8</v>
      </c>
      <c r="AQ22" s="241"/>
      <c r="AR22" s="489"/>
      <c r="AS22" s="40">
        <f>O22*IF(L22&lt;VLOOKUP($C$5,DANE!$J$3:$N$14,4,FALSE),VLOOKUP($C$5,DANE!$J$3:$N$14,4,FALSE),L22)</f>
        <v>0</v>
      </c>
      <c r="AT22" s="40">
        <f t="shared" ref="AT22:AT40" si="36">AS22*$Y$4</f>
        <v>0</v>
      </c>
      <c r="AU22" s="40">
        <f t="shared" ref="AU22:AU40" si="37">O22*$Y$16</f>
        <v>0</v>
      </c>
      <c r="AV22" s="242">
        <f>SUM(AS22:AT22)</f>
        <v>0</v>
      </c>
      <c r="AW22" s="241"/>
      <c r="AX22" s="489"/>
      <c r="AY22" s="40">
        <f>IF(L22&lt;VLOOKUP($C$5,DANE!$J$3:$N$14,4,FALSE),VLOOKUP($C$5,DANE!$J$3:$N$14,4,FALSE)*S22,L22*S22)</f>
        <v>2669</v>
      </c>
      <c r="AZ22" s="29"/>
      <c r="BA22" s="40">
        <f t="shared" ref="BA22:BA40" si="38">AY22*$Y$4</f>
        <v>451.86170000000004</v>
      </c>
      <c r="BB22" s="40">
        <f>AY22*$Y$6</f>
        <v>68.0595</v>
      </c>
      <c r="BC22" s="40">
        <f t="shared" ref="BC22:BC40" si="39">S22*$Y$16</f>
        <v>72.25</v>
      </c>
      <c r="BD22" s="40">
        <f t="shared" ref="BD22:BD40" si="40">K22*$Y$13</f>
        <v>100</v>
      </c>
      <c r="BE22" s="29"/>
      <c r="BF22" s="29"/>
      <c r="BG22" s="242">
        <f>SUM(AY22:BD22)</f>
        <v>3361.1711999999998</v>
      </c>
      <c r="BH22" s="241"/>
      <c r="BI22" s="489"/>
      <c r="BJ22" s="40">
        <f>T22*IF(L22&lt;VLOOKUP($C$5,DANE!$J$3:$N$14,4,FALSE),VLOOKUP($C$5,DANE!$J$3:$N$14,4,FALSE),L22)*$BM$22</f>
        <v>0</v>
      </c>
      <c r="BK22" s="40">
        <f t="shared" ref="BK22:BK40" si="41">BJ22*$Y$4*$BM$22</f>
        <v>0</v>
      </c>
      <c r="BL22" s="242">
        <f>SUM(BJ22:BK22)</f>
        <v>0</v>
      </c>
      <c r="BM22" s="227">
        <v>0.8</v>
      </c>
      <c r="BN22" s="243"/>
      <c r="BO22" s="489"/>
      <c r="BP22" s="40">
        <f>U22*IF(L22&lt;VLOOKUP($C$5,DANE!$J$3:$N$14,4,FALSE),VLOOKUP($C$5,DANE!$J$3:$N$14,4,FALSE),L22)</f>
        <v>0</v>
      </c>
      <c r="BQ22" s="40">
        <f t="shared" ref="BQ22:BQ40" si="42">BP22*$Y$4</f>
        <v>0</v>
      </c>
      <c r="BR22" s="40">
        <f t="shared" ref="BR22:BR40" si="43">U22*$Y$16</f>
        <v>0</v>
      </c>
      <c r="BS22" s="242">
        <f t="shared" ref="BS22:BS40" si="44">SUM(BP22:BQ22)</f>
        <v>0</v>
      </c>
      <c r="BT22" s="230"/>
    </row>
    <row r="23" spans="1:75" s="219" customFormat="1" ht="18" customHeight="1">
      <c r="A23" s="26"/>
      <c r="B23" s="282" t="s">
        <v>167</v>
      </c>
      <c r="C23" s="38">
        <f>IFERROR(C11/C36,"-")</f>
        <v>6.1931818181818183</v>
      </c>
      <c r="D23" s="38"/>
      <c r="E23" s="38">
        <f>IFERROR(E11/E36,"-")</f>
        <v>5.6609279252990952</v>
      </c>
      <c r="F23" s="95" t="str">
        <f>IFERROR(F11/F36,"-")</f>
        <v>-</v>
      </c>
      <c r="G23" s="235"/>
      <c r="H23" s="484"/>
      <c r="I23" s="402" t="s">
        <v>168</v>
      </c>
      <c r="J23" s="387" t="s">
        <v>169</v>
      </c>
      <c r="K23" s="403">
        <v>0.75</v>
      </c>
      <c r="L23" s="384">
        <v>30.75</v>
      </c>
      <c r="M23" s="395">
        <v>132</v>
      </c>
      <c r="N23" s="395"/>
      <c r="O23" s="395"/>
      <c r="P23" s="149">
        <f t="shared" ref="P23:P40" si="45">IFERROR(IF(Q23="tak",$C$8/8*7*K23,K23*$C$8),"")</f>
        <v>132</v>
      </c>
      <c r="Q23" s="154"/>
      <c r="R23" s="484"/>
      <c r="S23" s="394">
        <v>120</v>
      </c>
      <c r="T23" s="395"/>
      <c r="U23" s="395"/>
      <c r="V23" s="396"/>
      <c r="W23" s="503" t="str">
        <f t="shared" si="30"/>
        <v>ESTIMATION: NIEDOGODZINY</v>
      </c>
      <c r="X23" s="503"/>
      <c r="Y23" s="73">
        <f t="shared" si="31"/>
        <v>37.440100000000008</v>
      </c>
      <c r="AA23" s="489"/>
      <c r="AB23" s="40">
        <f>IF(L23&lt;VLOOKUP($C$5,DANE!$J$3:$N$14,4,FALSE),VLOOKUP($C$5,DANE!$J$3:$N$14,4,FALSE)*M23,L23*M23)</f>
        <v>4059</v>
      </c>
      <c r="AC23" s="29"/>
      <c r="AD23" s="40">
        <f t="shared" si="32"/>
        <v>687.18870000000004</v>
      </c>
      <c r="AE23" s="40">
        <f t="shared" ref="AE23:AE40" si="46">AB23*$Y$6</f>
        <v>103.50449999999999</v>
      </c>
      <c r="AF23" s="40">
        <f t="shared" si="33"/>
        <v>112.2</v>
      </c>
      <c r="AG23" s="40">
        <f t="shared" si="34"/>
        <v>150</v>
      </c>
      <c r="AH23" s="29"/>
      <c r="AI23" s="29"/>
      <c r="AJ23" s="242">
        <f t="shared" ref="AJ23:AJ40" si="47">SUM(AB23:AG23)</f>
        <v>5111.8931999999995</v>
      </c>
      <c r="AK23" s="241"/>
      <c r="AL23" s="489"/>
      <c r="AM23" s="40">
        <f>N23*IF(L23&lt;VLOOKUP($C$5,DANE!$J$3:$N$14,4,FALSE),VLOOKUP($C$5,DANE!$J$3:$N$14,4,FALSE),L23)*$AP$22</f>
        <v>0</v>
      </c>
      <c r="AN23" s="40">
        <f t="shared" si="35"/>
        <v>0</v>
      </c>
      <c r="AO23" s="242">
        <f t="shared" ref="AO23:AO40" si="48">SUM(AM23:AN23)</f>
        <v>0</v>
      </c>
      <c r="AP23" s="227"/>
      <c r="AQ23" s="241"/>
      <c r="AR23" s="489"/>
      <c r="AS23" s="40">
        <f>O23*IF(L23&lt;VLOOKUP($C$5,DANE!$J$3:$N$14,4,FALSE),VLOOKUP($C$5,DANE!$J$3:$N$14,4,FALSE),L23)</f>
        <v>0</v>
      </c>
      <c r="AT23" s="40">
        <f t="shared" si="36"/>
        <v>0</v>
      </c>
      <c r="AU23" s="40">
        <f t="shared" si="37"/>
        <v>0</v>
      </c>
      <c r="AV23" s="242">
        <f t="shared" ref="AV23:AV40" si="49">SUM(AS23:AT23)</f>
        <v>0</v>
      </c>
      <c r="AW23" s="241"/>
      <c r="AX23" s="489"/>
      <c r="AY23" s="40">
        <f>IF(L23&lt;VLOOKUP($C$5,DANE!$J$3:$N$14,4,FALSE),VLOOKUP($C$5,DANE!$J$3:$N$14,4,FALSE)*S23,L23*S23)</f>
        <v>3690</v>
      </c>
      <c r="AZ23" s="29"/>
      <c r="BA23" s="40">
        <f t="shared" si="38"/>
        <v>624.71699999999998</v>
      </c>
      <c r="BB23" s="40">
        <f t="shared" ref="BB23:BB40" si="50">AY23*$Y$6</f>
        <v>94.094999999999999</v>
      </c>
      <c r="BC23" s="40">
        <f t="shared" si="39"/>
        <v>102</v>
      </c>
      <c r="BD23" s="40">
        <f t="shared" si="40"/>
        <v>150</v>
      </c>
      <c r="BE23" s="29"/>
      <c r="BF23" s="29"/>
      <c r="BG23" s="242">
        <f t="shared" ref="BG23:BG40" si="51">SUM(AY23:BD23)</f>
        <v>4660.8119999999999</v>
      </c>
      <c r="BH23" s="241"/>
      <c r="BI23" s="489"/>
      <c r="BJ23" s="40">
        <f>T23*IF(L23&lt;VLOOKUP($C$5,DANE!$J$3:$N$14,4,FALSE),VLOOKUP($C$5,DANE!$J$3:$N$14,4,FALSE),L23)*$BM$22</f>
        <v>0</v>
      </c>
      <c r="BK23" s="40">
        <f t="shared" si="41"/>
        <v>0</v>
      </c>
      <c r="BL23" s="242">
        <f t="shared" ref="BL23:BL40" si="52">SUM(BJ23:BK23)</f>
        <v>0</v>
      </c>
      <c r="BM23" s="227"/>
      <c r="BN23" s="243"/>
      <c r="BO23" s="489"/>
      <c r="BP23" s="40">
        <f>U23*IF(L23&lt;VLOOKUP($C$5,DANE!$J$3:$N$14,4,FALSE),VLOOKUP($C$5,DANE!$J$3:$N$14,4,FALSE),L23)</f>
        <v>0</v>
      </c>
      <c r="BQ23" s="40">
        <f t="shared" si="42"/>
        <v>0</v>
      </c>
      <c r="BR23" s="40">
        <f t="shared" si="43"/>
        <v>0</v>
      </c>
      <c r="BS23" s="242">
        <f t="shared" si="44"/>
        <v>0</v>
      </c>
      <c r="BT23" s="230"/>
    </row>
    <row r="24" spans="1:75" s="219" customFormat="1" ht="18" customHeight="1">
      <c r="A24" s="26"/>
      <c r="B24" s="282" t="s">
        <v>170</v>
      </c>
      <c r="C24" s="38">
        <f>IFERROR(C11/(C36-C27-C30),"-")</f>
        <v>6.4688427299703264</v>
      </c>
      <c r="D24" s="38"/>
      <c r="E24" s="38">
        <f>IFERROR(E11/(E36-E27-E30),"-")</f>
        <v>5.6609279252990952</v>
      </c>
      <c r="F24" s="95" t="str">
        <f>IFERROR(F11/(F36-F27-F30),"-")</f>
        <v>-</v>
      </c>
      <c r="G24" s="235"/>
      <c r="H24" s="484"/>
      <c r="I24" s="402"/>
      <c r="J24" s="387"/>
      <c r="K24" s="403"/>
      <c r="L24" s="384"/>
      <c r="M24" s="395"/>
      <c r="N24" s="395"/>
      <c r="O24" s="395"/>
      <c r="P24" s="149">
        <f t="shared" si="45"/>
        <v>0</v>
      </c>
      <c r="Q24" s="154"/>
      <c r="R24" s="484"/>
      <c r="S24" s="394"/>
      <c r="T24" s="395"/>
      <c r="U24" s="395"/>
      <c r="V24" s="396"/>
      <c r="W24" s="503" t="str">
        <f t="shared" si="30"/>
        <v>-</v>
      </c>
      <c r="X24" s="503"/>
      <c r="Y24" s="73" t="str">
        <f t="shared" si="31"/>
        <v>-</v>
      </c>
      <c r="AA24" s="489"/>
      <c r="AB24" s="40">
        <f>IF(L24&lt;VLOOKUP($C$5,DANE!$J$3:$N$14,4,FALSE),VLOOKUP($C$5,DANE!$J$3:$N$14,4,FALSE)*M24,L24*M24)</f>
        <v>0</v>
      </c>
      <c r="AC24" s="29"/>
      <c r="AD24" s="40">
        <f t="shared" si="32"/>
        <v>0</v>
      </c>
      <c r="AE24" s="40">
        <f t="shared" si="46"/>
        <v>0</v>
      </c>
      <c r="AF24" s="40">
        <f t="shared" si="33"/>
        <v>0</v>
      </c>
      <c r="AG24" s="40">
        <f t="shared" si="34"/>
        <v>0</v>
      </c>
      <c r="AH24" s="29"/>
      <c r="AI24" s="29"/>
      <c r="AJ24" s="242">
        <f t="shared" si="47"/>
        <v>0</v>
      </c>
      <c r="AK24" s="241"/>
      <c r="AL24" s="489"/>
      <c r="AM24" s="40">
        <f>N24*IF(L24&lt;VLOOKUP($C$5,DANE!$J$3:$N$14,4,FALSE),VLOOKUP($C$5,DANE!$J$3:$N$14,4,FALSE),L24)*$AP$22</f>
        <v>0</v>
      </c>
      <c r="AN24" s="40">
        <f t="shared" si="35"/>
        <v>0</v>
      </c>
      <c r="AO24" s="242">
        <f t="shared" si="48"/>
        <v>0</v>
      </c>
      <c r="AP24" s="227"/>
      <c r="AQ24" s="241"/>
      <c r="AR24" s="489"/>
      <c r="AS24" s="40">
        <f>O24*IF(L24&lt;VLOOKUP($C$5,DANE!$J$3:$N$14,4,FALSE),VLOOKUP($C$5,DANE!$J$3:$N$14,4,FALSE),L24)</f>
        <v>0</v>
      </c>
      <c r="AT24" s="40">
        <f t="shared" si="36"/>
        <v>0</v>
      </c>
      <c r="AU24" s="40">
        <f t="shared" si="37"/>
        <v>0</v>
      </c>
      <c r="AV24" s="242">
        <f t="shared" si="49"/>
        <v>0</v>
      </c>
      <c r="AW24" s="241"/>
      <c r="AX24" s="489"/>
      <c r="AY24" s="40">
        <f>IF(L24&lt;VLOOKUP($C$5,DANE!$J$3:$N$14,4,FALSE),VLOOKUP($C$5,DANE!$J$3:$N$14,4,FALSE)*S24,L24*S24)</f>
        <v>0</v>
      </c>
      <c r="AZ24" s="29"/>
      <c r="BA24" s="40">
        <f t="shared" si="38"/>
        <v>0</v>
      </c>
      <c r="BB24" s="40">
        <f t="shared" si="50"/>
        <v>0</v>
      </c>
      <c r="BC24" s="40">
        <f t="shared" si="39"/>
        <v>0</v>
      </c>
      <c r="BD24" s="40">
        <f t="shared" si="40"/>
        <v>0</v>
      </c>
      <c r="BE24" s="29"/>
      <c r="BF24" s="29"/>
      <c r="BG24" s="242">
        <f t="shared" si="51"/>
        <v>0</v>
      </c>
      <c r="BH24" s="241"/>
      <c r="BI24" s="489"/>
      <c r="BJ24" s="40">
        <f>T24*IF(L24&lt;VLOOKUP($C$5,DANE!$J$3:$N$14,4,FALSE),VLOOKUP($C$5,DANE!$J$3:$N$14,4,FALSE),L24)*$BM$22</f>
        <v>0</v>
      </c>
      <c r="BK24" s="40">
        <f t="shared" si="41"/>
        <v>0</v>
      </c>
      <c r="BL24" s="242">
        <f t="shared" si="52"/>
        <v>0</v>
      </c>
      <c r="BM24" s="227"/>
      <c r="BN24" s="243"/>
      <c r="BO24" s="489"/>
      <c r="BP24" s="40">
        <f>U24*IF(L24&lt;VLOOKUP($C$5,DANE!$J$3:$N$14,4,FALSE),VLOOKUP($C$5,DANE!$J$3:$N$14,4,FALSE),L24)</f>
        <v>0</v>
      </c>
      <c r="BQ24" s="40">
        <f t="shared" si="42"/>
        <v>0</v>
      </c>
      <c r="BR24" s="40">
        <f t="shared" si="43"/>
        <v>0</v>
      </c>
      <c r="BS24" s="242">
        <f t="shared" si="44"/>
        <v>0</v>
      </c>
      <c r="BT24" s="230"/>
    </row>
    <row r="25" spans="1:75" s="219" customFormat="1" ht="18" customHeight="1">
      <c r="A25" s="26"/>
      <c r="B25" s="283" t="s">
        <v>171</v>
      </c>
      <c r="C25" s="192">
        <f>IFERROR(K18+K41+K66,"")</f>
        <v>10.65909090909091</v>
      </c>
      <c r="D25" s="273"/>
      <c r="E25" s="192">
        <f>IFERROR(K18+K41+K66,"")</f>
        <v>10.65909090909091</v>
      </c>
      <c r="F25" s="132"/>
      <c r="G25" s="235"/>
      <c r="H25" s="484"/>
      <c r="I25" s="402"/>
      <c r="J25" s="387"/>
      <c r="K25" s="403"/>
      <c r="L25" s="384"/>
      <c r="M25" s="395"/>
      <c r="N25" s="395"/>
      <c r="O25" s="395"/>
      <c r="P25" s="149">
        <f t="shared" si="45"/>
        <v>0</v>
      </c>
      <c r="Q25" s="154"/>
      <c r="R25" s="484"/>
      <c r="S25" s="394"/>
      <c r="T25" s="395"/>
      <c r="U25" s="395"/>
      <c r="V25" s="396"/>
      <c r="W25" s="503" t="str">
        <f t="shared" si="30"/>
        <v>-</v>
      </c>
      <c r="X25" s="503"/>
      <c r="Y25" s="73" t="str">
        <f t="shared" si="31"/>
        <v>-</v>
      </c>
      <c r="AA25" s="489"/>
      <c r="AB25" s="40">
        <f>IF(L25&lt;VLOOKUP($C$5,DANE!$J$3:$N$14,4,FALSE),VLOOKUP($C$5,DANE!$J$3:$N$14,4,FALSE)*M25,L25*M25)</f>
        <v>0</v>
      </c>
      <c r="AC25" s="29"/>
      <c r="AD25" s="40">
        <f t="shared" si="32"/>
        <v>0</v>
      </c>
      <c r="AE25" s="40">
        <f t="shared" si="46"/>
        <v>0</v>
      </c>
      <c r="AF25" s="40">
        <f t="shared" si="33"/>
        <v>0</v>
      </c>
      <c r="AG25" s="40">
        <f t="shared" si="34"/>
        <v>0</v>
      </c>
      <c r="AH25" s="29"/>
      <c r="AI25" s="29"/>
      <c r="AJ25" s="242">
        <f t="shared" si="47"/>
        <v>0</v>
      </c>
      <c r="AK25" s="241"/>
      <c r="AL25" s="489"/>
      <c r="AM25" s="40">
        <f>N25*IF(L25&lt;VLOOKUP($C$5,DANE!$J$3:$N$14,4,FALSE),VLOOKUP($C$5,DANE!$J$3:$N$14,4,FALSE),L25)*$AP$22</f>
        <v>0</v>
      </c>
      <c r="AN25" s="40">
        <f t="shared" si="35"/>
        <v>0</v>
      </c>
      <c r="AO25" s="242">
        <f t="shared" si="48"/>
        <v>0</v>
      </c>
      <c r="AP25" s="227"/>
      <c r="AQ25" s="241"/>
      <c r="AR25" s="489"/>
      <c r="AS25" s="40">
        <f>O25*IF(L25&lt;VLOOKUP($C$5,DANE!$J$3:$N$14,4,FALSE),VLOOKUP($C$5,DANE!$J$3:$N$14,4,FALSE),L25)</f>
        <v>0</v>
      </c>
      <c r="AT25" s="40">
        <f t="shared" si="36"/>
        <v>0</v>
      </c>
      <c r="AU25" s="40">
        <f t="shared" si="37"/>
        <v>0</v>
      </c>
      <c r="AV25" s="242">
        <f t="shared" si="49"/>
        <v>0</v>
      </c>
      <c r="AW25" s="241"/>
      <c r="AX25" s="489"/>
      <c r="AY25" s="40">
        <f>IF(L25&lt;VLOOKUP($C$5,DANE!$J$3:$N$14,4,FALSE),VLOOKUP($C$5,DANE!$J$3:$N$14,4,FALSE)*S25,L25*S25)</f>
        <v>0</v>
      </c>
      <c r="AZ25" s="29"/>
      <c r="BA25" s="40">
        <f t="shared" si="38"/>
        <v>0</v>
      </c>
      <c r="BB25" s="40">
        <f t="shared" si="50"/>
        <v>0</v>
      </c>
      <c r="BC25" s="40">
        <f t="shared" si="39"/>
        <v>0</v>
      </c>
      <c r="BD25" s="40">
        <f t="shared" si="40"/>
        <v>0</v>
      </c>
      <c r="BE25" s="29"/>
      <c r="BF25" s="29"/>
      <c r="BG25" s="242">
        <f t="shared" si="51"/>
        <v>0</v>
      </c>
      <c r="BH25" s="241"/>
      <c r="BI25" s="489"/>
      <c r="BJ25" s="40">
        <f>T25*IF(L25&lt;VLOOKUP($C$5,DANE!$J$3:$N$14,4,FALSE),VLOOKUP($C$5,DANE!$J$3:$N$14,4,FALSE),L25)*$BM$22</f>
        <v>0</v>
      </c>
      <c r="BK25" s="40">
        <f t="shared" si="41"/>
        <v>0</v>
      </c>
      <c r="BL25" s="242">
        <f t="shared" si="52"/>
        <v>0</v>
      </c>
      <c r="BM25" s="227"/>
      <c r="BN25" s="243"/>
      <c r="BO25" s="489"/>
      <c r="BP25" s="40">
        <f>U25*IF(L25&lt;VLOOKUP($C$5,DANE!$J$3:$N$14,4,FALSE),VLOOKUP($C$5,DANE!$J$3:$N$14,4,FALSE),L25)</f>
        <v>0</v>
      </c>
      <c r="BQ25" s="40">
        <f t="shared" si="42"/>
        <v>0</v>
      </c>
      <c r="BR25" s="40">
        <f t="shared" si="43"/>
        <v>0</v>
      </c>
      <c r="BS25" s="242">
        <f t="shared" si="44"/>
        <v>0</v>
      </c>
      <c r="BT25" s="230"/>
    </row>
    <row r="26" spans="1:75" s="219" customFormat="1" ht="18" customHeight="1">
      <c r="A26" s="26"/>
      <c r="G26" s="235"/>
      <c r="H26" s="484"/>
      <c r="I26" s="402"/>
      <c r="J26" s="387"/>
      <c r="K26" s="403"/>
      <c r="L26" s="384"/>
      <c r="M26" s="395"/>
      <c r="N26" s="395"/>
      <c r="O26" s="395"/>
      <c r="P26" s="149">
        <f t="shared" si="45"/>
        <v>0</v>
      </c>
      <c r="Q26" s="156"/>
      <c r="R26" s="484"/>
      <c r="S26" s="394"/>
      <c r="T26" s="395"/>
      <c r="U26" s="395"/>
      <c r="V26" s="396"/>
      <c r="W26" s="503" t="str">
        <f t="shared" si="30"/>
        <v>-</v>
      </c>
      <c r="X26" s="503"/>
      <c r="Y26" s="73" t="str">
        <f t="shared" si="31"/>
        <v>-</v>
      </c>
      <c r="AA26" s="489"/>
      <c r="AB26" s="40">
        <f>IF(L26&lt;VLOOKUP($C$5,DANE!$J$3:$N$14,4,FALSE),VLOOKUP($C$5,DANE!$J$3:$N$14,4,FALSE)*M26,L26*M26)</f>
        <v>0</v>
      </c>
      <c r="AC26" s="29"/>
      <c r="AD26" s="40">
        <f t="shared" si="32"/>
        <v>0</v>
      </c>
      <c r="AE26" s="40">
        <f t="shared" si="46"/>
        <v>0</v>
      </c>
      <c r="AF26" s="40">
        <f t="shared" si="33"/>
        <v>0</v>
      </c>
      <c r="AG26" s="40">
        <f t="shared" si="34"/>
        <v>0</v>
      </c>
      <c r="AH26" s="29"/>
      <c r="AI26" s="29"/>
      <c r="AJ26" s="242">
        <f t="shared" si="47"/>
        <v>0</v>
      </c>
      <c r="AK26" s="241"/>
      <c r="AL26" s="489"/>
      <c r="AM26" s="40">
        <f>N26*IF(L26&lt;VLOOKUP($C$5,DANE!$J$3:$N$14,4,FALSE),VLOOKUP($C$5,DANE!$J$3:$N$14,4,FALSE),L26)*$AP$22</f>
        <v>0</v>
      </c>
      <c r="AN26" s="40">
        <f t="shared" si="35"/>
        <v>0</v>
      </c>
      <c r="AO26" s="242">
        <f t="shared" si="48"/>
        <v>0</v>
      </c>
      <c r="AP26" s="227"/>
      <c r="AQ26" s="241"/>
      <c r="AR26" s="489"/>
      <c r="AS26" s="40">
        <f>O26*IF(L26&lt;VLOOKUP($C$5,DANE!$J$3:$N$14,4,FALSE),VLOOKUP($C$5,DANE!$J$3:$N$14,4,FALSE),L26)</f>
        <v>0</v>
      </c>
      <c r="AT26" s="40">
        <f t="shared" si="36"/>
        <v>0</v>
      </c>
      <c r="AU26" s="40">
        <f t="shared" si="37"/>
        <v>0</v>
      </c>
      <c r="AV26" s="242">
        <f t="shared" si="49"/>
        <v>0</v>
      </c>
      <c r="AW26" s="241"/>
      <c r="AX26" s="489"/>
      <c r="AY26" s="40">
        <f>IF(L26&lt;VLOOKUP($C$5,DANE!$J$3:$N$14,4,FALSE),VLOOKUP($C$5,DANE!$J$3:$N$14,4,FALSE)*S26,L26*S26)</f>
        <v>0</v>
      </c>
      <c r="AZ26" s="29"/>
      <c r="BA26" s="40">
        <f t="shared" si="38"/>
        <v>0</v>
      </c>
      <c r="BB26" s="40">
        <f t="shared" si="50"/>
        <v>0</v>
      </c>
      <c r="BC26" s="40">
        <f t="shared" si="39"/>
        <v>0</v>
      </c>
      <c r="BD26" s="40">
        <f t="shared" si="40"/>
        <v>0</v>
      </c>
      <c r="BE26" s="29"/>
      <c r="BF26" s="29"/>
      <c r="BG26" s="242">
        <f t="shared" si="51"/>
        <v>0</v>
      </c>
      <c r="BH26" s="241"/>
      <c r="BI26" s="489"/>
      <c r="BJ26" s="40">
        <f>T26*IF(L26&lt;VLOOKUP($C$5,DANE!$J$3:$N$14,4,FALSE),VLOOKUP($C$5,DANE!$J$3:$N$14,4,FALSE),L26)*$BM$22</f>
        <v>0</v>
      </c>
      <c r="BK26" s="40">
        <f t="shared" si="41"/>
        <v>0</v>
      </c>
      <c r="BL26" s="242">
        <f t="shared" si="52"/>
        <v>0</v>
      </c>
      <c r="BM26" s="227"/>
      <c r="BN26" s="243"/>
      <c r="BO26" s="489"/>
      <c r="BP26" s="40">
        <f>U26*IF(L26&lt;VLOOKUP($C$5,DANE!$J$3:$N$14,4,FALSE),VLOOKUP($C$5,DANE!$J$3:$N$14,4,FALSE),L26)</f>
        <v>0</v>
      </c>
      <c r="BQ26" s="40">
        <f t="shared" si="42"/>
        <v>0</v>
      </c>
      <c r="BR26" s="40">
        <f t="shared" si="43"/>
        <v>0</v>
      </c>
      <c r="BS26" s="242">
        <f t="shared" si="44"/>
        <v>0</v>
      </c>
      <c r="BT26" s="230"/>
    </row>
    <row r="27" spans="1:75" s="219" customFormat="1" ht="18" customHeight="1">
      <c r="A27" s="26"/>
      <c r="B27" s="281" t="s">
        <v>172</v>
      </c>
      <c r="C27" s="365"/>
      <c r="D27" s="366"/>
      <c r="E27" s="366"/>
      <c r="F27" s="367"/>
      <c r="G27" s="235"/>
      <c r="H27" s="484"/>
      <c r="I27" s="402"/>
      <c r="J27" s="387"/>
      <c r="K27" s="404"/>
      <c r="L27" s="384"/>
      <c r="M27" s="395"/>
      <c r="N27" s="395"/>
      <c r="O27" s="395"/>
      <c r="P27" s="149">
        <f t="shared" si="45"/>
        <v>0</v>
      </c>
      <c r="Q27" s="156"/>
      <c r="R27" s="484"/>
      <c r="S27" s="394"/>
      <c r="T27" s="395"/>
      <c r="U27" s="395"/>
      <c r="V27" s="396"/>
      <c r="W27" s="503" t="str">
        <f t="shared" si="30"/>
        <v>-</v>
      </c>
      <c r="X27" s="503"/>
      <c r="Y27" s="73" t="str">
        <f t="shared" si="31"/>
        <v>-</v>
      </c>
      <c r="AA27" s="489"/>
      <c r="AB27" s="40">
        <f>IF(L27&lt;VLOOKUP($C$5,DANE!$J$3:$N$14,4,FALSE),VLOOKUP($C$5,DANE!$J$3:$N$14,4,FALSE)*M27,L27*M27)</f>
        <v>0</v>
      </c>
      <c r="AC27" s="29"/>
      <c r="AD27" s="40">
        <f t="shared" si="32"/>
        <v>0</v>
      </c>
      <c r="AE27" s="40">
        <f t="shared" si="46"/>
        <v>0</v>
      </c>
      <c r="AF27" s="40">
        <f t="shared" si="33"/>
        <v>0</v>
      </c>
      <c r="AG27" s="40">
        <f t="shared" si="34"/>
        <v>0</v>
      </c>
      <c r="AH27" s="29"/>
      <c r="AI27" s="29"/>
      <c r="AJ27" s="242">
        <f t="shared" ref="AJ27" si="53">SUM(AB27:AG27)</f>
        <v>0</v>
      </c>
      <c r="AK27" s="241"/>
      <c r="AL27" s="489"/>
      <c r="AM27" s="40">
        <f>N27*IF(L27&lt;VLOOKUP($C$5,DANE!$J$3:$N$14,4,FALSE),VLOOKUP($C$5,DANE!$J$3:$N$14,4,FALSE),L27)*$AP$22</f>
        <v>0</v>
      </c>
      <c r="AN27" s="40">
        <f t="shared" si="35"/>
        <v>0</v>
      </c>
      <c r="AO27" s="242">
        <f t="shared" ref="AO27" si="54">SUM(AM27:AN27)</f>
        <v>0</v>
      </c>
      <c r="AP27" s="227"/>
      <c r="AQ27" s="241"/>
      <c r="AR27" s="489"/>
      <c r="AS27" s="40">
        <f>O27*IF(L27&lt;VLOOKUP($C$5,DANE!$J$3:$N$14,4,FALSE),VLOOKUP($C$5,DANE!$J$3:$N$14,4,FALSE),L27)</f>
        <v>0</v>
      </c>
      <c r="AT27" s="40">
        <f t="shared" si="36"/>
        <v>0</v>
      </c>
      <c r="AU27" s="40">
        <f t="shared" si="37"/>
        <v>0</v>
      </c>
      <c r="AV27" s="242">
        <f t="shared" ref="AV27" si="55">SUM(AS27:AT27)</f>
        <v>0</v>
      </c>
      <c r="AW27" s="241"/>
      <c r="AX27" s="489"/>
      <c r="AY27" s="40">
        <f>IF(L27&lt;VLOOKUP($C$5,DANE!$J$3:$N$14,4,FALSE),VLOOKUP($C$5,DANE!$J$3:$N$14,4,FALSE)*S27,L27*S27)</f>
        <v>0</v>
      </c>
      <c r="AZ27" s="29"/>
      <c r="BA27" s="40">
        <f t="shared" si="38"/>
        <v>0</v>
      </c>
      <c r="BB27" s="40">
        <f t="shared" si="50"/>
        <v>0</v>
      </c>
      <c r="BC27" s="40">
        <f t="shared" si="39"/>
        <v>0</v>
      </c>
      <c r="BD27" s="40">
        <f t="shared" si="40"/>
        <v>0</v>
      </c>
      <c r="BE27" s="29"/>
      <c r="BF27" s="29"/>
      <c r="BG27" s="242">
        <f t="shared" ref="BG27" si="56">SUM(AY27:BD27)</f>
        <v>0</v>
      </c>
      <c r="BH27" s="241"/>
      <c r="BI27" s="489"/>
      <c r="BJ27" s="40">
        <f>T27*IF(L27&lt;VLOOKUP($C$5,DANE!$J$3:$N$14,4,FALSE),VLOOKUP($C$5,DANE!$J$3:$N$14,4,FALSE),L27)*$BM$22</f>
        <v>0</v>
      </c>
      <c r="BK27" s="40">
        <f t="shared" si="41"/>
        <v>0</v>
      </c>
      <c r="BL27" s="242">
        <f t="shared" ref="BL27" si="57">SUM(BJ27:BK27)</f>
        <v>0</v>
      </c>
      <c r="BM27" s="227"/>
      <c r="BN27" s="205"/>
      <c r="BO27" s="489"/>
      <c r="BP27" s="40">
        <f>U27*IF(L27&lt;VLOOKUP($C$5,DANE!$J$3:$N$14,4,FALSE),VLOOKUP($C$5,DANE!$J$3:$N$14,4,FALSE),L27)</f>
        <v>0</v>
      </c>
      <c r="BQ27" s="40">
        <f t="shared" si="42"/>
        <v>0</v>
      </c>
      <c r="BR27" s="40">
        <f t="shared" si="43"/>
        <v>0</v>
      </c>
      <c r="BS27" s="242">
        <f t="shared" ref="BS27" si="58">SUM(BP27:BQ27)</f>
        <v>0</v>
      </c>
      <c r="BT27" s="230"/>
    </row>
    <row r="28" spans="1:75" s="219" customFormat="1" ht="18" customHeight="1">
      <c r="A28" s="26"/>
      <c r="B28" s="282" t="s">
        <v>173</v>
      </c>
      <c r="C28" s="121">
        <f>O18+O41</f>
        <v>18</v>
      </c>
      <c r="D28" s="368"/>
      <c r="E28" s="122">
        <f>U18+U41</f>
        <v>18</v>
      </c>
      <c r="F28" s="369"/>
      <c r="G28" s="235"/>
      <c r="H28" s="484"/>
      <c r="I28" s="402"/>
      <c r="J28" s="387"/>
      <c r="K28" s="404"/>
      <c r="L28" s="384"/>
      <c r="M28" s="395"/>
      <c r="N28" s="395"/>
      <c r="O28" s="395"/>
      <c r="P28" s="149">
        <f t="shared" si="45"/>
        <v>0</v>
      </c>
      <c r="Q28" s="156"/>
      <c r="R28" s="484"/>
      <c r="S28" s="394"/>
      <c r="T28" s="395"/>
      <c r="U28" s="395"/>
      <c r="V28" s="396"/>
      <c r="W28" s="503" t="str">
        <f t="shared" si="30"/>
        <v>-</v>
      </c>
      <c r="X28" s="503"/>
      <c r="Y28" s="73" t="str">
        <f t="shared" si="31"/>
        <v>-</v>
      </c>
      <c r="AA28" s="489"/>
      <c r="AB28" s="40">
        <f>IF(L28&lt;VLOOKUP($C$5,DANE!$J$3:$N$14,4,FALSE),VLOOKUP($C$5,DANE!$J$3:$N$14,4,FALSE)*M28,L28*M28)</f>
        <v>0</v>
      </c>
      <c r="AC28" s="29"/>
      <c r="AD28" s="40">
        <f t="shared" si="32"/>
        <v>0</v>
      </c>
      <c r="AE28" s="40">
        <f t="shared" si="46"/>
        <v>0</v>
      </c>
      <c r="AF28" s="40">
        <f t="shared" si="33"/>
        <v>0</v>
      </c>
      <c r="AG28" s="40">
        <f t="shared" si="34"/>
        <v>0</v>
      </c>
      <c r="AH28" s="29"/>
      <c r="AI28" s="29"/>
      <c r="AJ28" s="242">
        <f t="shared" si="47"/>
        <v>0</v>
      </c>
      <c r="AK28" s="241"/>
      <c r="AL28" s="489"/>
      <c r="AM28" s="40">
        <f>N28*IF(L28&lt;VLOOKUP($C$5,DANE!$J$3:$N$14,4,FALSE),VLOOKUP($C$5,DANE!$J$3:$N$14,4,FALSE),L28)*$AP$22</f>
        <v>0</v>
      </c>
      <c r="AN28" s="40">
        <f t="shared" si="35"/>
        <v>0</v>
      </c>
      <c r="AO28" s="242">
        <f t="shared" si="48"/>
        <v>0</v>
      </c>
      <c r="AP28" s="227"/>
      <c r="AQ28" s="241"/>
      <c r="AR28" s="489"/>
      <c r="AS28" s="40">
        <f>O28*IF(L28&lt;VLOOKUP($C$5,DANE!$J$3:$N$14,4,FALSE),VLOOKUP($C$5,DANE!$J$3:$N$14,4,FALSE),L28)</f>
        <v>0</v>
      </c>
      <c r="AT28" s="40">
        <f t="shared" si="36"/>
        <v>0</v>
      </c>
      <c r="AU28" s="40">
        <f t="shared" si="37"/>
        <v>0</v>
      </c>
      <c r="AV28" s="242">
        <f t="shared" si="49"/>
        <v>0</v>
      </c>
      <c r="AW28" s="241"/>
      <c r="AX28" s="489"/>
      <c r="AY28" s="40">
        <f>IF(L28&lt;VLOOKUP($C$5,DANE!$J$3:$N$14,4,FALSE),VLOOKUP($C$5,DANE!$J$3:$N$14,4,FALSE)*S28,L28*S28)</f>
        <v>0</v>
      </c>
      <c r="AZ28" s="29"/>
      <c r="BA28" s="40">
        <f t="shared" si="38"/>
        <v>0</v>
      </c>
      <c r="BB28" s="40">
        <f t="shared" si="50"/>
        <v>0</v>
      </c>
      <c r="BC28" s="40">
        <f t="shared" si="39"/>
        <v>0</v>
      </c>
      <c r="BD28" s="40">
        <f t="shared" si="40"/>
        <v>0</v>
      </c>
      <c r="BE28" s="29"/>
      <c r="BF28" s="29"/>
      <c r="BG28" s="242">
        <f t="shared" si="51"/>
        <v>0</v>
      </c>
      <c r="BH28" s="241"/>
      <c r="BI28" s="489"/>
      <c r="BJ28" s="40">
        <f>T28*IF(L28&lt;VLOOKUP($C$5,DANE!$J$3:$N$14,4,FALSE),VLOOKUP($C$5,DANE!$J$3:$N$14,4,FALSE),L28)*$BM$22</f>
        <v>0</v>
      </c>
      <c r="BK28" s="40">
        <f t="shared" si="41"/>
        <v>0</v>
      </c>
      <c r="BL28" s="242">
        <f t="shared" si="52"/>
        <v>0</v>
      </c>
      <c r="BM28" s="227"/>
      <c r="BN28" s="205"/>
      <c r="BO28" s="489"/>
      <c r="BP28" s="40">
        <f>U28*IF(L28&lt;VLOOKUP($C$5,DANE!$J$3:$N$14,4,FALSE),VLOOKUP($C$5,DANE!$J$3:$N$14,4,FALSE),L28)</f>
        <v>0</v>
      </c>
      <c r="BQ28" s="40">
        <f t="shared" si="42"/>
        <v>0</v>
      </c>
      <c r="BR28" s="40">
        <f t="shared" si="43"/>
        <v>0</v>
      </c>
      <c r="BS28" s="242">
        <f t="shared" si="44"/>
        <v>0</v>
      </c>
      <c r="BT28" s="230"/>
    </row>
    <row r="29" spans="1:75" s="219" customFormat="1" ht="18" customHeight="1">
      <c r="A29" s="26"/>
      <c r="B29" s="282" t="s">
        <v>174</v>
      </c>
      <c r="C29" s="121">
        <f>N18+N41</f>
        <v>0</v>
      </c>
      <c r="D29" s="128"/>
      <c r="E29" s="121">
        <f>T18+T41</f>
        <v>4</v>
      </c>
      <c r="F29" s="369"/>
      <c r="G29" s="235"/>
      <c r="H29" s="484"/>
      <c r="I29" s="402"/>
      <c r="J29" s="387"/>
      <c r="K29" s="404"/>
      <c r="L29" s="384"/>
      <c r="M29" s="395"/>
      <c r="N29" s="395"/>
      <c r="O29" s="395"/>
      <c r="P29" s="149">
        <f t="shared" si="45"/>
        <v>0</v>
      </c>
      <c r="Q29" s="156"/>
      <c r="R29" s="484"/>
      <c r="S29" s="394"/>
      <c r="T29" s="395"/>
      <c r="U29" s="395"/>
      <c r="V29" s="396"/>
      <c r="W29" s="503" t="str">
        <f t="shared" si="30"/>
        <v>-</v>
      </c>
      <c r="X29" s="503"/>
      <c r="Y29" s="73" t="str">
        <f t="shared" si="31"/>
        <v>-</v>
      </c>
      <c r="AA29" s="489"/>
      <c r="AB29" s="40">
        <f>IF(L29&lt;VLOOKUP($C$5,DANE!$J$3:$N$14,4,FALSE),VLOOKUP($C$5,DANE!$J$3:$N$14,4,FALSE)*M29,L29*M29)</f>
        <v>0</v>
      </c>
      <c r="AC29" s="29"/>
      <c r="AD29" s="40">
        <f t="shared" si="32"/>
        <v>0</v>
      </c>
      <c r="AE29" s="40">
        <f t="shared" si="46"/>
        <v>0</v>
      </c>
      <c r="AF29" s="40">
        <f t="shared" si="33"/>
        <v>0</v>
      </c>
      <c r="AG29" s="40">
        <f t="shared" si="34"/>
        <v>0</v>
      </c>
      <c r="AH29" s="29"/>
      <c r="AI29" s="29"/>
      <c r="AJ29" s="242">
        <f t="shared" si="47"/>
        <v>0</v>
      </c>
      <c r="AK29" s="241"/>
      <c r="AL29" s="489"/>
      <c r="AM29" s="40">
        <f>N29*IF(L29&lt;VLOOKUP($C$5,DANE!$J$3:$N$14,4,FALSE),VLOOKUP($C$5,DANE!$J$3:$N$14,4,FALSE),L29)*$AP$22</f>
        <v>0</v>
      </c>
      <c r="AN29" s="40">
        <f t="shared" si="35"/>
        <v>0</v>
      </c>
      <c r="AO29" s="242">
        <f t="shared" si="48"/>
        <v>0</v>
      </c>
      <c r="AP29" s="227"/>
      <c r="AQ29" s="241"/>
      <c r="AR29" s="489"/>
      <c r="AS29" s="40">
        <f>O29*IF(L29&lt;VLOOKUP($C$5,DANE!$J$3:$N$14,4,FALSE),VLOOKUP($C$5,DANE!$J$3:$N$14,4,FALSE),L29)</f>
        <v>0</v>
      </c>
      <c r="AT29" s="40">
        <f t="shared" si="36"/>
        <v>0</v>
      </c>
      <c r="AU29" s="40">
        <f t="shared" si="37"/>
        <v>0</v>
      </c>
      <c r="AV29" s="242">
        <f t="shared" si="49"/>
        <v>0</v>
      </c>
      <c r="AW29" s="241"/>
      <c r="AX29" s="489"/>
      <c r="AY29" s="40">
        <f>IF(L29&lt;VLOOKUP($C$5,DANE!$J$3:$N$14,4,FALSE),VLOOKUP($C$5,DANE!$J$3:$N$14,4,FALSE)*S29,L29*S29)</f>
        <v>0</v>
      </c>
      <c r="AZ29" s="29"/>
      <c r="BA29" s="40">
        <f t="shared" si="38"/>
        <v>0</v>
      </c>
      <c r="BB29" s="40">
        <f t="shared" si="50"/>
        <v>0</v>
      </c>
      <c r="BC29" s="40">
        <f t="shared" si="39"/>
        <v>0</v>
      </c>
      <c r="BD29" s="40">
        <f t="shared" si="40"/>
        <v>0</v>
      </c>
      <c r="BE29" s="29"/>
      <c r="BF29" s="29"/>
      <c r="BG29" s="242">
        <f t="shared" si="51"/>
        <v>0</v>
      </c>
      <c r="BH29" s="241"/>
      <c r="BI29" s="489"/>
      <c r="BJ29" s="40">
        <f>T29*IF(L29&lt;VLOOKUP($C$5,DANE!$J$3:$N$14,4,FALSE),VLOOKUP($C$5,DANE!$J$3:$N$14,4,FALSE),L29)*$BM$22</f>
        <v>0</v>
      </c>
      <c r="BK29" s="40">
        <f t="shared" si="41"/>
        <v>0</v>
      </c>
      <c r="BL29" s="242">
        <f t="shared" si="52"/>
        <v>0</v>
      </c>
      <c r="BM29" s="227"/>
      <c r="BN29" s="205"/>
      <c r="BO29" s="489"/>
      <c r="BP29" s="40">
        <f>U29*IF(L29&lt;VLOOKUP($C$5,DANE!$J$3:$N$14,4,FALSE),VLOOKUP($C$5,DANE!$J$3:$N$14,4,FALSE),L29)</f>
        <v>0</v>
      </c>
      <c r="BQ29" s="40">
        <f t="shared" si="42"/>
        <v>0</v>
      </c>
      <c r="BR29" s="40">
        <f t="shared" si="43"/>
        <v>0</v>
      </c>
      <c r="BS29" s="242">
        <f t="shared" si="44"/>
        <v>0</v>
      </c>
      <c r="BT29" s="230"/>
    </row>
    <row r="30" spans="1:75" s="219" customFormat="1" ht="18" customHeight="1">
      <c r="A30" s="26"/>
      <c r="B30" s="283" t="s">
        <v>175</v>
      </c>
      <c r="C30" s="371">
        <v>75</v>
      </c>
      <c r="D30" s="372"/>
      <c r="E30" s="373"/>
      <c r="F30" s="370"/>
      <c r="G30" s="235"/>
      <c r="H30" s="484"/>
      <c r="I30" s="402"/>
      <c r="J30" s="387"/>
      <c r="K30" s="404"/>
      <c r="L30" s="384"/>
      <c r="M30" s="395"/>
      <c r="N30" s="395"/>
      <c r="O30" s="395"/>
      <c r="P30" s="149">
        <f t="shared" si="45"/>
        <v>0</v>
      </c>
      <c r="Q30" s="156"/>
      <c r="R30" s="484"/>
      <c r="S30" s="394"/>
      <c r="T30" s="395"/>
      <c r="U30" s="395"/>
      <c r="V30" s="396"/>
      <c r="W30" s="503" t="str">
        <f t="shared" si="30"/>
        <v>-</v>
      </c>
      <c r="X30" s="503"/>
      <c r="Y30" s="73" t="str">
        <f t="shared" si="31"/>
        <v>-</v>
      </c>
      <c r="AA30" s="489"/>
      <c r="AB30" s="40">
        <f>IF(L30&lt;VLOOKUP($C$5,DANE!$J$3:$N$14,4,FALSE),VLOOKUP($C$5,DANE!$J$3:$N$14,4,FALSE)*M30,L30*M30)</f>
        <v>0</v>
      </c>
      <c r="AC30" s="29"/>
      <c r="AD30" s="40">
        <f t="shared" si="32"/>
        <v>0</v>
      </c>
      <c r="AE30" s="40">
        <f t="shared" si="46"/>
        <v>0</v>
      </c>
      <c r="AF30" s="40">
        <f t="shared" si="33"/>
        <v>0</v>
      </c>
      <c r="AG30" s="40">
        <f t="shared" si="34"/>
        <v>0</v>
      </c>
      <c r="AH30" s="29"/>
      <c r="AI30" s="29"/>
      <c r="AJ30" s="242">
        <f t="shared" si="47"/>
        <v>0</v>
      </c>
      <c r="AK30" s="241"/>
      <c r="AL30" s="489"/>
      <c r="AM30" s="40">
        <f>N30*IF(L30&lt;VLOOKUP($C$5,DANE!$J$3:$N$14,4,FALSE),VLOOKUP($C$5,DANE!$J$3:$N$14,4,FALSE),L30)*$AP$22</f>
        <v>0</v>
      </c>
      <c r="AN30" s="40">
        <f t="shared" si="35"/>
        <v>0</v>
      </c>
      <c r="AO30" s="242">
        <f t="shared" si="48"/>
        <v>0</v>
      </c>
      <c r="AP30" s="227"/>
      <c r="AQ30" s="241"/>
      <c r="AR30" s="489"/>
      <c r="AS30" s="40">
        <f>O30*IF(L30&lt;VLOOKUP($C$5,DANE!$J$3:$N$14,4,FALSE),VLOOKUP($C$5,DANE!$J$3:$N$14,4,FALSE),L30)</f>
        <v>0</v>
      </c>
      <c r="AT30" s="40">
        <f t="shared" si="36"/>
        <v>0</v>
      </c>
      <c r="AU30" s="40">
        <f t="shared" si="37"/>
        <v>0</v>
      </c>
      <c r="AV30" s="242">
        <f t="shared" si="49"/>
        <v>0</v>
      </c>
      <c r="AW30" s="241"/>
      <c r="AX30" s="489"/>
      <c r="AY30" s="40">
        <f>IF(L30&lt;VLOOKUP($C$5,DANE!$J$3:$N$14,4,FALSE),VLOOKUP($C$5,DANE!$J$3:$N$14,4,FALSE)*S30,L30*S30)</f>
        <v>0</v>
      </c>
      <c r="AZ30" s="29"/>
      <c r="BA30" s="40">
        <f t="shared" si="38"/>
        <v>0</v>
      </c>
      <c r="BB30" s="40">
        <f t="shared" si="50"/>
        <v>0</v>
      </c>
      <c r="BC30" s="40">
        <f t="shared" si="39"/>
        <v>0</v>
      </c>
      <c r="BD30" s="40">
        <f t="shared" si="40"/>
        <v>0</v>
      </c>
      <c r="BE30" s="29"/>
      <c r="BF30" s="29"/>
      <c r="BG30" s="242">
        <f t="shared" si="51"/>
        <v>0</v>
      </c>
      <c r="BH30" s="241"/>
      <c r="BI30" s="489"/>
      <c r="BJ30" s="40">
        <f>T30*IF(L30&lt;VLOOKUP($C$5,DANE!$J$3:$N$14,4,FALSE),VLOOKUP($C$5,DANE!$J$3:$N$14,4,FALSE),L30)*$BM$22</f>
        <v>0</v>
      </c>
      <c r="BK30" s="40">
        <f t="shared" si="41"/>
        <v>0</v>
      </c>
      <c r="BL30" s="242">
        <f t="shared" si="52"/>
        <v>0</v>
      </c>
      <c r="BM30" s="227"/>
      <c r="BN30" s="205"/>
      <c r="BO30" s="489"/>
      <c r="BP30" s="40">
        <f>U30*IF(L30&lt;VLOOKUP($C$5,DANE!$J$3:$N$14,4,FALSE),VLOOKUP($C$5,DANE!$J$3:$N$14,4,FALSE),L30)</f>
        <v>0</v>
      </c>
      <c r="BQ30" s="40">
        <f t="shared" si="42"/>
        <v>0</v>
      </c>
      <c r="BR30" s="40">
        <f t="shared" si="43"/>
        <v>0</v>
      </c>
      <c r="BS30" s="242">
        <f t="shared" si="44"/>
        <v>0</v>
      </c>
      <c r="BT30" s="230"/>
    </row>
    <row r="31" spans="1:75" s="219" customFormat="1" ht="18" customHeight="1">
      <c r="A31" s="26"/>
      <c r="G31" s="235"/>
      <c r="H31" s="484"/>
      <c r="I31" s="402"/>
      <c r="J31" s="387"/>
      <c r="K31" s="404"/>
      <c r="L31" s="384"/>
      <c r="M31" s="395"/>
      <c r="N31" s="395"/>
      <c r="O31" s="395"/>
      <c r="P31" s="149">
        <f t="shared" si="45"/>
        <v>0</v>
      </c>
      <c r="Q31" s="156"/>
      <c r="R31" s="484"/>
      <c r="S31" s="394"/>
      <c r="T31" s="395"/>
      <c r="U31" s="395"/>
      <c r="V31" s="396"/>
      <c r="W31" s="503" t="str">
        <f t="shared" si="30"/>
        <v>-</v>
      </c>
      <c r="X31" s="503"/>
      <c r="Y31" s="73" t="str">
        <f t="shared" si="31"/>
        <v>-</v>
      </c>
      <c r="AA31" s="489"/>
      <c r="AB31" s="40">
        <f>IF(L31&lt;VLOOKUP($C$5,DANE!$J$3:$N$14,4,FALSE),VLOOKUP($C$5,DANE!$J$3:$N$14,4,FALSE)*M31,L31*M31)</f>
        <v>0</v>
      </c>
      <c r="AC31" s="29"/>
      <c r="AD31" s="40">
        <f t="shared" si="32"/>
        <v>0</v>
      </c>
      <c r="AE31" s="40">
        <f t="shared" si="46"/>
        <v>0</v>
      </c>
      <c r="AF31" s="40">
        <f t="shared" si="33"/>
        <v>0</v>
      </c>
      <c r="AG31" s="40">
        <f t="shared" si="34"/>
        <v>0</v>
      </c>
      <c r="AH31" s="29"/>
      <c r="AI31" s="29"/>
      <c r="AJ31" s="242">
        <f t="shared" si="47"/>
        <v>0</v>
      </c>
      <c r="AK31" s="241"/>
      <c r="AL31" s="489"/>
      <c r="AM31" s="40">
        <f>N31*IF(L31&lt;VLOOKUP($C$5,DANE!$J$3:$N$14,4,FALSE),VLOOKUP($C$5,DANE!$J$3:$N$14,4,FALSE),L31)*$AP$22</f>
        <v>0</v>
      </c>
      <c r="AN31" s="40">
        <f t="shared" si="35"/>
        <v>0</v>
      </c>
      <c r="AO31" s="242">
        <f t="shared" si="48"/>
        <v>0</v>
      </c>
      <c r="AP31" s="227"/>
      <c r="AQ31" s="241"/>
      <c r="AR31" s="489"/>
      <c r="AS31" s="40">
        <f>O31*IF(L31&lt;VLOOKUP($C$5,DANE!$J$3:$N$14,4,FALSE),VLOOKUP($C$5,DANE!$J$3:$N$14,4,FALSE),L31)</f>
        <v>0</v>
      </c>
      <c r="AT31" s="40">
        <f t="shared" si="36"/>
        <v>0</v>
      </c>
      <c r="AU31" s="40">
        <f t="shared" si="37"/>
        <v>0</v>
      </c>
      <c r="AV31" s="242">
        <f t="shared" si="49"/>
        <v>0</v>
      </c>
      <c r="AW31" s="241"/>
      <c r="AX31" s="489"/>
      <c r="AY31" s="40">
        <f>IF(L31&lt;VLOOKUP($C$5,DANE!$J$3:$N$14,4,FALSE),VLOOKUP($C$5,DANE!$J$3:$N$14,4,FALSE)*S31,L31*S31)</f>
        <v>0</v>
      </c>
      <c r="AZ31" s="29"/>
      <c r="BA31" s="40">
        <f t="shared" si="38"/>
        <v>0</v>
      </c>
      <c r="BB31" s="40">
        <f t="shared" si="50"/>
        <v>0</v>
      </c>
      <c r="BC31" s="40">
        <f t="shared" si="39"/>
        <v>0</v>
      </c>
      <c r="BD31" s="40">
        <f t="shared" si="40"/>
        <v>0</v>
      </c>
      <c r="BE31" s="29"/>
      <c r="BF31" s="29"/>
      <c r="BG31" s="242">
        <f t="shared" si="51"/>
        <v>0</v>
      </c>
      <c r="BH31" s="241"/>
      <c r="BI31" s="489"/>
      <c r="BJ31" s="40">
        <f>T31*IF(L31&lt;VLOOKUP($C$5,DANE!$J$3:$N$14,4,FALSE),VLOOKUP($C$5,DANE!$J$3:$N$14,4,FALSE),L31)*$BM$22</f>
        <v>0</v>
      </c>
      <c r="BK31" s="40">
        <f t="shared" si="41"/>
        <v>0</v>
      </c>
      <c r="BL31" s="242">
        <f t="shared" si="52"/>
        <v>0</v>
      </c>
      <c r="BM31" s="227"/>
      <c r="BN31" s="205"/>
      <c r="BO31" s="489"/>
      <c r="BP31" s="40">
        <f>U31*IF(L31&lt;VLOOKUP($C$5,DANE!$J$3:$N$14,4,FALSE),VLOOKUP($C$5,DANE!$J$3:$N$14,4,FALSE),L31)</f>
        <v>0</v>
      </c>
      <c r="BQ31" s="40">
        <f t="shared" si="42"/>
        <v>0</v>
      </c>
      <c r="BR31" s="40">
        <f t="shared" si="43"/>
        <v>0</v>
      </c>
      <c r="BS31" s="242">
        <f t="shared" si="44"/>
        <v>0</v>
      </c>
      <c r="BT31" s="230"/>
    </row>
    <row r="32" spans="1:75" s="219" customFormat="1" ht="18" customHeight="1">
      <c r="A32" s="26"/>
      <c r="B32" s="284" t="s">
        <v>176</v>
      </c>
      <c r="C32" s="374" t="s">
        <v>177</v>
      </c>
      <c r="D32" s="274"/>
      <c r="E32" s="274"/>
      <c r="F32" s="275"/>
      <c r="G32" s="235"/>
      <c r="H32" s="484"/>
      <c r="I32" s="402"/>
      <c r="J32" s="387"/>
      <c r="K32" s="404"/>
      <c r="L32" s="384"/>
      <c r="M32" s="395"/>
      <c r="N32" s="395"/>
      <c r="O32" s="395"/>
      <c r="P32" s="149">
        <f t="shared" si="45"/>
        <v>0</v>
      </c>
      <c r="Q32" s="156"/>
      <c r="R32" s="484"/>
      <c r="S32" s="394"/>
      <c r="T32" s="395"/>
      <c r="U32" s="395"/>
      <c r="V32" s="396"/>
      <c r="W32" s="503" t="str">
        <f t="shared" si="30"/>
        <v>-</v>
      </c>
      <c r="X32" s="503"/>
      <c r="Y32" s="73" t="str">
        <f t="shared" si="31"/>
        <v>-</v>
      </c>
      <c r="AA32" s="489"/>
      <c r="AB32" s="40">
        <f>IF(L32&lt;VLOOKUP($C$5,DANE!$J$3:$N$14,4,FALSE),VLOOKUP($C$5,DANE!$J$3:$N$14,4,FALSE)*M32,L32*M32)</f>
        <v>0</v>
      </c>
      <c r="AC32" s="29"/>
      <c r="AD32" s="40">
        <f t="shared" si="32"/>
        <v>0</v>
      </c>
      <c r="AE32" s="40">
        <f t="shared" si="46"/>
        <v>0</v>
      </c>
      <c r="AF32" s="40">
        <f t="shared" si="33"/>
        <v>0</v>
      </c>
      <c r="AG32" s="40">
        <f t="shared" si="34"/>
        <v>0</v>
      </c>
      <c r="AH32" s="29"/>
      <c r="AI32" s="29"/>
      <c r="AJ32" s="242">
        <f t="shared" si="47"/>
        <v>0</v>
      </c>
      <c r="AK32" s="241"/>
      <c r="AL32" s="489"/>
      <c r="AM32" s="40">
        <f>N32*IF(L32&lt;VLOOKUP($C$5,DANE!$J$3:$N$14,4,FALSE),VLOOKUP($C$5,DANE!$J$3:$N$14,4,FALSE),L32)*$AP$22</f>
        <v>0</v>
      </c>
      <c r="AN32" s="40">
        <f t="shared" si="35"/>
        <v>0</v>
      </c>
      <c r="AO32" s="242">
        <f t="shared" si="48"/>
        <v>0</v>
      </c>
      <c r="AP32" s="227"/>
      <c r="AQ32" s="241"/>
      <c r="AR32" s="489"/>
      <c r="AS32" s="40">
        <f>O32*IF(L32&lt;VLOOKUP($C$5,DANE!$J$3:$N$14,4,FALSE),VLOOKUP($C$5,DANE!$J$3:$N$14,4,FALSE),L32)</f>
        <v>0</v>
      </c>
      <c r="AT32" s="40">
        <f t="shared" si="36"/>
        <v>0</v>
      </c>
      <c r="AU32" s="40">
        <f t="shared" si="37"/>
        <v>0</v>
      </c>
      <c r="AV32" s="242">
        <f t="shared" si="49"/>
        <v>0</v>
      </c>
      <c r="AW32" s="241"/>
      <c r="AX32" s="489"/>
      <c r="AY32" s="40">
        <f>IF(L32&lt;VLOOKUP($C$5,DANE!$J$3:$N$14,4,FALSE),VLOOKUP($C$5,DANE!$J$3:$N$14,4,FALSE)*S32,L32*S32)</f>
        <v>0</v>
      </c>
      <c r="AZ32" s="29"/>
      <c r="BA32" s="40">
        <f t="shared" si="38"/>
        <v>0</v>
      </c>
      <c r="BB32" s="40">
        <f t="shared" si="50"/>
        <v>0</v>
      </c>
      <c r="BC32" s="40">
        <f t="shared" si="39"/>
        <v>0</v>
      </c>
      <c r="BD32" s="40">
        <f t="shared" si="40"/>
        <v>0</v>
      </c>
      <c r="BE32" s="29"/>
      <c r="BF32" s="29"/>
      <c r="BG32" s="242">
        <f t="shared" si="51"/>
        <v>0</v>
      </c>
      <c r="BH32" s="241"/>
      <c r="BI32" s="489"/>
      <c r="BJ32" s="40">
        <f>T32*IF(L32&lt;VLOOKUP($C$5,DANE!$J$3:$N$14,4,FALSE),VLOOKUP($C$5,DANE!$J$3:$N$14,4,FALSE),L32)*$BM$22</f>
        <v>0</v>
      </c>
      <c r="BK32" s="40">
        <f t="shared" si="41"/>
        <v>0</v>
      </c>
      <c r="BL32" s="242">
        <f t="shared" si="52"/>
        <v>0</v>
      </c>
      <c r="BM32" s="227"/>
      <c r="BN32" s="205"/>
      <c r="BO32" s="489"/>
      <c r="BP32" s="40">
        <f>U32*IF(L32&lt;VLOOKUP($C$5,DANE!$J$3:$N$14,4,FALSE),VLOOKUP($C$5,DANE!$J$3:$N$14,4,FALSE),L32)</f>
        <v>0</v>
      </c>
      <c r="BQ32" s="40">
        <f t="shared" si="42"/>
        <v>0</v>
      </c>
      <c r="BR32" s="40">
        <f t="shared" si="43"/>
        <v>0</v>
      </c>
      <c r="BS32" s="242">
        <f t="shared" si="44"/>
        <v>0</v>
      </c>
      <c r="BT32" s="230"/>
    </row>
    <row r="33" spans="1:77" s="219" customFormat="1" ht="18" customHeight="1">
      <c r="A33" s="26"/>
      <c r="B33" s="556" t="s">
        <v>178</v>
      </c>
      <c r="C33" s="593" t="str">
        <f>IFERROR(($C$11/$C$7)/(($C$11/$C$7)/((($C$11/$C$7)/$C$13)*DANE!$R$2+DANE!$S$2)),"")</f>
        <v/>
      </c>
      <c r="D33" s="596">
        <f>IFERROR(HLOOKUP($C$5,'TPLH PLAN'!$B$1:$M$2,2,FALSE),"")</f>
        <v>0</v>
      </c>
      <c r="E33" s="602">
        <f>IFERROR(E11/E36,"")</f>
        <v>5.6609279252990952</v>
      </c>
      <c r="F33" s="600" t="str">
        <f>IFERROR(F11/F36,"")</f>
        <v/>
      </c>
      <c r="G33" s="235"/>
      <c r="H33" s="484"/>
      <c r="I33" s="402"/>
      <c r="J33" s="387"/>
      <c r="K33" s="404"/>
      <c r="L33" s="384"/>
      <c r="M33" s="395"/>
      <c r="N33" s="395"/>
      <c r="O33" s="395"/>
      <c r="P33" s="149">
        <f t="shared" si="45"/>
        <v>0</v>
      </c>
      <c r="Q33" s="156"/>
      <c r="R33" s="484"/>
      <c r="S33" s="394"/>
      <c r="T33" s="395"/>
      <c r="U33" s="395"/>
      <c r="V33" s="396"/>
      <c r="W33" s="503" t="str">
        <f t="shared" si="30"/>
        <v>-</v>
      </c>
      <c r="X33" s="503"/>
      <c r="Y33" s="73" t="str">
        <f t="shared" si="31"/>
        <v>-</v>
      </c>
      <c r="AA33" s="489"/>
      <c r="AB33" s="40">
        <f>IF(L33&lt;VLOOKUP($C$5,DANE!$J$3:$N$14,4,FALSE),VLOOKUP($C$5,DANE!$J$3:$N$14,4,FALSE)*M33,L33*M33)</f>
        <v>0</v>
      </c>
      <c r="AC33" s="29"/>
      <c r="AD33" s="40">
        <f t="shared" si="32"/>
        <v>0</v>
      </c>
      <c r="AE33" s="40">
        <f t="shared" si="46"/>
        <v>0</v>
      </c>
      <c r="AF33" s="40">
        <f t="shared" si="33"/>
        <v>0</v>
      </c>
      <c r="AG33" s="40">
        <f t="shared" si="34"/>
        <v>0</v>
      </c>
      <c r="AH33" s="29"/>
      <c r="AI33" s="29"/>
      <c r="AJ33" s="242">
        <f t="shared" si="47"/>
        <v>0</v>
      </c>
      <c r="AK33" s="241"/>
      <c r="AL33" s="489"/>
      <c r="AM33" s="40">
        <f>N33*IF(L33&lt;VLOOKUP($C$5,DANE!$J$3:$N$14,4,FALSE),VLOOKUP($C$5,DANE!$J$3:$N$14,4,FALSE),L33)*$AP$22</f>
        <v>0</v>
      </c>
      <c r="AN33" s="40">
        <f t="shared" si="35"/>
        <v>0</v>
      </c>
      <c r="AO33" s="242">
        <f t="shared" si="48"/>
        <v>0</v>
      </c>
      <c r="AP33" s="227"/>
      <c r="AQ33" s="241"/>
      <c r="AR33" s="489"/>
      <c r="AS33" s="40">
        <f>O33*IF(L33&lt;VLOOKUP($C$5,DANE!$J$3:$N$14,4,FALSE),VLOOKUP($C$5,DANE!$J$3:$N$14,4,FALSE),L33)</f>
        <v>0</v>
      </c>
      <c r="AT33" s="40">
        <f t="shared" si="36"/>
        <v>0</v>
      </c>
      <c r="AU33" s="40">
        <f t="shared" si="37"/>
        <v>0</v>
      </c>
      <c r="AV33" s="242">
        <f t="shared" si="49"/>
        <v>0</v>
      </c>
      <c r="AW33" s="241"/>
      <c r="AX33" s="489"/>
      <c r="AY33" s="40">
        <f>IF(L33&lt;VLOOKUP($C$5,DANE!$J$3:$N$14,4,FALSE),VLOOKUP($C$5,DANE!$J$3:$N$14,4,FALSE)*S33,L33*S33)</f>
        <v>0</v>
      </c>
      <c r="AZ33" s="29"/>
      <c r="BA33" s="40">
        <f t="shared" si="38"/>
        <v>0</v>
      </c>
      <c r="BB33" s="40">
        <f t="shared" si="50"/>
        <v>0</v>
      </c>
      <c r="BC33" s="40">
        <f t="shared" si="39"/>
        <v>0</v>
      </c>
      <c r="BD33" s="40">
        <f t="shared" si="40"/>
        <v>0</v>
      </c>
      <c r="BE33" s="29"/>
      <c r="BF33" s="29"/>
      <c r="BG33" s="242">
        <f t="shared" si="51"/>
        <v>0</v>
      </c>
      <c r="BH33" s="241"/>
      <c r="BI33" s="489"/>
      <c r="BJ33" s="40">
        <f>T33*IF(L33&lt;VLOOKUP($C$5,DANE!$J$3:$N$14,4,FALSE),VLOOKUP($C$5,DANE!$J$3:$N$14,4,FALSE),L33)*$BM$22</f>
        <v>0</v>
      </c>
      <c r="BK33" s="40">
        <f t="shared" si="41"/>
        <v>0</v>
      </c>
      <c r="BL33" s="242">
        <f t="shared" si="52"/>
        <v>0</v>
      </c>
      <c r="BM33" s="227"/>
      <c r="BN33" s="205"/>
      <c r="BO33" s="489"/>
      <c r="BP33" s="40">
        <f>U33*IF(L33&lt;VLOOKUP($C$5,DANE!$J$3:$N$14,4,FALSE),VLOOKUP($C$5,DANE!$J$3:$N$14,4,FALSE),L33)</f>
        <v>0</v>
      </c>
      <c r="BQ33" s="40">
        <f t="shared" si="42"/>
        <v>0</v>
      </c>
      <c r="BR33" s="40">
        <f t="shared" si="43"/>
        <v>0</v>
      </c>
      <c r="BS33" s="242">
        <f t="shared" si="44"/>
        <v>0</v>
      </c>
      <c r="BT33" s="230"/>
    </row>
    <row r="34" spans="1:77" s="219" customFormat="1" ht="18" customHeight="1">
      <c r="A34" s="26"/>
      <c r="B34" s="556"/>
      <c r="C34" s="593"/>
      <c r="D34" s="596"/>
      <c r="E34" s="602"/>
      <c r="F34" s="601"/>
      <c r="G34" s="235"/>
      <c r="H34" s="484"/>
      <c r="I34" s="402"/>
      <c r="J34" s="387"/>
      <c r="K34" s="404"/>
      <c r="L34" s="384"/>
      <c r="M34" s="395"/>
      <c r="N34" s="395"/>
      <c r="O34" s="395"/>
      <c r="P34" s="149">
        <f t="shared" si="45"/>
        <v>0</v>
      </c>
      <c r="Q34" s="156"/>
      <c r="R34" s="484"/>
      <c r="S34" s="394"/>
      <c r="T34" s="395"/>
      <c r="U34" s="395"/>
      <c r="V34" s="396"/>
      <c r="W34" s="503" t="str">
        <f t="shared" si="30"/>
        <v>-</v>
      </c>
      <c r="X34" s="503"/>
      <c r="Y34" s="73" t="str">
        <f t="shared" si="31"/>
        <v>-</v>
      </c>
      <c r="AA34" s="489"/>
      <c r="AB34" s="40">
        <f>IF(L34&lt;VLOOKUP($C$5,DANE!$J$3:$N$14,4,FALSE),VLOOKUP($C$5,DANE!$J$3:$N$14,4,FALSE)*M34,L34*M34)</f>
        <v>0</v>
      </c>
      <c r="AC34" s="29"/>
      <c r="AD34" s="40">
        <f t="shared" si="32"/>
        <v>0</v>
      </c>
      <c r="AE34" s="40">
        <f t="shared" si="46"/>
        <v>0</v>
      </c>
      <c r="AF34" s="40">
        <f t="shared" si="33"/>
        <v>0</v>
      </c>
      <c r="AG34" s="40">
        <f t="shared" si="34"/>
        <v>0</v>
      </c>
      <c r="AH34" s="29"/>
      <c r="AI34" s="29"/>
      <c r="AJ34" s="242">
        <f t="shared" si="47"/>
        <v>0</v>
      </c>
      <c r="AK34" s="241"/>
      <c r="AL34" s="489"/>
      <c r="AM34" s="40">
        <f>N34*IF(L34&lt;VLOOKUP($C$5,DANE!$J$3:$N$14,4,FALSE),VLOOKUP($C$5,DANE!$J$3:$N$14,4,FALSE),L34)*$AP$22</f>
        <v>0</v>
      </c>
      <c r="AN34" s="40">
        <f t="shared" si="35"/>
        <v>0</v>
      </c>
      <c r="AO34" s="242">
        <f t="shared" si="48"/>
        <v>0</v>
      </c>
      <c r="AP34" s="227"/>
      <c r="AQ34" s="241"/>
      <c r="AR34" s="489"/>
      <c r="AS34" s="40">
        <f>O34*IF(L34&lt;VLOOKUP($C$5,DANE!$J$3:$N$14,4,FALSE),VLOOKUP($C$5,DANE!$J$3:$N$14,4,FALSE),L34)</f>
        <v>0</v>
      </c>
      <c r="AT34" s="40">
        <f t="shared" si="36"/>
        <v>0</v>
      </c>
      <c r="AU34" s="40">
        <f t="shared" si="37"/>
        <v>0</v>
      </c>
      <c r="AV34" s="242">
        <f t="shared" si="49"/>
        <v>0</v>
      </c>
      <c r="AW34" s="241"/>
      <c r="AX34" s="489"/>
      <c r="AY34" s="40">
        <f>IF(L34&lt;VLOOKUP($C$5,DANE!$J$3:$N$14,4,FALSE),VLOOKUP($C$5,DANE!$J$3:$N$14,4,FALSE)*S34,L34*S34)</f>
        <v>0</v>
      </c>
      <c r="AZ34" s="29"/>
      <c r="BA34" s="40">
        <f t="shared" si="38"/>
        <v>0</v>
      </c>
      <c r="BB34" s="40">
        <f t="shared" si="50"/>
        <v>0</v>
      </c>
      <c r="BC34" s="40">
        <f t="shared" si="39"/>
        <v>0</v>
      </c>
      <c r="BD34" s="40">
        <f t="shared" si="40"/>
        <v>0</v>
      </c>
      <c r="BE34" s="29"/>
      <c r="BF34" s="29"/>
      <c r="BG34" s="242">
        <f t="shared" si="51"/>
        <v>0</v>
      </c>
      <c r="BH34" s="241"/>
      <c r="BI34" s="489"/>
      <c r="BJ34" s="40">
        <f>T34*IF(L34&lt;VLOOKUP($C$5,DANE!$J$3:$N$14,4,FALSE),VLOOKUP($C$5,DANE!$J$3:$N$14,4,FALSE),L34)*$BM$22</f>
        <v>0</v>
      </c>
      <c r="BK34" s="40">
        <f t="shared" si="41"/>
        <v>0</v>
      </c>
      <c r="BL34" s="242">
        <f t="shared" si="52"/>
        <v>0</v>
      </c>
      <c r="BM34" s="227"/>
      <c r="BN34" s="205"/>
      <c r="BO34" s="489"/>
      <c r="BP34" s="40">
        <f>U34*IF(L34&lt;VLOOKUP($C$5,DANE!$J$3:$N$14,4,FALSE),VLOOKUP($C$5,DANE!$J$3:$N$14,4,FALSE),L34)</f>
        <v>0</v>
      </c>
      <c r="BQ34" s="40">
        <f t="shared" si="42"/>
        <v>0</v>
      </c>
      <c r="BR34" s="40">
        <f t="shared" si="43"/>
        <v>0</v>
      </c>
      <c r="BS34" s="242">
        <f t="shared" si="44"/>
        <v>0</v>
      </c>
      <c r="BT34" s="230"/>
    </row>
    <row r="35" spans="1:77" s="219" customFormat="1" ht="18" customHeight="1">
      <c r="A35" s="26"/>
      <c r="B35" s="285" t="s">
        <v>179</v>
      </c>
      <c r="C35" s="375">
        <v>6.6</v>
      </c>
      <c r="F35" s="244"/>
      <c r="G35" s="218"/>
      <c r="H35" s="484"/>
      <c r="I35" s="402"/>
      <c r="J35" s="387"/>
      <c r="K35" s="404"/>
      <c r="L35" s="384"/>
      <c r="M35" s="395"/>
      <c r="N35" s="395"/>
      <c r="O35" s="395"/>
      <c r="P35" s="149">
        <f t="shared" si="45"/>
        <v>0</v>
      </c>
      <c r="Q35" s="156"/>
      <c r="R35" s="484"/>
      <c r="S35" s="394"/>
      <c r="T35" s="395"/>
      <c r="U35" s="395"/>
      <c r="V35" s="396"/>
      <c r="W35" s="503" t="str">
        <f t="shared" si="30"/>
        <v>-</v>
      </c>
      <c r="X35" s="503"/>
      <c r="Y35" s="73" t="str">
        <f t="shared" si="31"/>
        <v>-</v>
      </c>
      <c r="AA35" s="489"/>
      <c r="AB35" s="40">
        <f>IF(L35&lt;VLOOKUP($C$5,DANE!$J$3:$N$14,4,FALSE),VLOOKUP($C$5,DANE!$J$3:$N$14,4,FALSE)*M35,L35*M35)</f>
        <v>0</v>
      </c>
      <c r="AC35" s="29"/>
      <c r="AD35" s="40">
        <f t="shared" si="32"/>
        <v>0</v>
      </c>
      <c r="AE35" s="40">
        <f t="shared" si="46"/>
        <v>0</v>
      </c>
      <c r="AF35" s="40">
        <f t="shared" si="33"/>
        <v>0</v>
      </c>
      <c r="AG35" s="40">
        <f t="shared" si="34"/>
        <v>0</v>
      </c>
      <c r="AH35" s="29"/>
      <c r="AI35" s="29"/>
      <c r="AJ35" s="242">
        <f t="shared" si="47"/>
        <v>0</v>
      </c>
      <c r="AK35" s="241"/>
      <c r="AL35" s="489"/>
      <c r="AM35" s="40">
        <f>N35*IF(L35&lt;VLOOKUP($C$5,DANE!$J$3:$N$14,4,FALSE),VLOOKUP($C$5,DANE!$J$3:$N$14,4,FALSE),L35)*$AP$22</f>
        <v>0</v>
      </c>
      <c r="AN35" s="40">
        <f t="shared" si="35"/>
        <v>0</v>
      </c>
      <c r="AO35" s="242">
        <f t="shared" si="48"/>
        <v>0</v>
      </c>
      <c r="AP35" s="227"/>
      <c r="AQ35" s="241"/>
      <c r="AR35" s="489"/>
      <c r="AS35" s="40">
        <f>O35*IF(L35&lt;VLOOKUP($C$5,DANE!$J$3:$N$14,4,FALSE),VLOOKUP($C$5,DANE!$J$3:$N$14,4,FALSE),L35)</f>
        <v>0</v>
      </c>
      <c r="AT35" s="40">
        <f t="shared" si="36"/>
        <v>0</v>
      </c>
      <c r="AU35" s="40">
        <f t="shared" si="37"/>
        <v>0</v>
      </c>
      <c r="AV35" s="242">
        <f t="shared" si="49"/>
        <v>0</v>
      </c>
      <c r="AW35" s="241"/>
      <c r="AX35" s="489"/>
      <c r="AY35" s="40">
        <f>IF(L35&lt;VLOOKUP($C$5,DANE!$J$3:$N$14,4,FALSE),VLOOKUP($C$5,DANE!$J$3:$N$14,4,FALSE)*S35,L35*S35)</f>
        <v>0</v>
      </c>
      <c r="AZ35" s="29"/>
      <c r="BA35" s="40">
        <f t="shared" si="38"/>
        <v>0</v>
      </c>
      <c r="BB35" s="40">
        <f t="shared" si="50"/>
        <v>0</v>
      </c>
      <c r="BC35" s="40">
        <f t="shared" si="39"/>
        <v>0</v>
      </c>
      <c r="BD35" s="40">
        <f t="shared" si="40"/>
        <v>0</v>
      </c>
      <c r="BE35" s="29"/>
      <c r="BF35" s="29"/>
      <c r="BG35" s="242">
        <f t="shared" si="51"/>
        <v>0</v>
      </c>
      <c r="BH35" s="241"/>
      <c r="BI35" s="489"/>
      <c r="BJ35" s="40">
        <f>T35*IF(L35&lt;VLOOKUP($C$5,DANE!$J$3:$N$14,4,FALSE),VLOOKUP($C$5,DANE!$J$3:$N$14,4,FALSE),L35)*$BM$22</f>
        <v>0</v>
      </c>
      <c r="BK35" s="40">
        <f t="shared" si="41"/>
        <v>0</v>
      </c>
      <c r="BL35" s="242">
        <f t="shared" si="52"/>
        <v>0</v>
      </c>
      <c r="BM35" s="227"/>
      <c r="BN35" s="205"/>
      <c r="BO35" s="489"/>
      <c r="BP35" s="40">
        <f>U35*IF(L35&lt;VLOOKUP($C$5,DANE!$J$3:$N$14,4,FALSE),VLOOKUP($C$5,DANE!$J$3:$N$14,4,FALSE),L35)</f>
        <v>0</v>
      </c>
      <c r="BQ35" s="40">
        <f t="shared" si="42"/>
        <v>0</v>
      </c>
      <c r="BR35" s="40">
        <f t="shared" si="43"/>
        <v>0</v>
      </c>
      <c r="BS35" s="242">
        <f t="shared" si="44"/>
        <v>0</v>
      </c>
      <c r="BT35" s="230"/>
      <c r="BU35" s="243"/>
      <c r="BV35" s="243"/>
    </row>
    <row r="36" spans="1:77" s="219" customFormat="1" ht="15.75" customHeight="1">
      <c r="A36" s="26"/>
      <c r="B36" s="556" t="s">
        <v>180</v>
      </c>
      <c r="C36" s="603">
        <f>IFERROR(M18+M41+M66,"")</f>
        <v>1760</v>
      </c>
      <c r="E36" s="603">
        <f>IFERROR(S18+S41+S66,"")</f>
        <v>1713.5</v>
      </c>
      <c r="F36" s="599"/>
      <c r="G36" s="218"/>
      <c r="H36" s="484"/>
      <c r="I36" s="402"/>
      <c r="J36" s="387"/>
      <c r="K36" s="404"/>
      <c r="L36" s="384"/>
      <c r="M36" s="395"/>
      <c r="N36" s="395"/>
      <c r="O36" s="395"/>
      <c r="P36" s="149">
        <f t="shared" si="45"/>
        <v>0</v>
      </c>
      <c r="Q36" s="156"/>
      <c r="R36" s="484"/>
      <c r="S36" s="394"/>
      <c r="T36" s="395"/>
      <c r="U36" s="395"/>
      <c r="V36" s="396"/>
      <c r="W36" s="503" t="str">
        <f t="shared" si="30"/>
        <v>-</v>
      </c>
      <c r="X36" s="503"/>
      <c r="Y36" s="73" t="str">
        <f t="shared" si="31"/>
        <v>-</v>
      </c>
      <c r="AA36" s="489"/>
      <c r="AB36" s="40">
        <f>IF(L36&lt;VLOOKUP($C$5,DANE!$J$3:$N$14,4,FALSE),VLOOKUP($C$5,DANE!$J$3:$N$14,4,FALSE)*M36,L36*M36)</f>
        <v>0</v>
      </c>
      <c r="AC36" s="29"/>
      <c r="AD36" s="40">
        <f t="shared" si="32"/>
        <v>0</v>
      </c>
      <c r="AE36" s="40">
        <f t="shared" si="46"/>
        <v>0</v>
      </c>
      <c r="AF36" s="40">
        <f t="shared" si="33"/>
        <v>0</v>
      </c>
      <c r="AG36" s="40">
        <f t="shared" si="34"/>
        <v>0</v>
      </c>
      <c r="AH36" s="29"/>
      <c r="AI36" s="29"/>
      <c r="AJ36" s="242">
        <f t="shared" si="47"/>
        <v>0</v>
      </c>
      <c r="AK36" s="241"/>
      <c r="AL36" s="489"/>
      <c r="AM36" s="40">
        <f>N36*IF(L36&lt;VLOOKUP($C$5,DANE!$J$3:$N$14,4,FALSE),VLOOKUP($C$5,DANE!$J$3:$N$14,4,FALSE),L36)*$AP$22</f>
        <v>0</v>
      </c>
      <c r="AN36" s="40">
        <f t="shared" si="35"/>
        <v>0</v>
      </c>
      <c r="AO36" s="242">
        <f t="shared" si="48"/>
        <v>0</v>
      </c>
      <c r="AP36" s="227"/>
      <c r="AQ36" s="241"/>
      <c r="AR36" s="489"/>
      <c r="AS36" s="40">
        <f>O36*IF(L36&lt;VLOOKUP($C$5,DANE!$J$3:$N$14,4,FALSE),VLOOKUP($C$5,DANE!$J$3:$N$14,4,FALSE),L36)</f>
        <v>0</v>
      </c>
      <c r="AT36" s="40">
        <f t="shared" si="36"/>
        <v>0</v>
      </c>
      <c r="AU36" s="40">
        <f t="shared" si="37"/>
        <v>0</v>
      </c>
      <c r="AV36" s="242">
        <f t="shared" si="49"/>
        <v>0</v>
      </c>
      <c r="AW36" s="241"/>
      <c r="AX36" s="489"/>
      <c r="AY36" s="40">
        <f>IF(L36&lt;VLOOKUP($C$5,DANE!$J$3:$N$14,4,FALSE),VLOOKUP($C$5,DANE!$J$3:$N$14,4,FALSE)*S36,L36*S36)</f>
        <v>0</v>
      </c>
      <c r="AZ36" s="29"/>
      <c r="BA36" s="40">
        <f t="shared" si="38"/>
        <v>0</v>
      </c>
      <c r="BB36" s="40">
        <f t="shared" si="50"/>
        <v>0</v>
      </c>
      <c r="BC36" s="40">
        <f t="shared" si="39"/>
        <v>0</v>
      </c>
      <c r="BD36" s="40">
        <f t="shared" si="40"/>
        <v>0</v>
      </c>
      <c r="BE36" s="29"/>
      <c r="BF36" s="29"/>
      <c r="BG36" s="242">
        <f t="shared" si="51"/>
        <v>0</v>
      </c>
      <c r="BH36" s="241"/>
      <c r="BI36" s="489"/>
      <c r="BJ36" s="40">
        <f>T36*IF(L36&lt;VLOOKUP($C$5,DANE!$J$3:$N$14,4,FALSE),VLOOKUP($C$5,DANE!$J$3:$N$14,4,FALSE),L36)*$BM$22</f>
        <v>0</v>
      </c>
      <c r="BK36" s="40">
        <f t="shared" si="41"/>
        <v>0</v>
      </c>
      <c r="BL36" s="242">
        <f t="shared" si="52"/>
        <v>0</v>
      </c>
      <c r="BM36" s="227"/>
      <c r="BN36" s="205"/>
      <c r="BO36" s="489"/>
      <c r="BP36" s="40">
        <f>U36*IF(L36&lt;VLOOKUP($C$5,DANE!$J$3:$N$14,4,FALSE),VLOOKUP($C$5,DANE!$J$3:$N$14,4,FALSE),L36)</f>
        <v>0</v>
      </c>
      <c r="BQ36" s="40">
        <f t="shared" si="42"/>
        <v>0</v>
      </c>
      <c r="BR36" s="40">
        <f t="shared" si="43"/>
        <v>0</v>
      </c>
      <c r="BS36" s="242">
        <f t="shared" si="44"/>
        <v>0</v>
      </c>
      <c r="BT36" s="33"/>
    </row>
    <row r="37" spans="1:77" s="219" customFormat="1" ht="15.75" customHeight="1">
      <c r="A37" s="26"/>
      <c r="B37" s="556"/>
      <c r="C37" s="603"/>
      <c r="E37" s="603"/>
      <c r="F37" s="599"/>
      <c r="G37" s="218"/>
      <c r="H37" s="484"/>
      <c r="I37" s="402"/>
      <c r="J37" s="387"/>
      <c r="K37" s="404"/>
      <c r="L37" s="384"/>
      <c r="M37" s="395"/>
      <c r="N37" s="395"/>
      <c r="O37" s="395"/>
      <c r="P37" s="149">
        <f t="shared" si="45"/>
        <v>0</v>
      </c>
      <c r="Q37" s="156"/>
      <c r="R37" s="484"/>
      <c r="S37" s="394"/>
      <c r="T37" s="395"/>
      <c r="U37" s="395"/>
      <c r="V37" s="396"/>
      <c r="W37" s="503" t="str">
        <f t="shared" si="30"/>
        <v>-</v>
      </c>
      <c r="X37" s="503"/>
      <c r="Y37" s="73" t="str">
        <f t="shared" si="31"/>
        <v>-</v>
      </c>
      <c r="AA37" s="489"/>
      <c r="AB37" s="40">
        <f>IF(L37&lt;VLOOKUP($C$5,DANE!$J$3:$N$14,4,FALSE),VLOOKUP($C$5,DANE!$J$3:$N$14,4,FALSE)*M37,L37*M37)</f>
        <v>0</v>
      </c>
      <c r="AC37" s="29"/>
      <c r="AD37" s="40">
        <f t="shared" si="32"/>
        <v>0</v>
      </c>
      <c r="AE37" s="40">
        <f t="shared" si="46"/>
        <v>0</v>
      </c>
      <c r="AF37" s="40">
        <f t="shared" si="33"/>
        <v>0</v>
      </c>
      <c r="AG37" s="40">
        <f t="shared" si="34"/>
        <v>0</v>
      </c>
      <c r="AH37" s="29"/>
      <c r="AI37" s="29"/>
      <c r="AJ37" s="242">
        <f t="shared" si="47"/>
        <v>0</v>
      </c>
      <c r="AK37" s="241"/>
      <c r="AL37" s="489"/>
      <c r="AM37" s="40">
        <f>N37*IF(L37&lt;VLOOKUP($C$5,DANE!$J$3:$N$14,4,FALSE),VLOOKUP($C$5,DANE!$J$3:$N$14,4,FALSE),L37)*$AP$22</f>
        <v>0</v>
      </c>
      <c r="AN37" s="40">
        <f t="shared" si="35"/>
        <v>0</v>
      </c>
      <c r="AO37" s="242">
        <f t="shared" si="48"/>
        <v>0</v>
      </c>
      <c r="AP37" s="227"/>
      <c r="AQ37" s="241"/>
      <c r="AR37" s="489"/>
      <c r="AS37" s="40">
        <f>O37*IF(L37&lt;VLOOKUP($C$5,DANE!$J$3:$N$14,4,FALSE),VLOOKUP($C$5,DANE!$J$3:$N$14,4,FALSE),L37)</f>
        <v>0</v>
      </c>
      <c r="AT37" s="40">
        <f t="shared" si="36"/>
        <v>0</v>
      </c>
      <c r="AU37" s="40">
        <f t="shared" si="37"/>
        <v>0</v>
      </c>
      <c r="AV37" s="242">
        <f t="shared" si="49"/>
        <v>0</v>
      </c>
      <c r="AW37" s="241"/>
      <c r="AX37" s="489"/>
      <c r="AY37" s="40">
        <f>IF(L37&lt;VLOOKUP($C$5,DANE!$J$3:$N$14,4,FALSE),VLOOKUP($C$5,DANE!$J$3:$N$14,4,FALSE)*S37,L37*S37)</f>
        <v>0</v>
      </c>
      <c r="AZ37" s="29"/>
      <c r="BA37" s="40">
        <f t="shared" si="38"/>
        <v>0</v>
      </c>
      <c r="BB37" s="40">
        <f t="shared" si="50"/>
        <v>0</v>
      </c>
      <c r="BC37" s="40">
        <f t="shared" si="39"/>
        <v>0</v>
      </c>
      <c r="BD37" s="40">
        <f t="shared" si="40"/>
        <v>0</v>
      </c>
      <c r="BE37" s="29"/>
      <c r="BF37" s="29"/>
      <c r="BG37" s="242">
        <f t="shared" si="51"/>
        <v>0</v>
      </c>
      <c r="BH37" s="241"/>
      <c r="BI37" s="489"/>
      <c r="BJ37" s="40">
        <f>T37*IF(L37&lt;VLOOKUP($C$5,DANE!$J$3:$N$14,4,FALSE),VLOOKUP($C$5,DANE!$J$3:$N$14,4,FALSE),L37)*$BM$22</f>
        <v>0</v>
      </c>
      <c r="BK37" s="40">
        <f t="shared" si="41"/>
        <v>0</v>
      </c>
      <c r="BL37" s="242">
        <f t="shared" si="52"/>
        <v>0</v>
      </c>
      <c r="BM37" s="227"/>
      <c r="BN37" s="205"/>
      <c r="BO37" s="489"/>
      <c r="BP37" s="40">
        <f>U37*IF(L37&lt;VLOOKUP($C$5,DANE!$J$3:$N$14,4,FALSE),VLOOKUP($C$5,DANE!$J$3:$N$14,4,FALSE),L37)</f>
        <v>0</v>
      </c>
      <c r="BQ37" s="40">
        <f t="shared" si="42"/>
        <v>0</v>
      </c>
      <c r="BR37" s="40">
        <f t="shared" si="43"/>
        <v>0</v>
      </c>
      <c r="BS37" s="242">
        <f t="shared" si="44"/>
        <v>0</v>
      </c>
    </row>
    <row r="38" spans="1:77" s="219" customFormat="1" ht="15" customHeight="1">
      <c r="B38" s="556" t="s">
        <v>181</v>
      </c>
      <c r="C38" s="612">
        <f>IFERROR(C11/C35,"WPROWADŹ TPLH TARGET")</f>
        <v>1651.5151515151515</v>
      </c>
      <c r="D38" s="594" t="str">
        <f>IFERROR(D11/D33,"-")</f>
        <v>-</v>
      </c>
      <c r="E38" s="123"/>
      <c r="F38" s="129"/>
      <c r="G38" s="218"/>
      <c r="H38" s="484"/>
      <c r="I38" s="402"/>
      <c r="J38" s="387"/>
      <c r="K38" s="404"/>
      <c r="L38" s="384"/>
      <c r="M38" s="395"/>
      <c r="N38" s="395"/>
      <c r="O38" s="395"/>
      <c r="P38" s="149">
        <f t="shared" si="45"/>
        <v>0</v>
      </c>
      <c r="Q38" s="156"/>
      <c r="R38" s="484"/>
      <c r="S38" s="394"/>
      <c r="T38" s="395"/>
      <c r="U38" s="395"/>
      <c r="V38" s="396"/>
      <c r="W38" s="503" t="str">
        <f t="shared" si="30"/>
        <v>-</v>
      </c>
      <c r="X38" s="503"/>
      <c r="Y38" s="73" t="str">
        <f t="shared" si="31"/>
        <v>-</v>
      </c>
      <c r="AA38" s="489"/>
      <c r="AB38" s="40">
        <f>IF(L38&lt;VLOOKUP($C$5,DANE!$J$3:$N$14,4,FALSE),VLOOKUP($C$5,DANE!$J$3:$N$14,4,FALSE)*M38,L38*M38)</f>
        <v>0</v>
      </c>
      <c r="AC38" s="29"/>
      <c r="AD38" s="40">
        <f t="shared" si="32"/>
        <v>0</v>
      </c>
      <c r="AE38" s="40">
        <f t="shared" si="46"/>
        <v>0</v>
      </c>
      <c r="AF38" s="40">
        <f t="shared" si="33"/>
        <v>0</v>
      </c>
      <c r="AG38" s="40">
        <f t="shared" si="34"/>
        <v>0</v>
      </c>
      <c r="AH38" s="29"/>
      <c r="AI38" s="29"/>
      <c r="AJ38" s="242">
        <f t="shared" si="47"/>
        <v>0</v>
      </c>
      <c r="AK38" s="241"/>
      <c r="AL38" s="489"/>
      <c r="AM38" s="40">
        <f>N38*IF(L38&lt;VLOOKUP($C$5,DANE!$J$3:$N$14,4,FALSE),VLOOKUP($C$5,DANE!$J$3:$N$14,4,FALSE),L38)*$AP$22</f>
        <v>0</v>
      </c>
      <c r="AN38" s="40">
        <f t="shared" si="35"/>
        <v>0</v>
      </c>
      <c r="AO38" s="242">
        <f t="shared" si="48"/>
        <v>0</v>
      </c>
      <c r="AP38" s="227"/>
      <c r="AQ38" s="241"/>
      <c r="AR38" s="489"/>
      <c r="AS38" s="40">
        <f>O38*IF(L38&lt;VLOOKUP($C$5,DANE!$J$3:$N$14,4,FALSE),VLOOKUP($C$5,DANE!$J$3:$N$14,4,FALSE),L38)</f>
        <v>0</v>
      </c>
      <c r="AT38" s="40">
        <f t="shared" si="36"/>
        <v>0</v>
      </c>
      <c r="AU38" s="40">
        <f t="shared" si="37"/>
        <v>0</v>
      </c>
      <c r="AV38" s="242">
        <f t="shared" si="49"/>
        <v>0</v>
      </c>
      <c r="AW38" s="241"/>
      <c r="AX38" s="489"/>
      <c r="AY38" s="40">
        <f>IF(L38&lt;VLOOKUP($C$5,DANE!$J$3:$N$14,4,FALSE),VLOOKUP($C$5,DANE!$J$3:$N$14,4,FALSE)*S38,L38*S38)</f>
        <v>0</v>
      </c>
      <c r="AZ38" s="29"/>
      <c r="BA38" s="40">
        <f t="shared" si="38"/>
        <v>0</v>
      </c>
      <c r="BB38" s="40">
        <f t="shared" si="50"/>
        <v>0</v>
      </c>
      <c r="BC38" s="40">
        <f t="shared" si="39"/>
        <v>0</v>
      </c>
      <c r="BD38" s="40">
        <f t="shared" si="40"/>
        <v>0</v>
      </c>
      <c r="BE38" s="29"/>
      <c r="BF38" s="29"/>
      <c r="BG38" s="242">
        <f t="shared" si="51"/>
        <v>0</v>
      </c>
      <c r="BH38" s="241"/>
      <c r="BI38" s="489"/>
      <c r="BJ38" s="40">
        <f>T38*IF(L38&lt;VLOOKUP($C$5,DANE!$J$3:$N$14,4,FALSE),VLOOKUP($C$5,DANE!$J$3:$N$14,4,FALSE),L38)*$BM$22</f>
        <v>0</v>
      </c>
      <c r="BK38" s="40">
        <f t="shared" si="41"/>
        <v>0</v>
      </c>
      <c r="BL38" s="242">
        <f t="shared" si="52"/>
        <v>0</v>
      </c>
      <c r="BM38" s="227"/>
      <c r="BN38" s="205"/>
      <c r="BO38" s="489"/>
      <c r="BP38" s="40">
        <f>U38*IF(L38&lt;VLOOKUP($C$5,DANE!$J$3:$N$14,4,FALSE),VLOOKUP($C$5,DANE!$J$3:$N$14,4,FALSE),L38)</f>
        <v>0</v>
      </c>
      <c r="BQ38" s="40">
        <f t="shared" si="42"/>
        <v>0</v>
      </c>
      <c r="BR38" s="40">
        <f t="shared" si="43"/>
        <v>0</v>
      </c>
      <c r="BS38" s="242">
        <f t="shared" si="44"/>
        <v>0</v>
      </c>
    </row>
    <row r="39" spans="1:77" s="219" customFormat="1" ht="15" customHeight="1">
      <c r="B39" s="604"/>
      <c r="C39" s="613"/>
      <c r="D39" s="595"/>
      <c r="E39" s="130"/>
      <c r="F39" s="131"/>
      <c r="G39" s="218"/>
      <c r="H39" s="484"/>
      <c r="I39" s="402"/>
      <c r="J39" s="387"/>
      <c r="K39" s="404"/>
      <c r="L39" s="384"/>
      <c r="M39" s="395"/>
      <c r="N39" s="395"/>
      <c r="O39" s="395"/>
      <c r="P39" s="149">
        <f t="shared" si="45"/>
        <v>0</v>
      </c>
      <c r="Q39" s="156"/>
      <c r="R39" s="484"/>
      <c r="S39" s="394"/>
      <c r="T39" s="395"/>
      <c r="U39" s="395"/>
      <c r="V39" s="396"/>
      <c r="W39" s="503" t="str">
        <f t="shared" si="30"/>
        <v>-</v>
      </c>
      <c r="X39" s="503"/>
      <c r="Y39" s="73" t="str">
        <f t="shared" si="31"/>
        <v>-</v>
      </c>
      <c r="AA39" s="489"/>
      <c r="AB39" s="40">
        <f>IF(L39&lt;VLOOKUP($C$5,DANE!$J$3:$N$14,4,FALSE),VLOOKUP($C$5,DANE!$J$3:$N$14,4,FALSE)*M39,L39*M39)</f>
        <v>0</v>
      </c>
      <c r="AC39" s="29"/>
      <c r="AD39" s="40">
        <f t="shared" si="32"/>
        <v>0</v>
      </c>
      <c r="AE39" s="40">
        <f t="shared" si="46"/>
        <v>0</v>
      </c>
      <c r="AF39" s="40">
        <f t="shared" si="33"/>
        <v>0</v>
      </c>
      <c r="AG39" s="40">
        <f t="shared" si="34"/>
        <v>0</v>
      </c>
      <c r="AH39" s="29"/>
      <c r="AI39" s="29"/>
      <c r="AJ39" s="242">
        <f t="shared" si="47"/>
        <v>0</v>
      </c>
      <c r="AK39" s="241"/>
      <c r="AL39" s="489"/>
      <c r="AM39" s="40">
        <f>N39*IF(L39&lt;VLOOKUP($C$5,DANE!$J$3:$N$14,4,FALSE),VLOOKUP($C$5,DANE!$J$3:$N$14,4,FALSE),L39)*$AP$22</f>
        <v>0</v>
      </c>
      <c r="AN39" s="40">
        <f t="shared" si="35"/>
        <v>0</v>
      </c>
      <c r="AO39" s="242">
        <f t="shared" si="48"/>
        <v>0</v>
      </c>
      <c r="AP39" s="227"/>
      <c r="AQ39" s="241"/>
      <c r="AR39" s="489"/>
      <c r="AS39" s="40">
        <f>O39*IF(L39&lt;VLOOKUP($C$5,DANE!$J$3:$N$14,4,FALSE),VLOOKUP($C$5,DANE!$J$3:$N$14,4,FALSE),L39)</f>
        <v>0</v>
      </c>
      <c r="AT39" s="40">
        <f t="shared" si="36"/>
        <v>0</v>
      </c>
      <c r="AU39" s="40">
        <f t="shared" si="37"/>
        <v>0</v>
      </c>
      <c r="AV39" s="242">
        <f t="shared" si="49"/>
        <v>0</v>
      </c>
      <c r="AW39" s="241"/>
      <c r="AX39" s="489"/>
      <c r="AY39" s="40">
        <f>IF(L39&lt;VLOOKUP($C$5,DANE!$J$3:$N$14,4,FALSE),VLOOKUP($C$5,DANE!$J$3:$N$14,4,FALSE)*S39,L39*S39)</f>
        <v>0</v>
      </c>
      <c r="AZ39" s="29"/>
      <c r="BA39" s="40">
        <f t="shared" si="38"/>
        <v>0</v>
      </c>
      <c r="BB39" s="40">
        <f t="shared" si="50"/>
        <v>0</v>
      </c>
      <c r="BC39" s="40">
        <f t="shared" si="39"/>
        <v>0</v>
      </c>
      <c r="BD39" s="40">
        <f t="shared" si="40"/>
        <v>0</v>
      </c>
      <c r="BE39" s="29"/>
      <c r="BF39" s="29"/>
      <c r="BG39" s="242">
        <f t="shared" si="51"/>
        <v>0</v>
      </c>
      <c r="BH39" s="241"/>
      <c r="BI39" s="489"/>
      <c r="BJ39" s="40">
        <f>T39*IF(L39&lt;VLOOKUP($C$5,DANE!$J$3:$N$14,4,FALSE),VLOOKUP($C$5,DANE!$J$3:$N$14,4,FALSE),L39)*$BM$22</f>
        <v>0</v>
      </c>
      <c r="BK39" s="40">
        <f t="shared" si="41"/>
        <v>0</v>
      </c>
      <c r="BL39" s="242">
        <f t="shared" si="52"/>
        <v>0</v>
      </c>
      <c r="BM39" s="227"/>
      <c r="BN39" s="205"/>
      <c r="BO39" s="489"/>
      <c r="BP39" s="40">
        <f>U39*IF(L39&lt;VLOOKUP($C$5,DANE!$J$3:$N$14,4,FALSE),VLOOKUP($C$5,DANE!$J$3:$N$14,4,FALSE),L39)</f>
        <v>0</v>
      </c>
      <c r="BQ39" s="40">
        <f t="shared" si="42"/>
        <v>0</v>
      </c>
      <c r="BR39" s="40">
        <f t="shared" si="43"/>
        <v>0</v>
      </c>
      <c r="BS39" s="242">
        <f t="shared" si="44"/>
        <v>0</v>
      </c>
      <c r="BY39" s="219" t="s">
        <v>182</v>
      </c>
    </row>
    <row r="40" spans="1:77" s="219" customFormat="1" ht="18" customHeight="1" thickBot="1">
      <c r="A40" s="26"/>
      <c r="G40" s="218"/>
      <c r="H40" s="484"/>
      <c r="I40" s="446"/>
      <c r="J40" s="405"/>
      <c r="K40" s="406"/>
      <c r="L40" s="407"/>
      <c r="M40" s="398"/>
      <c r="N40" s="398"/>
      <c r="O40" s="398"/>
      <c r="P40" s="150">
        <f t="shared" si="45"/>
        <v>0</v>
      </c>
      <c r="Q40" s="157"/>
      <c r="R40" s="484"/>
      <c r="S40" s="397"/>
      <c r="T40" s="398"/>
      <c r="U40" s="398"/>
      <c r="V40" s="396"/>
      <c r="W40" s="503" t="str">
        <f t="shared" si="30"/>
        <v>-</v>
      </c>
      <c r="X40" s="503"/>
      <c r="Y40" s="73" t="str">
        <f t="shared" si="31"/>
        <v>-</v>
      </c>
      <c r="AA40" s="489"/>
      <c r="AB40" s="40">
        <f>IF(L40&lt;VLOOKUP($C$5,DANE!$J$3:$N$14,4,FALSE),VLOOKUP($C$5,DANE!$J$3:$N$14,4,FALSE)*M40,L40*M40)</f>
        <v>0</v>
      </c>
      <c r="AC40" s="29"/>
      <c r="AD40" s="40">
        <f t="shared" si="32"/>
        <v>0</v>
      </c>
      <c r="AE40" s="40">
        <f t="shared" si="46"/>
        <v>0</v>
      </c>
      <c r="AF40" s="40">
        <f t="shared" si="33"/>
        <v>0</v>
      </c>
      <c r="AG40" s="40">
        <f t="shared" si="34"/>
        <v>0</v>
      </c>
      <c r="AH40" s="29"/>
      <c r="AI40" s="29"/>
      <c r="AJ40" s="242">
        <f t="shared" si="47"/>
        <v>0</v>
      </c>
      <c r="AK40" s="241"/>
      <c r="AL40" s="489"/>
      <c r="AM40" s="40">
        <f>N40*IF(L40&lt;VLOOKUP($C$5,DANE!$J$3:$N$14,4,FALSE),VLOOKUP($C$5,DANE!$J$3:$N$14,4,FALSE),L40)*$AP$22</f>
        <v>0</v>
      </c>
      <c r="AN40" s="40">
        <f t="shared" si="35"/>
        <v>0</v>
      </c>
      <c r="AO40" s="242">
        <f t="shared" si="48"/>
        <v>0</v>
      </c>
      <c r="AP40" s="227"/>
      <c r="AQ40" s="241"/>
      <c r="AR40" s="489"/>
      <c r="AS40" s="40">
        <f>O40*IF(L40&lt;VLOOKUP($C$5,DANE!$J$3:$N$14,4,FALSE),VLOOKUP($C$5,DANE!$J$3:$N$14,4,FALSE),L40)</f>
        <v>0</v>
      </c>
      <c r="AT40" s="40">
        <f t="shared" si="36"/>
        <v>0</v>
      </c>
      <c r="AU40" s="40">
        <f t="shared" si="37"/>
        <v>0</v>
      </c>
      <c r="AV40" s="242">
        <f t="shared" si="49"/>
        <v>0</v>
      </c>
      <c r="AW40" s="241"/>
      <c r="AX40" s="489"/>
      <c r="AY40" s="40">
        <f>IF(L40&lt;VLOOKUP($C$5,DANE!$J$3:$N$14,4,FALSE),VLOOKUP($C$5,DANE!$J$3:$N$14,4,FALSE)*S40,L40*S40)</f>
        <v>0</v>
      </c>
      <c r="AZ40" s="29"/>
      <c r="BA40" s="40">
        <f t="shared" si="38"/>
        <v>0</v>
      </c>
      <c r="BB40" s="40">
        <f t="shared" si="50"/>
        <v>0</v>
      </c>
      <c r="BC40" s="40">
        <f t="shared" si="39"/>
        <v>0</v>
      </c>
      <c r="BD40" s="40">
        <f t="shared" si="40"/>
        <v>0</v>
      </c>
      <c r="BE40" s="29"/>
      <c r="BF40" s="29"/>
      <c r="BG40" s="242">
        <f t="shared" si="51"/>
        <v>0</v>
      </c>
      <c r="BH40" s="241"/>
      <c r="BI40" s="489"/>
      <c r="BJ40" s="40">
        <f>T40*IF(L40&lt;VLOOKUP($C$5,DANE!$J$3:$N$14,4,FALSE),VLOOKUP($C$5,DANE!$J$3:$N$14,4,FALSE),L40)*$BM$22</f>
        <v>0</v>
      </c>
      <c r="BK40" s="40">
        <f t="shared" si="41"/>
        <v>0</v>
      </c>
      <c r="BL40" s="242">
        <f t="shared" si="52"/>
        <v>0</v>
      </c>
      <c r="BM40" s="227"/>
      <c r="BN40" s="205"/>
      <c r="BO40" s="489"/>
      <c r="BP40" s="40">
        <f>U40*IF(L40&lt;VLOOKUP($C$5,DANE!$J$3:$N$14,4,FALSE),VLOOKUP($C$5,DANE!$J$3:$N$14,4,FALSE),L40)</f>
        <v>0</v>
      </c>
      <c r="BQ40" s="40">
        <f t="shared" si="42"/>
        <v>0</v>
      </c>
      <c r="BR40" s="40">
        <f t="shared" si="43"/>
        <v>0</v>
      </c>
      <c r="BS40" s="242">
        <f t="shared" si="44"/>
        <v>0</v>
      </c>
    </row>
    <row r="41" spans="1:77" s="219" customFormat="1" ht="18" customHeight="1">
      <c r="A41" s="26"/>
      <c r="B41" s="610" t="s">
        <v>183</v>
      </c>
      <c r="C41" s="137" t="s">
        <v>184</v>
      </c>
      <c r="D41" s="138" t="s">
        <v>185</v>
      </c>
      <c r="E41" s="139" t="s">
        <v>186</v>
      </c>
      <c r="G41" s="218"/>
      <c r="H41" s="248" t="s">
        <v>187</v>
      </c>
      <c r="I41" s="249"/>
      <c r="J41" s="249"/>
      <c r="K41" s="86">
        <f>SUM(K22:K40)</f>
        <v>1.25</v>
      </c>
      <c r="L41" s="93"/>
      <c r="M41" s="86">
        <f>SUM(M22:M40)</f>
        <v>220</v>
      </c>
      <c r="N41" s="86">
        <f>SUM(N22:N40)</f>
        <v>0</v>
      </c>
      <c r="O41" s="86">
        <f>SUM(O22:O40)</f>
        <v>0</v>
      </c>
      <c r="P41" s="86">
        <f>SUM(P22:P40)</f>
        <v>220</v>
      </c>
      <c r="Q41" s="250"/>
      <c r="R41" s="251"/>
      <c r="S41" s="86">
        <f>SUM(S22:S40)</f>
        <v>205</v>
      </c>
      <c r="T41" s="86">
        <f>SUM(T22:T40)</f>
        <v>0</v>
      </c>
      <c r="U41" s="86">
        <f>SUM(U22:U40)</f>
        <v>0</v>
      </c>
      <c r="V41" s="86">
        <f>SUM(V22:V40)</f>
        <v>0</v>
      </c>
      <c r="W41" s="422"/>
      <c r="X41" s="422"/>
      <c r="Y41" s="423"/>
      <c r="Z41" s="79"/>
      <c r="AA41" s="489"/>
      <c r="AB41" s="32">
        <f>SUM(AB22:AB40)</f>
        <v>6822.2</v>
      </c>
      <c r="AC41" s="32"/>
      <c r="AD41" s="32">
        <f>SUM(AD22:AD40)</f>
        <v>1154.99846</v>
      </c>
      <c r="AE41" s="32">
        <f>SUM(AE22:AE40)</f>
        <v>173.96609999999998</v>
      </c>
      <c r="AF41" s="32">
        <f>SUM(AF22:AF40)</f>
        <v>187</v>
      </c>
      <c r="AG41" s="32">
        <f>SUM(AG22:AG40)</f>
        <v>250</v>
      </c>
      <c r="AH41" s="42"/>
      <c r="AI41" s="42"/>
      <c r="AJ41" s="32">
        <f>SUM(AJ22:AJ40)</f>
        <v>8588.1645599999993</v>
      </c>
      <c r="AK41" s="241"/>
      <c r="AL41" s="489"/>
      <c r="AM41" s="32">
        <f>SUM(AM22:AM40)</f>
        <v>0</v>
      </c>
      <c r="AN41" s="32">
        <f>SUM(AN22:AN40)</f>
        <v>0</v>
      </c>
      <c r="AO41" s="32">
        <f>SUM(AO22:AO40)</f>
        <v>0</v>
      </c>
      <c r="AP41" s="33"/>
      <c r="AQ41" s="241"/>
      <c r="AR41" s="489"/>
      <c r="AS41" s="32">
        <f>SUM(AS22:AS40)</f>
        <v>0</v>
      </c>
      <c r="AT41" s="32">
        <f>SUM(AT22:AT40)</f>
        <v>0</v>
      </c>
      <c r="AU41" s="32">
        <f>SUM(AU22:AU40)</f>
        <v>0</v>
      </c>
      <c r="AV41" s="32">
        <f>SUM(AV22:AV40)</f>
        <v>0</v>
      </c>
      <c r="AW41" s="241"/>
      <c r="AX41" s="489"/>
      <c r="AY41" s="32">
        <f>SUM(AY22:AY40)</f>
        <v>6359</v>
      </c>
      <c r="AZ41" s="32"/>
      <c r="BA41" s="32">
        <f>SUM(BA22:BA40)</f>
        <v>1076.5787</v>
      </c>
      <c r="BB41" s="32">
        <f>SUM(BB22:BB40)</f>
        <v>162.15449999999998</v>
      </c>
      <c r="BC41" s="32">
        <f>SUM(BC22:BC40)</f>
        <v>174.25</v>
      </c>
      <c r="BD41" s="32">
        <f>SUM(BD22:BD40)</f>
        <v>250</v>
      </c>
      <c r="BE41" s="42"/>
      <c r="BF41" s="42"/>
      <c r="BG41" s="32">
        <f>SUM(BG22:BG40)</f>
        <v>8021.9831999999997</v>
      </c>
      <c r="BH41" s="241"/>
      <c r="BI41" s="489"/>
      <c r="BJ41" s="32">
        <f>SUM(BJ22:BJ40)</f>
        <v>0</v>
      </c>
      <c r="BK41" s="32">
        <f>SUM(BK22:BK40)</f>
        <v>0</v>
      </c>
      <c r="BL41" s="32">
        <f>SUM(BL22:BL40)</f>
        <v>0</v>
      </c>
      <c r="BM41" s="33"/>
      <c r="BN41" s="33"/>
      <c r="BO41" s="489"/>
      <c r="BP41" s="32">
        <f>SUM(BP22:BP40)</f>
        <v>0</v>
      </c>
      <c r="BQ41" s="32">
        <f>SUM(BQ22:BQ40)</f>
        <v>0</v>
      </c>
      <c r="BR41" s="32">
        <f>SUM(BR22:BR40)</f>
        <v>0</v>
      </c>
      <c r="BS41" s="32">
        <f>SUM(BS22:BS40)</f>
        <v>0</v>
      </c>
      <c r="BT41" s="1"/>
      <c r="BU41" s="1"/>
      <c r="BV41" s="1"/>
    </row>
    <row r="42" spans="1:77" s="219" customFormat="1" ht="18" customHeight="1" thickBot="1">
      <c r="A42" s="26"/>
      <c r="B42" s="611"/>
      <c r="C42" s="376" t="s">
        <v>188</v>
      </c>
      <c r="D42" s="135" t="str">
        <f>IFERROR((C11/(C23)-C11/(C23+C42))*(AJ41+AJ66)/C22,"")</f>
        <v/>
      </c>
      <c r="E42" s="136" t="str">
        <f>IFERROR(-D42/C9,"")</f>
        <v/>
      </c>
      <c r="G42" s="218"/>
      <c r="H42" s="483" t="s">
        <v>189</v>
      </c>
      <c r="I42" s="507" t="s">
        <v>92</v>
      </c>
      <c r="J42" s="493" t="s">
        <v>93</v>
      </c>
      <c r="K42" s="214"/>
      <c r="L42" s="518" t="s">
        <v>95</v>
      </c>
      <c r="M42" s="490" t="s">
        <v>96</v>
      </c>
      <c r="N42" s="214"/>
      <c r="O42" s="214"/>
      <c r="P42" s="215"/>
      <c r="Q42" s="485" t="s">
        <v>190</v>
      </c>
      <c r="R42" s="486"/>
      <c r="S42" s="501" t="s">
        <v>102</v>
      </c>
      <c r="T42" s="214"/>
      <c r="U42" s="214"/>
      <c r="V42" s="504" t="s">
        <v>154</v>
      </c>
      <c r="W42" s="528"/>
      <c r="X42" s="515" t="s">
        <v>156</v>
      </c>
      <c r="Y42"/>
      <c r="Z42" s="252"/>
      <c r="AA42" s="489" t="s">
        <v>191</v>
      </c>
      <c r="AB42" s="29"/>
      <c r="AC42" s="29"/>
      <c r="AD42" s="29"/>
      <c r="AE42" s="29"/>
      <c r="AF42" s="29"/>
      <c r="AG42" s="29"/>
      <c r="AH42" s="29"/>
      <c r="AI42" s="29"/>
      <c r="AJ42" s="527" t="s">
        <v>115</v>
      </c>
      <c r="AK42" s="241"/>
      <c r="AL42" s="241"/>
      <c r="AM42" s="241"/>
      <c r="AN42" s="241"/>
      <c r="AO42" s="241"/>
      <c r="AP42" s="241"/>
      <c r="AQ42" s="241"/>
      <c r="AR42" s="448"/>
      <c r="AS42" s="205"/>
      <c r="AT42" s="205"/>
      <c r="AU42" s="205"/>
      <c r="AV42" s="526"/>
      <c r="AW42" s="241"/>
      <c r="AX42" s="489" t="s">
        <v>190</v>
      </c>
      <c r="AY42" s="29"/>
      <c r="AZ42" s="29"/>
      <c r="BA42" s="29"/>
      <c r="BB42" s="29"/>
      <c r="BC42" s="29"/>
      <c r="BD42" s="29"/>
      <c r="BE42" s="29"/>
      <c r="BF42" s="29"/>
      <c r="BG42" s="527" t="s">
        <v>115</v>
      </c>
      <c r="BH42" s="241"/>
      <c r="BK42" s="220"/>
      <c r="BL42" s="220"/>
      <c r="BM42" s="220"/>
      <c r="BN42" s="220"/>
      <c r="BO42" s="448"/>
      <c r="BP42" s="205"/>
      <c r="BQ42" s="205"/>
      <c r="BR42" s="205"/>
      <c r="BS42" s="526"/>
    </row>
    <row r="43" spans="1:77" s="219" customFormat="1" ht="18" customHeight="1">
      <c r="A43" s="26"/>
      <c r="G43" s="218"/>
      <c r="H43" s="484"/>
      <c r="I43" s="508"/>
      <c r="J43" s="494"/>
      <c r="K43" s="216"/>
      <c r="L43" s="519"/>
      <c r="M43" s="491"/>
      <c r="N43" s="216"/>
      <c r="O43" s="216"/>
      <c r="P43" s="217"/>
      <c r="Q43" s="487"/>
      <c r="R43" s="488"/>
      <c r="S43" s="522"/>
      <c r="T43" s="216"/>
      <c r="U43" s="216"/>
      <c r="V43" s="505"/>
      <c r="W43" s="529"/>
      <c r="X43" s="515"/>
      <c r="Y43"/>
      <c r="Z43" s="252"/>
      <c r="AA43" s="489"/>
      <c r="AB43" s="29"/>
      <c r="AC43" s="29"/>
      <c r="AD43" s="29"/>
      <c r="AE43" s="29"/>
      <c r="AF43" s="29"/>
      <c r="AG43" s="29"/>
      <c r="AH43" s="29"/>
      <c r="AI43" s="29"/>
      <c r="AJ43" s="527"/>
      <c r="AK43" s="241"/>
      <c r="AL43" s="241"/>
      <c r="AM43" s="241"/>
      <c r="AN43" s="241"/>
      <c r="AO43" s="241"/>
      <c r="AP43" s="241"/>
      <c r="AQ43" s="241"/>
      <c r="AR43" s="448"/>
      <c r="AS43" s="205"/>
      <c r="AT43" s="205"/>
      <c r="AU43" s="205"/>
      <c r="AV43" s="526"/>
      <c r="AW43" s="241"/>
      <c r="AX43" s="489"/>
      <c r="AY43" s="29"/>
      <c r="AZ43" s="29"/>
      <c r="BA43" s="29"/>
      <c r="BB43" s="29"/>
      <c r="BC43" s="29"/>
      <c r="BD43" s="29"/>
      <c r="BE43" s="29"/>
      <c r="BF43" s="29"/>
      <c r="BG43" s="527"/>
      <c r="BH43" s="241"/>
      <c r="BK43" s="220"/>
      <c r="BL43" s="220"/>
      <c r="BM43" s="220"/>
      <c r="BN43" s="220"/>
      <c r="BO43" s="448"/>
      <c r="BP43" s="205"/>
      <c r="BQ43" s="205"/>
      <c r="BR43" s="205"/>
      <c r="BS43" s="526"/>
    </row>
    <row r="44" spans="1:77" s="219" customFormat="1" ht="18" customHeight="1">
      <c r="A44" s="26"/>
      <c r="B44" s="608" t="s">
        <v>123</v>
      </c>
      <c r="C44" s="96" t="s">
        <v>192</v>
      </c>
      <c r="D44" s="96" t="s">
        <v>125</v>
      </c>
      <c r="E44" s="96" t="s">
        <v>126</v>
      </c>
      <c r="F44" s="97" t="s">
        <v>127</v>
      </c>
      <c r="G44" s="218"/>
      <c r="H44" s="484"/>
      <c r="I44" s="474" t="s">
        <v>193</v>
      </c>
      <c r="J44" s="475" t="s">
        <v>166</v>
      </c>
      <c r="K44" s="90"/>
      <c r="L44" s="382">
        <v>31.4</v>
      </c>
      <c r="M44" s="383">
        <v>30</v>
      </c>
      <c r="N44" s="90"/>
      <c r="O44" s="90"/>
      <c r="P44" s="91"/>
      <c r="Q44" s="487"/>
      <c r="R44" s="488"/>
      <c r="S44" s="388">
        <v>45</v>
      </c>
      <c r="T44" s="90"/>
      <c r="U44" s="90"/>
      <c r="V44" s="520">
        <v>50</v>
      </c>
      <c r="W44" s="521"/>
      <c r="X44" s="73">
        <f t="shared" ref="X44:X65" si="59">IF(OR(J44="KP",J44="BT",J44="LOBBY",J44="B"),L44,"-")</f>
        <v>31.4</v>
      </c>
      <c r="Y44"/>
      <c r="Z44" s="253"/>
      <c r="AA44" s="489"/>
      <c r="AB44" s="29"/>
      <c r="AC44" s="29"/>
      <c r="AD44" s="29"/>
      <c r="AE44" s="29"/>
      <c r="AF44" s="29"/>
      <c r="AG44" s="29"/>
      <c r="AH44" s="29"/>
      <c r="AI44" s="29"/>
      <c r="AJ44" s="242">
        <f t="shared" ref="AJ44:AJ65" si="60">L44*M44</f>
        <v>942</v>
      </c>
      <c r="AK44" s="241"/>
      <c r="AL44" s="241"/>
      <c r="AM44" s="241"/>
      <c r="AN44" s="241"/>
      <c r="AO44" s="241"/>
      <c r="AP44" s="241"/>
      <c r="AQ44" s="241"/>
      <c r="AR44" s="448"/>
      <c r="AS44" s="205"/>
      <c r="AT44" s="205"/>
      <c r="AU44" s="205"/>
      <c r="AV44" s="230"/>
      <c r="AW44" s="241"/>
      <c r="AX44" s="489"/>
      <c r="AY44" s="29"/>
      <c r="AZ44" s="29"/>
      <c r="BA44" s="29"/>
      <c r="BB44" s="29"/>
      <c r="BC44" s="29"/>
      <c r="BD44" s="29"/>
      <c r="BE44" s="29"/>
      <c r="BF44" s="29"/>
      <c r="BG44" s="254">
        <f t="shared" ref="BG44:BG65" si="61">S44*L44</f>
        <v>1413</v>
      </c>
      <c r="BH44" s="241"/>
      <c r="BK44" s="243"/>
      <c r="BL44" s="243"/>
      <c r="BM44" s="243"/>
      <c r="BN44" s="243"/>
      <c r="BO44" s="448"/>
      <c r="BP44" s="205"/>
      <c r="BQ44" s="205"/>
      <c r="BR44" s="205"/>
      <c r="BS44" s="230"/>
    </row>
    <row r="45" spans="1:77" s="219" customFormat="1" ht="18" customHeight="1">
      <c r="A45" s="26"/>
      <c r="B45" s="609"/>
      <c r="C45" s="255">
        <f>IFERROR(SUM(C46,C53,C65),"")</f>
        <v>78032.620660000015</v>
      </c>
      <c r="D45" s="255">
        <f>IFERROR(VLOOKUP("COL",AOP!$A$2:$Z$100,VLOOKUP($C$5,DANE!$B$17:$C$28,2,FALSE),FALSE),0)</f>
        <v>0</v>
      </c>
      <c r="E45" s="255">
        <f>IFERROR(SUM(E46,E53,E65),"")</f>
        <v>76149.551318181824</v>
      </c>
      <c r="F45" s="256">
        <f t="shared" ref="F45" si="62">SUM(F46,F53,F65)</f>
        <v>0</v>
      </c>
      <c r="G45" s="218"/>
      <c r="H45" s="484"/>
      <c r="I45" s="476" t="s">
        <v>194</v>
      </c>
      <c r="J45" s="477" t="s">
        <v>166</v>
      </c>
      <c r="K45" s="29"/>
      <c r="L45" s="382">
        <v>31.4</v>
      </c>
      <c r="M45" s="383">
        <v>30</v>
      </c>
      <c r="N45" s="29"/>
      <c r="O45" s="29"/>
      <c r="P45" s="80"/>
      <c r="Q45" s="487"/>
      <c r="R45" s="488"/>
      <c r="S45" s="389">
        <v>47.5</v>
      </c>
      <c r="T45" s="29"/>
      <c r="U45" s="29"/>
      <c r="V45" s="480"/>
      <c r="W45" s="481"/>
      <c r="X45" s="73">
        <f t="shared" si="59"/>
        <v>31.4</v>
      </c>
      <c r="Y45"/>
      <c r="Z45" s="253"/>
      <c r="AA45" s="489"/>
      <c r="AB45" s="29"/>
      <c r="AC45" s="29"/>
      <c r="AD45" s="29"/>
      <c r="AE45" s="29"/>
      <c r="AF45" s="29"/>
      <c r="AG45" s="29"/>
      <c r="AH45" s="29"/>
      <c r="AI45" s="29"/>
      <c r="AJ45" s="242">
        <f t="shared" si="60"/>
        <v>942</v>
      </c>
      <c r="AK45" s="241"/>
      <c r="AL45" s="241"/>
      <c r="AM45" s="241"/>
      <c r="AN45" s="241"/>
      <c r="AO45" s="241"/>
      <c r="AP45" s="241"/>
      <c r="AQ45" s="241"/>
      <c r="AR45" s="448"/>
      <c r="AS45" s="205"/>
      <c r="AT45" s="205"/>
      <c r="AU45" s="205"/>
      <c r="AV45" s="230"/>
      <c r="AW45" s="241"/>
      <c r="AX45" s="489"/>
      <c r="AY45" s="29"/>
      <c r="AZ45" s="29"/>
      <c r="BA45" s="29"/>
      <c r="BB45" s="29"/>
      <c r="BC45" s="29"/>
      <c r="BD45" s="29"/>
      <c r="BE45" s="29"/>
      <c r="BF45" s="29"/>
      <c r="BG45" s="254">
        <f t="shared" si="61"/>
        <v>1491.5</v>
      </c>
      <c r="BH45" s="241"/>
      <c r="BK45" s="243"/>
      <c r="BL45" s="243"/>
      <c r="BM45" s="243"/>
      <c r="BN45" s="243"/>
      <c r="BO45" s="448"/>
      <c r="BP45" s="205"/>
      <c r="BQ45" s="205"/>
      <c r="BR45" s="205"/>
      <c r="BS45" s="230"/>
    </row>
    <row r="46" spans="1:77" s="219" customFormat="1" ht="18" customHeight="1">
      <c r="A46" s="26"/>
      <c r="B46" s="191" t="s">
        <v>195</v>
      </c>
      <c r="C46" s="257">
        <f>IFERROR(SUM(C47:C52),"")</f>
        <v>39754.393100000001</v>
      </c>
      <c r="D46" s="257">
        <f>IFERROR(SUM(D47:D52),"")</f>
        <v>0</v>
      </c>
      <c r="E46" s="257">
        <f>IFERROR(SUM(E47:E52),"")</f>
        <v>38446.55811818182</v>
      </c>
      <c r="F46" s="258">
        <f t="shared" ref="F46" si="63">SUM(F47:F52)</f>
        <v>0</v>
      </c>
      <c r="G46" s="218"/>
      <c r="H46" s="484"/>
      <c r="I46" s="476" t="s">
        <v>196</v>
      </c>
      <c r="J46" s="477" t="s">
        <v>166</v>
      </c>
      <c r="K46" s="29"/>
      <c r="L46" s="382">
        <v>31.4</v>
      </c>
      <c r="M46" s="383">
        <v>50</v>
      </c>
      <c r="N46" s="29"/>
      <c r="O46" s="29"/>
      <c r="P46" s="80"/>
      <c r="Q46" s="487"/>
      <c r="R46" s="488"/>
      <c r="S46" s="389">
        <v>30.5</v>
      </c>
      <c r="T46" s="29"/>
      <c r="U46" s="29"/>
      <c r="V46" s="480"/>
      <c r="W46" s="481"/>
      <c r="X46" s="73">
        <f t="shared" si="59"/>
        <v>31.4</v>
      </c>
      <c r="Y46"/>
      <c r="Z46" s="253"/>
      <c r="AA46" s="489"/>
      <c r="AB46" s="29"/>
      <c r="AC46" s="29"/>
      <c r="AD46" s="29"/>
      <c r="AE46" s="29"/>
      <c r="AF46" s="29"/>
      <c r="AG46" s="29"/>
      <c r="AH46" s="29"/>
      <c r="AI46" s="29"/>
      <c r="AJ46" s="242">
        <f t="shared" si="60"/>
        <v>1570</v>
      </c>
      <c r="AK46" s="241"/>
      <c r="AL46" s="241"/>
      <c r="AM46" s="241"/>
      <c r="AN46" s="241"/>
      <c r="AO46" s="241"/>
      <c r="AP46" s="241"/>
      <c r="AQ46" s="241"/>
      <c r="AR46" s="448"/>
      <c r="AS46" s="205"/>
      <c r="AT46" s="205"/>
      <c r="AU46" s="205"/>
      <c r="AV46" s="230"/>
      <c r="AW46" s="241"/>
      <c r="AX46" s="489"/>
      <c r="AY46" s="29"/>
      <c r="AZ46" s="29"/>
      <c r="BA46" s="29"/>
      <c r="BB46" s="29"/>
      <c r="BC46" s="29"/>
      <c r="BD46" s="29"/>
      <c r="BE46" s="29"/>
      <c r="BF46" s="29"/>
      <c r="BG46" s="254">
        <f t="shared" si="61"/>
        <v>957.69999999999993</v>
      </c>
      <c r="BH46" s="241"/>
      <c r="BK46" s="243"/>
      <c r="BL46" s="243"/>
      <c r="BM46" s="243"/>
      <c r="BN46" s="243"/>
      <c r="BO46" s="448"/>
      <c r="BP46" s="205"/>
      <c r="BQ46" s="205"/>
      <c r="BR46" s="205"/>
      <c r="BS46" s="230"/>
    </row>
    <row r="47" spans="1:77" s="219" customFormat="1" ht="18" customHeight="1">
      <c r="A47" s="26"/>
      <c r="B47" s="98" t="s">
        <v>197</v>
      </c>
      <c r="C47" s="186">
        <f>IFERROR(AB18+AF18,"")</f>
        <v>30699</v>
      </c>
      <c r="D47" s="186">
        <f>IFERROR(VLOOKUP(B47,AOP!$A$2:$Z$100,VLOOKUP($C$5,DANE!$B$17:$C$28,2,FALSE),FALSE),0)</f>
        <v>0</v>
      </c>
      <c r="E47" s="186">
        <f>IFERROR(AY18+BC18,"")</f>
        <v>29038.545454545456</v>
      </c>
      <c r="F47" s="377"/>
      <c r="G47" s="218"/>
      <c r="H47" s="484"/>
      <c r="I47" s="476" t="s">
        <v>198</v>
      </c>
      <c r="J47" s="477" t="s">
        <v>169</v>
      </c>
      <c r="K47" s="29"/>
      <c r="L47" s="382">
        <v>30.4</v>
      </c>
      <c r="M47" s="383">
        <v>30</v>
      </c>
      <c r="N47" s="29"/>
      <c r="O47" s="29"/>
      <c r="P47" s="80"/>
      <c r="Q47" s="487"/>
      <c r="R47" s="488"/>
      <c r="S47" s="389">
        <v>39.5</v>
      </c>
      <c r="T47" s="29"/>
      <c r="U47" s="29"/>
      <c r="V47" s="480"/>
      <c r="W47" s="481"/>
      <c r="X47" s="73">
        <f t="shared" si="59"/>
        <v>30.4</v>
      </c>
      <c r="Y47"/>
      <c r="Z47" s="253"/>
      <c r="AA47" s="489"/>
      <c r="AB47" s="29"/>
      <c r="AC47" s="29"/>
      <c r="AD47" s="29"/>
      <c r="AE47" s="29"/>
      <c r="AF47" s="29"/>
      <c r="AG47" s="29"/>
      <c r="AH47" s="29"/>
      <c r="AI47" s="29"/>
      <c r="AJ47" s="242">
        <f t="shared" si="60"/>
        <v>912</v>
      </c>
      <c r="AK47" s="241"/>
      <c r="AL47" s="241"/>
      <c r="AM47" s="241"/>
      <c r="AN47" s="241"/>
      <c r="AO47" s="241"/>
      <c r="AP47" s="241"/>
      <c r="AQ47" s="241"/>
      <c r="AR47" s="448"/>
      <c r="AS47" s="205"/>
      <c r="AT47" s="205"/>
      <c r="AU47" s="205"/>
      <c r="AV47" s="230"/>
      <c r="AW47" s="241"/>
      <c r="AX47" s="489"/>
      <c r="AY47" s="29"/>
      <c r="AZ47" s="29"/>
      <c r="BA47" s="29"/>
      <c r="BB47" s="29"/>
      <c r="BC47" s="29"/>
      <c r="BD47" s="29"/>
      <c r="BE47" s="29"/>
      <c r="BF47" s="29"/>
      <c r="BG47" s="254">
        <f t="shared" si="61"/>
        <v>1200.8</v>
      </c>
      <c r="BH47" s="241"/>
      <c r="BK47" s="243"/>
      <c r="BL47" s="243"/>
      <c r="BM47" s="243"/>
      <c r="BN47" s="243"/>
      <c r="BO47" s="448"/>
      <c r="BP47" s="205"/>
      <c r="BQ47" s="205"/>
      <c r="BR47" s="205"/>
      <c r="BS47" s="230"/>
    </row>
    <row r="48" spans="1:77" s="219" customFormat="1" ht="18" customHeight="1">
      <c r="A48" s="26"/>
      <c r="B48" s="98" t="s">
        <v>199</v>
      </c>
      <c r="C48" s="186">
        <f>IFERROR(AC18+AI18+AC19,"")</f>
        <v>1052</v>
      </c>
      <c r="D48" s="186">
        <f>IFERROR(VLOOKUP(B48,AOP!$A$2:$Z$100,VLOOKUP($C$5,DANE!$B$17:$C$28,2,FALSE),FALSE),0)</f>
        <v>0</v>
      </c>
      <c r="E48" s="186">
        <f>IFERROR(AZ18+BF18+AZ19,"")</f>
        <v>1352</v>
      </c>
      <c r="F48" s="377"/>
      <c r="G48" s="218"/>
      <c r="H48" s="484"/>
      <c r="I48" s="476" t="s">
        <v>200</v>
      </c>
      <c r="J48" s="477" t="s">
        <v>169</v>
      </c>
      <c r="K48" s="29"/>
      <c r="L48" s="384">
        <v>30.5</v>
      </c>
      <c r="M48" s="383">
        <v>30</v>
      </c>
      <c r="N48" s="29"/>
      <c r="O48" s="29"/>
      <c r="P48" s="80"/>
      <c r="Q48" s="487"/>
      <c r="R48" s="488"/>
      <c r="S48" s="389">
        <v>56</v>
      </c>
      <c r="T48" s="29"/>
      <c r="U48" s="29"/>
      <c r="V48" s="480"/>
      <c r="W48" s="481"/>
      <c r="X48" s="73">
        <f>IF(OR(J48="KP",J48="BT",J48="LOBBY",J48="B"),L48,"-")</f>
        <v>30.5</v>
      </c>
      <c r="Y48"/>
      <c r="Z48" s="253"/>
      <c r="AA48" s="489"/>
      <c r="AB48" s="29"/>
      <c r="AC48" s="29"/>
      <c r="AD48" s="29"/>
      <c r="AE48" s="29"/>
      <c r="AF48" s="29"/>
      <c r="AG48" s="29"/>
      <c r="AH48" s="29"/>
      <c r="AI48" s="29"/>
      <c r="AJ48" s="242">
        <f t="shared" si="60"/>
        <v>915</v>
      </c>
      <c r="AK48" s="241"/>
      <c r="AL48" s="241"/>
      <c r="AM48" s="241"/>
      <c r="AN48" s="241"/>
      <c r="AO48" s="241"/>
      <c r="AP48" s="241"/>
      <c r="AQ48" s="241"/>
      <c r="AR48" s="448"/>
      <c r="AS48" s="205"/>
      <c r="AT48" s="205"/>
      <c r="AU48" s="205"/>
      <c r="AV48" s="230"/>
      <c r="AW48" s="241"/>
      <c r="AX48" s="489"/>
      <c r="AY48" s="29"/>
      <c r="AZ48" s="29"/>
      <c r="BA48" s="29"/>
      <c r="BB48" s="29"/>
      <c r="BC48" s="29"/>
      <c r="BD48" s="29"/>
      <c r="BE48" s="29"/>
      <c r="BF48" s="29"/>
      <c r="BG48" s="254">
        <f t="shared" si="61"/>
        <v>1708</v>
      </c>
      <c r="BH48" s="241"/>
      <c r="BK48" s="243"/>
      <c r="BL48" s="243"/>
      <c r="BM48" s="243"/>
      <c r="BN48" s="243"/>
      <c r="BO48" s="448"/>
      <c r="BP48" s="205"/>
      <c r="BQ48" s="205"/>
      <c r="BR48" s="205"/>
      <c r="BS48" s="230"/>
    </row>
    <row r="49" spans="1:71" s="219" customFormat="1" ht="18" customHeight="1">
      <c r="A49" s="26"/>
      <c r="B49" s="98" t="s">
        <v>201</v>
      </c>
      <c r="C49" s="186">
        <f>IFERROR(AD18+M75,"")</f>
        <v>5004.7058500000003</v>
      </c>
      <c r="D49" s="186">
        <f>IFERROR(VLOOKUP(B49,AOP!$A$2:$Z$100,VLOOKUP($C$5,DANE!$B$17:$C$28,2,FALSE),FALSE),0)</f>
        <v>0</v>
      </c>
      <c r="E49" s="186">
        <f>IFERROR(BA18+S75,"")</f>
        <v>5050.3245045454541</v>
      </c>
      <c r="F49" s="377"/>
      <c r="G49" s="218"/>
      <c r="H49" s="484"/>
      <c r="I49" s="476" t="s">
        <v>202</v>
      </c>
      <c r="J49" s="477" t="s">
        <v>169</v>
      </c>
      <c r="K49" s="29"/>
      <c r="L49" s="384">
        <v>30.5</v>
      </c>
      <c r="M49" s="383">
        <v>30</v>
      </c>
      <c r="N49" s="29"/>
      <c r="O49" s="29"/>
      <c r="P49" s="80"/>
      <c r="Q49" s="487"/>
      <c r="R49" s="488"/>
      <c r="S49" s="389">
        <v>67</v>
      </c>
      <c r="T49" s="29"/>
      <c r="U49" s="29"/>
      <c r="V49" s="480"/>
      <c r="W49" s="481"/>
      <c r="X49" s="73">
        <f t="shared" si="59"/>
        <v>30.5</v>
      </c>
      <c r="Y49"/>
      <c r="Z49" s="253"/>
      <c r="AA49" s="489"/>
      <c r="AB49" s="29"/>
      <c r="AC49" s="29"/>
      <c r="AD49" s="29"/>
      <c r="AE49" s="29"/>
      <c r="AF49" s="29"/>
      <c r="AG49" s="29"/>
      <c r="AH49" s="29"/>
      <c r="AI49" s="29"/>
      <c r="AJ49" s="242">
        <f t="shared" si="60"/>
        <v>915</v>
      </c>
      <c r="AK49" s="241"/>
      <c r="AL49" s="241"/>
      <c r="AM49" s="241"/>
      <c r="AN49" s="241"/>
      <c r="AO49" s="241"/>
      <c r="AP49" s="241"/>
      <c r="AQ49" s="241"/>
      <c r="AR49" s="448"/>
      <c r="AS49" s="205"/>
      <c r="AT49" s="205"/>
      <c r="AU49" s="205"/>
      <c r="AV49" s="230"/>
      <c r="AW49" s="241"/>
      <c r="AX49" s="489"/>
      <c r="AY49" s="29"/>
      <c r="AZ49" s="29"/>
      <c r="BA49" s="29"/>
      <c r="BB49" s="29"/>
      <c r="BC49" s="29"/>
      <c r="BD49" s="29"/>
      <c r="BE49" s="29"/>
      <c r="BF49" s="29"/>
      <c r="BG49" s="254">
        <f t="shared" si="61"/>
        <v>2043.5</v>
      </c>
      <c r="BH49" s="241"/>
      <c r="BK49" s="243"/>
      <c r="BL49" s="243"/>
      <c r="BM49" s="243"/>
      <c r="BN49" s="243"/>
      <c r="BO49" s="448"/>
      <c r="BP49" s="205"/>
      <c r="BQ49" s="205"/>
      <c r="BR49" s="205"/>
      <c r="BS49" s="230"/>
    </row>
    <row r="50" spans="1:71" s="219" customFormat="1" ht="18" customHeight="1">
      <c r="A50" s="26"/>
      <c r="B50" s="98" t="s">
        <v>203</v>
      </c>
      <c r="C50" s="186">
        <f>IFERROR(AG18+P71,"")</f>
        <v>950</v>
      </c>
      <c r="D50" s="186"/>
      <c r="E50" s="186">
        <f>IFERROR(S71+BD18,"")</f>
        <v>950</v>
      </c>
      <c r="F50" s="377"/>
      <c r="G50" s="218"/>
      <c r="H50" s="484"/>
      <c r="I50" s="476" t="s">
        <v>204</v>
      </c>
      <c r="J50" s="477" t="s">
        <v>169</v>
      </c>
      <c r="K50" s="29"/>
      <c r="L50" s="384">
        <v>30.5</v>
      </c>
      <c r="M50" s="383">
        <v>50</v>
      </c>
      <c r="N50" s="29"/>
      <c r="O50" s="29"/>
      <c r="P50" s="80"/>
      <c r="Q50" s="487"/>
      <c r="R50" s="488"/>
      <c r="S50" s="389">
        <v>51</v>
      </c>
      <c r="T50" s="29"/>
      <c r="U50" s="29"/>
      <c r="V50" s="480">
        <v>150</v>
      </c>
      <c r="W50" s="481"/>
      <c r="X50" s="73">
        <f t="shared" ref="X50:X59" si="64">IF(OR(J50="KP",J50="BT",J50="LOBBY",J50="B"),L50,"-")</f>
        <v>30.5</v>
      </c>
      <c r="Y50"/>
      <c r="Z50" s="253"/>
      <c r="AA50" s="489"/>
      <c r="AB50" s="29"/>
      <c r="AC50" s="29"/>
      <c r="AD50" s="29"/>
      <c r="AE50" s="29"/>
      <c r="AF50" s="29"/>
      <c r="AG50" s="29"/>
      <c r="AH50" s="29"/>
      <c r="AI50" s="29"/>
      <c r="AJ50" s="242">
        <f t="shared" si="60"/>
        <v>1525</v>
      </c>
      <c r="AK50" s="241"/>
      <c r="AL50" s="241"/>
      <c r="AM50" s="241"/>
      <c r="AN50" s="241"/>
      <c r="AO50" s="241"/>
      <c r="AP50" s="241"/>
      <c r="AQ50" s="241"/>
      <c r="AR50" s="448"/>
      <c r="AS50" s="205"/>
      <c r="AT50" s="205"/>
      <c r="AU50" s="205"/>
      <c r="AV50" s="230"/>
      <c r="AW50" s="241"/>
      <c r="AX50" s="489"/>
      <c r="AY50" s="29"/>
      <c r="AZ50" s="29"/>
      <c r="BA50" s="29"/>
      <c r="BB50" s="29"/>
      <c r="BC50" s="29"/>
      <c r="BD50" s="29"/>
      <c r="BE50" s="29"/>
      <c r="BF50" s="29"/>
      <c r="BG50" s="254">
        <f t="shared" si="61"/>
        <v>1555.5</v>
      </c>
      <c r="BH50" s="241"/>
      <c r="BK50" s="243"/>
      <c r="BL50" s="243"/>
      <c r="BM50" s="243"/>
      <c r="BN50" s="243"/>
      <c r="BO50" s="448"/>
      <c r="BP50" s="205"/>
      <c r="BQ50" s="205"/>
      <c r="BR50" s="205"/>
      <c r="BS50" s="230"/>
    </row>
    <row r="51" spans="1:71" s="219" customFormat="1" ht="18" customHeight="1">
      <c r="A51" s="26"/>
      <c r="B51" s="98" t="s">
        <v>205</v>
      </c>
      <c r="C51" s="186">
        <f>IFERROR(AE18,"")</f>
        <v>698.68724999999984</v>
      </c>
      <c r="D51" s="186"/>
      <c r="E51" s="186">
        <f>IFERROR(BB18,"")</f>
        <v>705.68815909090893</v>
      </c>
      <c r="F51" s="377"/>
      <c r="G51" s="218"/>
      <c r="H51" s="484"/>
      <c r="I51" s="476" t="s">
        <v>206</v>
      </c>
      <c r="J51" s="477" t="s">
        <v>169</v>
      </c>
      <c r="K51" s="29"/>
      <c r="L51" s="384">
        <v>30.5</v>
      </c>
      <c r="M51" s="383">
        <v>30</v>
      </c>
      <c r="N51" s="29"/>
      <c r="O51" s="29"/>
      <c r="P51" s="80"/>
      <c r="Q51" s="487"/>
      <c r="R51" s="488"/>
      <c r="S51" s="389">
        <v>0</v>
      </c>
      <c r="T51" s="29"/>
      <c r="U51" s="29"/>
      <c r="V51" s="480"/>
      <c r="W51" s="481"/>
      <c r="X51" s="73">
        <f t="shared" si="64"/>
        <v>30.5</v>
      </c>
      <c r="Y51"/>
      <c r="Z51" s="253"/>
      <c r="AA51" s="489"/>
      <c r="AB51" s="29"/>
      <c r="AC51" s="29"/>
      <c r="AD51" s="29"/>
      <c r="AE51" s="29"/>
      <c r="AF51" s="29"/>
      <c r="AG51" s="29"/>
      <c r="AH51" s="29"/>
      <c r="AI51" s="29"/>
      <c r="AJ51" s="242">
        <f t="shared" si="60"/>
        <v>915</v>
      </c>
      <c r="AK51" s="241"/>
      <c r="AL51" s="241"/>
      <c r="AM51" s="241"/>
      <c r="AN51" s="241"/>
      <c r="AO51" s="241"/>
      <c r="AP51" s="241"/>
      <c r="AQ51" s="241"/>
      <c r="AR51" s="448"/>
      <c r="AS51" s="205"/>
      <c r="AT51" s="205"/>
      <c r="AU51" s="205"/>
      <c r="AV51" s="230"/>
      <c r="AW51" s="241"/>
      <c r="AX51" s="489"/>
      <c r="AY51" s="29"/>
      <c r="AZ51" s="29"/>
      <c r="BA51" s="29"/>
      <c r="BB51" s="29"/>
      <c r="BC51" s="29"/>
      <c r="BD51" s="29"/>
      <c r="BE51" s="29"/>
      <c r="BF51" s="29"/>
      <c r="BG51" s="254">
        <f t="shared" si="61"/>
        <v>0</v>
      </c>
      <c r="BH51" s="241"/>
      <c r="BK51" s="243"/>
      <c r="BL51" s="243"/>
      <c r="BM51" s="243"/>
      <c r="BN51" s="243"/>
      <c r="BO51" s="448"/>
      <c r="BP51" s="205"/>
      <c r="BQ51" s="205"/>
      <c r="BR51" s="205"/>
      <c r="BS51" s="230"/>
    </row>
    <row r="52" spans="1:71" s="219" customFormat="1" ht="18" customHeight="1">
      <c r="A52" s="26"/>
      <c r="B52" s="98" t="s">
        <v>207</v>
      </c>
      <c r="C52" s="186">
        <f>IFERROR(AH18,"")</f>
        <v>1350</v>
      </c>
      <c r="D52" s="186"/>
      <c r="E52" s="186">
        <f>BE18</f>
        <v>1350</v>
      </c>
      <c r="F52" s="377"/>
      <c r="G52" s="218"/>
      <c r="H52" s="484"/>
      <c r="I52" s="476" t="s">
        <v>208</v>
      </c>
      <c r="J52" s="477" t="s">
        <v>169</v>
      </c>
      <c r="K52" s="29"/>
      <c r="L52" s="384">
        <v>30.5</v>
      </c>
      <c r="M52" s="383">
        <v>50</v>
      </c>
      <c r="N52" s="29"/>
      <c r="O52" s="29"/>
      <c r="P52" s="80"/>
      <c r="Q52" s="487"/>
      <c r="R52" s="488"/>
      <c r="S52" s="389">
        <v>46</v>
      </c>
      <c r="T52" s="29"/>
      <c r="U52" s="29"/>
      <c r="V52" s="480"/>
      <c r="W52" s="481"/>
      <c r="X52" s="73">
        <f t="shared" si="64"/>
        <v>30.5</v>
      </c>
      <c r="Y52"/>
      <c r="Z52" s="253"/>
      <c r="AA52" s="489"/>
      <c r="AB52" s="29"/>
      <c r="AC52" s="29"/>
      <c r="AD52" s="29"/>
      <c r="AE52" s="29"/>
      <c r="AF52" s="29"/>
      <c r="AG52" s="29"/>
      <c r="AH52" s="29"/>
      <c r="AI52" s="29"/>
      <c r="AJ52" s="242">
        <f t="shared" si="60"/>
        <v>1525</v>
      </c>
      <c r="AK52" s="241"/>
      <c r="AL52" s="241"/>
      <c r="AM52" s="241"/>
      <c r="AN52" s="241"/>
      <c r="AO52" s="241"/>
      <c r="AP52" s="241"/>
      <c r="AQ52" s="241"/>
      <c r="AR52" s="448"/>
      <c r="AS52" s="205"/>
      <c r="AT52" s="205"/>
      <c r="AU52" s="205"/>
      <c r="AV52" s="230"/>
      <c r="AW52" s="241"/>
      <c r="AX52" s="489"/>
      <c r="AY52" s="29"/>
      <c r="AZ52" s="29"/>
      <c r="BA52" s="29"/>
      <c r="BB52" s="29"/>
      <c r="BC52" s="29"/>
      <c r="BD52" s="29"/>
      <c r="BE52" s="29"/>
      <c r="BF52" s="29"/>
      <c r="BG52" s="254">
        <f t="shared" si="61"/>
        <v>1403</v>
      </c>
      <c r="BH52" s="241"/>
      <c r="BK52" s="243"/>
      <c r="BL52" s="243"/>
      <c r="BM52" s="243"/>
      <c r="BN52" s="243"/>
      <c r="BO52" s="448"/>
      <c r="BP52" s="205"/>
      <c r="BQ52" s="205"/>
      <c r="BR52" s="205"/>
      <c r="BS52" s="230"/>
    </row>
    <row r="53" spans="1:71" s="219" customFormat="1" ht="18" customHeight="1">
      <c r="A53" s="26"/>
      <c r="B53" s="191" t="s">
        <v>209</v>
      </c>
      <c r="C53" s="257">
        <f>IFERROR(SUM(C54:C64)-C54,"")</f>
        <v>35198.227560000014</v>
      </c>
      <c r="D53" s="257">
        <f>IFERROR(SUM(D54:D64),"")</f>
        <v>0</v>
      </c>
      <c r="E53" s="257">
        <f>IFERROR(SUM(E54:E64)-E54,"")</f>
        <v>34818.993199999997</v>
      </c>
      <c r="F53" s="258">
        <f>SUM(F54:F64)</f>
        <v>0</v>
      </c>
      <c r="G53" s="218"/>
      <c r="H53" s="484"/>
      <c r="I53" s="476" t="s">
        <v>210</v>
      </c>
      <c r="J53" s="477" t="s">
        <v>169</v>
      </c>
      <c r="K53" s="29"/>
      <c r="L53" s="384">
        <v>30.5</v>
      </c>
      <c r="M53" s="383">
        <v>50</v>
      </c>
      <c r="N53" s="29"/>
      <c r="O53" s="29"/>
      <c r="P53" s="80"/>
      <c r="Q53" s="487"/>
      <c r="R53" s="488"/>
      <c r="S53" s="389">
        <v>45</v>
      </c>
      <c r="T53" s="29"/>
      <c r="U53" s="29"/>
      <c r="V53" s="480"/>
      <c r="W53" s="481"/>
      <c r="X53" s="73">
        <f t="shared" si="64"/>
        <v>30.5</v>
      </c>
      <c r="Y53"/>
      <c r="Z53" s="253"/>
      <c r="AA53" s="489"/>
      <c r="AB53" s="29"/>
      <c r="AC53" s="29"/>
      <c r="AD53" s="29"/>
      <c r="AE53" s="29"/>
      <c r="AF53" s="29"/>
      <c r="AG53" s="29"/>
      <c r="AH53" s="29"/>
      <c r="AI53" s="29"/>
      <c r="AJ53" s="242">
        <f t="shared" si="60"/>
        <v>1525</v>
      </c>
      <c r="AK53" s="241"/>
      <c r="AL53" s="241"/>
      <c r="AM53" s="241"/>
      <c r="AN53" s="241"/>
      <c r="AO53" s="241"/>
      <c r="AP53" s="241"/>
      <c r="AQ53" s="241"/>
      <c r="AR53" s="448"/>
      <c r="AS53" s="205"/>
      <c r="AT53" s="205"/>
      <c r="AU53" s="205"/>
      <c r="AV53" s="230"/>
      <c r="AW53" s="241"/>
      <c r="AX53" s="489"/>
      <c r="AY53" s="29"/>
      <c r="AZ53" s="29"/>
      <c r="BA53" s="29"/>
      <c r="BB53" s="29"/>
      <c r="BC53" s="29"/>
      <c r="BD53" s="29"/>
      <c r="BE53" s="29"/>
      <c r="BF53" s="29"/>
      <c r="BG53" s="254">
        <f t="shared" si="61"/>
        <v>1372.5</v>
      </c>
      <c r="BH53" s="241"/>
      <c r="BK53" s="243"/>
      <c r="BL53" s="243"/>
      <c r="BM53" s="243"/>
      <c r="BN53" s="243"/>
      <c r="BO53" s="448"/>
      <c r="BP53" s="205"/>
      <c r="BQ53" s="205"/>
      <c r="BR53" s="205"/>
      <c r="BS53" s="230"/>
    </row>
    <row r="54" spans="1:71" s="219" customFormat="1" ht="18" customHeight="1">
      <c r="A54" s="26"/>
      <c r="B54" s="99" t="s">
        <v>211</v>
      </c>
      <c r="C54" s="187">
        <f>IFERROR(SUM(C55:C59),"")</f>
        <v>32115.200000000001</v>
      </c>
      <c r="D54" s="187">
        <f>IFERROR(VLOOKUP(B54,AOP!$A$2:$Z$100,VLOOKUP($C$5,DANE!$B$17:$C$28,2,FALSE),FALSE),0)</f>
        <v>0</v>
      </c>
      <c r="E54" s="187">
        <f>IFERROR(SUM(E55:E59),"")</f>
        <v>32061.75</v>
      </c>
      <c r="F54" s="377"/>
      <c r="G54" s="218"/>
      <c r="H54" s="484"/>
      <c r="I54" s="476" t="s">
        <v>212</v>
      </c>
      <c r="J54" s="477" t="s">
        <v>169</v>
      </c>
      <c r="K54" s="29"/>
      <c r="L54" s="384">
        <v>30.5</v>
      </c>
      <c r="M54" s="383">
        <v>50</v>
      </c>
      <c r="N54" s="29"/>
      <c r="O54" s="29"/>
      <c r="P54" s="80"/>
      <c r="Q54" s="487"/>
      <c r="R54" s="488"/>
      <c r="S54" s="389">
        <v>44</v>
      </c>
      <c r="T54" s="29"/>
      <c r="U54" s="29"/>
      <c r="V54" s="480"/>
      <c r="W54" s="481"/>
      <c r="X54" s="73">
        <f t="shared" si="64"/>
        <v>30.5</v>
      </c>
      <c r="Y54"/>
      <c r="Z54" s="253"/>
      <c r="AA54" s="489"/>
      <c r="AB54" s="29"/>
      <c r="AC54" s="29"/>
      <c r="AD54" s="29"/>
      <c r="AE54" s="29"/>
      <c r="AF54" s="29"/>
      <c r="AG54" s="29"/>
      <c r="AH54" s="29"/>
      <c r="AI54" s="29"/>
      <c r="AJ54" s="242">
        <f t="shared" si="60"/>
        <v>1525</v>
      </c>
      <c r="AK54" s="241"/>
      <c r="AL54" s="241"/>
      <c r="AM54" s="241"/>
      <c r="AN54" s="241"/>
      <c r="AO54" s="241"/>
      <c r="AP54" s="241"/>
      <c r="AQ54" s="241"/>
      <c r="AR54" s="448"/>
      <c r="AS54" s="205"/>
      <c r="AT54" s="205"/>
      <c r="AU54" s="205"/>
      <c r="AV54" s="230"/>
      <c r="AW54" s="241"/>
      <c r="AX54" s="489"/>
      <c r="AY54" s="29"/>
      <c r="AZ54" s="29"/>
      <c r="BA54" s="29"/>
      <c r="BB54" s="29"/>
      <c r="BC54" s="29"/>
      <c r="BD54" s="29"/>
      <c r="BE54" s="29"/>
      <c r="BF54" s="29"/>
      <c r="BG54" s="254">
        <f>S54*L54</f>
        <v>1342</v>
      </c>
      <c r="BH54" s="241"/>
      <c r="BK54" s="243"/>
      <c r="BL54" s="243"/>
      <c r="BM54" s="243"/>
      <c r="BN54" s="243"/>
      <c r="BO54" s="448"/>
      <c r="BP54" s="205"/>
      <c r="BQ54" s="205"/>
      <c r="BR54" s="205"/>
      <c r="BS54" s="230"/>
    </row>
    <row r="55" spans="1:71" s="219" customFormat="1" ht="18" customHeight="1">
      <c r="A55" s="26"/>
      <c r="B55" s="184" t="s">
        <v>213</v>
      </c>
      <c r="C55" s="187">
        <f>IFERROR(AB41,"")</f>
        <v>6822.2</v>
      </c>
      <c r="D55" s="187"/>
      <c r="E55" s="187">
        <f>IFERROR(AY41,"")</f>
        <v>6359</v>
      </c>
      <c r="F55" s="80"/>
      <c r="G55" s="218"/>
      <c r="H55" s="484"/>
      <c r="I55" s="476" t="s">
        <v>214</v>
      </c>
      <c r="J55" s="477" t="s">
        <v>169</v>
      </c>
      <c r="K55" s="29"/>
      <c r="L55" s="384">
        <v>30.5</v>
      </c>
      <c r="M55" s="383">
        <v>50</v>
      </c>
      <c r="N55" s="29"/>
      <c r="O55" s="29"/>
      <c r="P55" s="80"/>
      <c r="Q55" s="487"/>
      <c r="R55" s="488"/>
      <c r="S55" s="389">
        <v>33</v>
      </c>
      <c r="T55" s="29"/>
      <c r="U55" s="29"/>
      <c r="V55" s="480"/>
      <c r="W55" s="481"/>
      <c r="X55" s="73">
        <f t="shared" si="64"/>
        <v>30.5</v>
      </c>
      <c r="Y55"/>
      <c r="Z55" s="253"/>
      <c r="AA55" s="489"/>
      <c r="AB55" s="29"/>
      <c r="AC55" s="29"/>
      <c r="AD55" s="29"/>
      <c r="AE55" s="29"/>
      <c r="AF55" s="29"/>
      <c r="AG55" s="29"/>
      <c r="AH55" s="29"/>
      <c r="AI55" s="29"/>
      <c r="AJ55" s="242">
        <f t="shared" si="60"/>
        <v>1525</v>
      </c>
      <c r="AK55" s="241"/>
      <c r="AL55" s="241"/>
      <c r="AM55" s="241"/>
      <c r="AN55" s="241"/>
      <c r="AO55" s="241"/>
      <c r="AP55" s="241"/>
      <c r="AQ55" s="241"/>
      <c r="AR55" s="448"/>
      <c r="AS55" s="205"/>
      <c r="AT55" s="205"/>
      <c r="AU55" s="205"/>
      <c r="AV55" s="230"/>
      <c r="AW55" s="241"/>
      <c r="AX55" s="489"/>
      <c r="AY55" s="29"/>
      <c r="AZ55" s="29"/>
      <c r="BA55" s="29"/>
      <c r="BB55" s="29"/>
      <c r="BC55" s="29"/>
      <c r="BD55" s="29"/>
      <c r="BE55" s="29"/>
      <c r="BF55" s="29"/>
      <c r="BG55" s="254">
        <f t="shared" si="61"/>
        <v>1006.5</v>
      </c>
      <c r="BH55" s="241"/>
      <c r="BK55" s="243"/>
      <c r="BL55" s="243"/>
      <c r="BM55" s="243"/>
      <c r="BN55" s="243"/>
      <c r="BO55" s="448"/>
      <c r="BP55" s="205"/>
      <c r="BQ55" s="205"/>
      <c r="BR55" s="205"/>
      <c r="BS55" s="230"/>
    </row>
    <row r="56" spans="1:71" s="219" customFormat="1" ht="18" customHeight="1">
      <c r="A56" s="26"/>
      <c r="B56" s="185" t="s">
        <v>215</v>
      </c>
      <c r="C56" s="186">
        <f>IFERROR(AM41,"")</f>
        <v>0</v>
      </c>
      <c r="D56" s="186"/>
      <c r="E56" s="186">
        <f>IFERROR(BJ41,"")</f>
        <v>0</v>
      </c>
      <c r="F56" s="80"/>
      <c r="G56" s="218"/>
      <c r="H56" s="484"/>
      <c r="I56" s="476" t="s">
        <v>216</v>
      </c>
      <c r="J56" s="387" t="s">
        <v>169</v>
      </c>
      <c r="K56" s="29"/>
      <c r="L56" s="384">
        <v>30.5</v>
      </c>
      <c r="M56" s="383">
        <v>30</v>
      </c>
      <c r="N56" s="29"/>
      <c r="O56" s="29"/>
      <c r="P56" s="80"/>
      <c r="Q56" s="487"/>
      <c r="R56" s="488"/>
      <c r="S56" s="389">
        <v>109</v>
      </c>
      <c r="T56" s="29"/>
      <c r="U56" s="29"/>
      <c r="V56" s="480">
        <v>200</v>
      </c>
      <c r="W56" s="481"/>
      <c r="X56" s="73">
        <f t="shared" si="64"/>
        <v>30.5</v>
      </c>
      <c r="Y56"/>
      <c r="Z56" s="253"/>
      <c r="AA56" s="489"/>
      <c r="AB56" s="29"/>
      <c r="AC56" s="29"/>
      <c r="AD56" s="29"/>
      <c r="AE56" s="29"/>
      <c r="AF56" s="29"/>
      <c r="AG56" s="29"/>
      <c r="AH56" s="29"/>
      <c r="AI56" s="29"/>
      <c r="AJ56" s="242">
        <f t="shared" si="60"/>
        <v>915</v>
      </c>
      <c r="AK56" s="241"/>
      <c r="AL56" s="241"/>
      <c r="AM56" s="241"/>
      <c r="AN56" s="241"/>
      <c r="AO56" s="241"/>
      <c r="AP56" s="241"/>
      <c r="AQ56" s="241"/>
      <c r="AR56" s="448"/>
      <c r="AS56" s="205"/>
      <c r="AT56" s="205"/>
      <c r="AU56" s="205"/>
      <c r="AV56" s="230"/>
      <c r="AW56" s="241"/>
      <c r="AX56" s="489"/>
      <c r="AY56" s="29"/>
      <c r="AZ56" s="29"/>
      <c r="BA56" s="29"/>
      <c r="BB56" s="29"/>
      <c r="BC56" s="29"/>
      <c r="BD56" s="29"/>
      <c r="BE56" s="29"/>
      <c r="BF56" s="29"/>
      <c r="BG56" s="254">
        <f t="shared" si="61"/>
        <v>3324.5</v>
      </c>
      <c r="BH56" s="241"/>
      <c r="BK56" s="243"/>
      <c r="BL56" s="243"/>
      <c r="BM56" s="243"/>
      <c r="BN56" s="243"/>
      <c r="BO56" s="448"/>
      <c r="BP56" s="205"/>
      <c r="BQ56" s="205"/>
      <c r="BR56" s="205"/>
      <c r="BS56" s="230"/>
    </row>
    <row r="57" spans="1:71" s="219" customFormat="1" ht="15" customHeight="1">
      <c r="A57" s="26"/>
      <c r="B57" s="185" t="s">
        <v>217</v>
      </c>
      <c r="C57" s="186">
        <f>IFERROR(AS41,"")</f>
        <v>0</v>
      </c>
      <c r="D57" s="186"/>
      <c r="E57" s="186">
        <f>IFERROR(BP41,"")</f>
        <v>0</v>
      </c>
      <c r="F57" s="80"/>
      <c r="G57" s="218"/>
      <c r="H57" s="484"/>
      <c r="I57" s="386" t="s">
        <v>218</v>
      </c>
      <c r="J57" s="387" t="s">
        <v>169</v>
      </c>
      <c r="K57" s="29"/>
      <c r="L57" s="384">
        <v>30.5</v>
      </c>
      <c r="M57" s="383">
        <v>30</v>
      </c>
      <c r="N57" s="29"/>
      <c r="O57" s="29"/>
      <c r="P57" s="80"/>
      <c r="Q57" s="487"/>
      <c r="R57" s="488"/>
      <c r="S57" s="389">
        <v>0</v>
      </c>
      <c r="T57" s="29"/>
      <c r="U57" s="29"/>
      <c r="V57" s="480"/>
      <c r="W57" s="481"/>
      <c r="X57" s="73">
        <f>IF(OR(J57="KP",J57="BT",J57="LOBBY",J57="B"),L57,"-")</f>
        <v>30.5</v>
      </c>
      <c r="Y57"/>
      <c r="Z57" s="253"/>
      <c r="AA57" s="489"/>
      <c r="AB57" s="29"/>
      <c r="AC57" s="29"/>
      <c r="AD57" s="29"/>
      <c r="AE57" s="29"/>
      <c r="AF57" s="29"/>
      <c r="AG57" s="29"/>
      <c r="AH57" s="29"/>
      <c r="AI57" s="29"/>
      <c r="AJ57" s="242">
        <f t="shared" si="60"/>
        <v>915</v>
      </c>
      <c r="AK57" s="241"/>
      <c r="AL57" s="241"/>
      <c r="AM57" s="241"/>
      <c r="AN57" s="241"/>
      <c r="AO57" s="241"/>
      <c r="AP57" s="241"/>
      <c r="AQ57" s="241"/>
      <c r="AR57" s="448"/>
      <c r="AS57" s="205"/>
      <c r="AT57" s="205"/>
      <c r="AU57" s="205"/>
      <c r="AV57" s="230"/>
      <c r="AW57" s="241"/>
      <c r="AX57" s="489"/>
      <c r="AY57" s="29"/>
      <c r="AZ57" s="29"/>
      <c r="BA57" s="29"/>
      <c r="BB57" s="29"/>
      <c r="BC57" s="29"/>
      <c r="BD57" s="29"/>
      <c r="BE57" s="29"/>
      <c r="BF57" s="29"/>
      <c r="BG57" s="254">
        <f t="shared" si="61"/>
        <v>0</v>
      </c>
      <c r="BH57" s="241"/>
      <c r="BK57" s="243"/>
      <c r="BL57" s="243"/>
      <c r="BM57" s="243"/>
      <c r="BN57" s="243"/>
      <c r="BO57" s="448"/>
      <c r="BP57" s="205"/>
      <c r="BQ57" s="205"/>
      <c r="BR57" s="205"/>
      <c r="BS57" s="230"/>
    </row>
    <row r="58" spans="1:71" s="219" customFormat="1" ht="15.75" customHeight="1">
      <c r="A58" s="26"/>
      <c r="B58" s="184" t="s">
        <v>219</v>
      </c>
      <c r="C58" s="187">
        <f>IFERROR(AF41+AU41,"")</f>
        <v>187</v>
      </c>
      <c r="D58" s="187"/>
      <c r="E58" s="187">
        <f>IFERROR(BC41+BR41,"")</f>
        <v>174.25</v>
      </c>
      <c r="F58" s="80"/>
      <c r="H58" s="484"/>
      <c r="I58" s="386" t="s">
        <v>220</v>
      </c>
      <c r="J58" s="387" t="s">
        <v>169</v>
      </c>
      <c r="K58" s="29"/>
      <c r="L58" s="384">
        <v>30.5</v>
      </c>
      <c r="M58" s="383">
        <v>30</v>
      </c>
      <c r="N58" s="29"/>
      <c r="O58" s="29"/>
      <c r="P58" s="80"/>
      <c r="Q58" s="487"/>
      <c r="R58" s="488"/>
      <c r="S58" s="389">
        <v>87.5</v>
      </c>
      <c r="T58" s="29"/>
      <c r="U58" s="29"/>
      <c r="V58" s="480"/>
      <c r="W58" s="481"/>
      <c r="X58" s="73">
        <f>IF(OR(J58="KP",J58="BT",J58="LOBBY",J58="B"),L58,"-")</f>
        <v>30.5</v>
      </c>
      <c r="Y58"/>
      <c r="Z58" s="253"/>
      <c r="AA58" s="489"/>
      <c r="AB58" s="29"/>
      <c r="AC58" s="29"/>
      <c r="AD58" s="29"/>
      <c r="AE58" s="29"/>
      <c r="AF58" s="29"/>
      <c r="AG58" s="29"/>
      <c r="AH58" s="29"/>
      <c r="AI58" s="29"/>
      <c r="AJ58" s="242">
        <f t="shared" si="60"/>
        <v>915</v>
      </c>
      <c r="AK58" s="241"/>
      <c r="AL58" s="241"/>
      <c r="AM58" s="241"/>
      <c r="AN58" s="241"/>
      <c r="AO58" s="241"/>
      <c r="AP58" s="241"/>
      <c r="AQ58" s="241"/>
      <c r="AR58" s="448"/>
      <c r="AS58" s="205"/>
      <c r="AT58" s="205"/>
      <c r="AU58" s="205"/>
      <c r="AV58" s="230"/>
      <c r="AW58" s="241"/>
      <c r="AX58" s="489"/>
      <c r="AY58" s="29"/>
      <c r="AZ58" s="29"/>
      <c r="BA58" s="29"/>
      <c r="BB58" s="29"/>
      <c r="BC58" s="29"/>
      <c r="BD58" s="29"/>
      <c r="BE58" s="29"/>
      <c r="BF58" s="29"/>
      <c r="BG58" s="254">
        <f t="shared" si="61"/>
        <v>2668.75</v>
      </c>
      <c r="BH58" s="241"/>
      <c r="BK58" s="243"/>
      <c r="BL58" s="243"/>
      <c r="BM58" s="243"/>
      <c r="BN58" s="243"/>
      <c r="BO58" s="448"/>
      <c r="BP58" s="205"/>
      <c r="BQ58" s="205"/>
      <c r="BR58" s="205"/>
      <c r="BS58" s="230"/>
    </row>
    <row r="59" spans="1:71" s="219" customFormat="1" ht="15.75">
      <c r="A59" s="26"/>
      <c r="B59" s="182" t="s">
        <v>221</v>
      </c>
      <c r="C59" s="187">
        <f>IFERROR(AJ66,"")</f>
        <v>25106</v>
      </c>
      <c r="D59" s="187"/>
      <c r="E59" s="187">
        <f>IFERROR(BG66,"")</f>
        <v>25528.5</v>
      </c>
      <c r="F59" s="80"/>
      <c r="G59" s="44"/>
      <c r="H59" s="484"/>
      <c r="I59" s="386" t="s">
        <v>222</v>
      </c>
      <c r="J59" s="387" t="s">
        <v>169</v>
      </c>
      <c r="K59" s="29"/>
      <c r="L59" s="384">
        <v>30.5</v>
      </c>
      <c r="M59" s="383">
        <v>30</v>
      </c>
      <c r="N59" s="29"/>
      <c r="O59" s="29"/>
      <c r="P59" s="80"/>
      <c r="Q59" s="487"/>
      <c r="R59" s="488"/>
      <c r="S59" s="389">
        <v>0</v>
      </c>
      <c r="T59" s="29"/>
      <c r="U59" s="29"/>
      <c r="V59" s="480"/>
      <c r="W59" s="481"/>
      <c r="X59" s="73">
        <f t="shared" si="64"/>
        <v>30.5</v>
      </c>
      <c r="Y59"/>
      <c r="Z59" s="253"/>
      <c r="AA59" s="489"/>
      <c r="AB59" s="29"/>
      <c r="AC59" s="29"/>
      <c r="AD59" s="29"/>
      <c r="AE59" s="29"/>
      <c r="AF59" s="29"/>
      <c r="AG59" s="29"/>
      <c r="AH59" s="29"/>
      <c r="AI59" s="29"/>
      <c r="AJ59" s="242">
        <f t="shared" si="60"/>
        <v>915</v>
      </c>
      <c r="AK59" s="241"/>
      <c r="AL59" s="241"/>
      <c r="AM59" s="241"/>
      <c r="AN59" s="241"/>
      <c r="AO59" s="241"/>
      <c r="AP59" s="241"/>
      <c r="AQ59" s="241"/>
      <c r="AR59" s="448"/>
      <c r="AS59" s="205"/>
      <c r="AT59" s="205"/>
      <c r="AU59" s="205"/>
      <c r="AV59" s="230"/>
      <c r="AW59" s="241"/>
      <c r="AX59" s="489"/>
      <c r="AY59" s="29"/>
      <c r="AZ59" s="29"/>
      <c r="BA59" s="29"/>
      <c r="BB59" s="29"/>
      <c r="BC59" s="29"/>
      <c r="BD59" s="29"/>
      <c r="BE59" s="29"/>
      <c r="BF59" s="29"/>
      <c r="BG59" s="254">
        <f t="shared" si="61"/>
        <v>0</v>
      </c>
      <c r="BH59" s="241"/>
      <c r="BK59" s="243"/>
      <c r="BL59" s="243"/>
      <c r="BM59" s="243"/>
      <c r="BN59" s="243"/>
      <c r="BO59" s="448"/>
      <c r="BP59" s="205"/>
      <c r="BQ59" s="205"/>
      <c r="BR59" s="205"/>
      <c r="BS59" s="230"/>
    </row>
    <row r="60" spans="1:71" s="219" customFormat="1" ht="18.75" customHeight="1">
      <c r="A60" s="26"/>
      <c r="B60" s="98" t="s">
        <v>223</v>
      </c>
      <c r="C60" s="186">
        <f>IFERROR(P68+P70,"")</f>
        <v>600</v>
      </c>
      <c r="D60" s="186">
        <f>IFERROR(VLOOKUP(B60,AOP!$A$2:$Z$100,VLOOKUP($C$5,DANE!$B$17:$C$28,2,FALSE),FALSE),0)</f>
        <v>0</v>
      </c>
      <c r="E60" s="186">
        <f>IFERROR(S68+S70,"")</f>
        <v>400</v>
      </c>
      <c r="F60" s="377"/>
      <c r="G60" s="183"/>
      <c r="H60" s="484"/>
      <c r="I60" s="386" t="s">
        <v>224</v>
      </c>
      <c r="J60" s="387" t="s">
        <v>169</v>
      </c>
      <c r="K60" s="29"/>
      <c r="L60" s="384">
        <v>30.5</v>
      </c>
      <c r="M60" s="383">
        <v>50</v>
      </c>
      <c r="N60" s="29"/>
      <c r="O60" s="29"/>
      <c r="P60" s="80"/>
      <c r="Q60" s="487"/>
      <c r="R60" s="488"/>
      <c r="S60" s="389">
        <v>30.5</v>
      </c>
      <c r="T60" s="29"/>
      <c r="U60" s="29"/>
      <c r="V60" s="480"/>
      <c r="W60" s="481"/>
      <c r="X60" s="73">
        <f t="shared" si="59"/>
        <v>30.5</v>
      </c>
      <c r="Y60"/>
      <c r="Z60" s="253"/>
      <c r="AA60" s="489"/>
      <c r="AB60" s="29"/>
      <c r="AC60" s="29"/>
      <c r="AD60" s="29"/>
      <c r="AE60" s="29"/>
      <c r="AF60" s="29"/>
      <c r="AG60" s="29"/>
      <c r="AH60" s="29"/>
      <c r="AI60" s="29"/>
      <c r="AJ60" s="242">
        <f t="shared" si="60"/>
        <v>1525</v>
      </c>
      <c r="AK60" s="241"/>
      <c r="AL60" s="241"/>
      <c r="AM60" s="241"/>
      <c r="AN60" s="241"/>
      <c r="AO60" s="241"/>
      <c r="AP60" s="241"/>
      <c r="AQ60" s="241"/>
      <c r="AR60" s="448"/>
      <c r="AS60" s="205"/>
      <c r="AT60" s="205"/>
      <c r="AU60" s="205"/>
      <c r="AV60" s="230"/>
      <c r="AW60" s="241"/>
      <c r="AX60" s="489"/>
      <c r="AY60" s="29"/>
      <c r="AZ60" s="29"/>
      <c r="BA60" s="29"/>
      <c r="BB60" s="29"/>
      <c r="BC60" s="29"/>
      <c r="BD60" s="29"/>
      <c r="BE60" s="29"/>
      <c r="BF60" s="29"/>
      <c r="BG60" s="254">
        <f t="shared" si="61"/>
        <v>930.25</v>
      </c>
      <c r="BH60" s="241"/>
      <c r="BK60" s="243"/>
      <c r="BL60" s="243"/>
      <c r="BM60" s="243"/>
      <c r="BN60" s="243"/>
      <c r="BO60" s="448"/>
      <c r="BP60" s="205"/>
      <c r="BQ60" s="205"/>
      <c r="BR60" s="205"/>
      <c r="BS60" s="230"/>
    </row>
    <row r="61" spans="1:71" s="219" customFormat="1" ht="18.75" customHeight="1">
      <c r="A61" s="26"/>
      <c r="B61" s="99" t="s">
        <v>225</v>
      </c>
      <c r="C61" s="187">
        <f>IFERROR(AD41+AD67+AD68+AD69+AD70+AD74+AN41+AT41+P75,"")</f>
        <v>1309.0614599999999</v>
      </c>
      <c r="D61" s="187">
        <f>IFERROR(VLOOKUP(B61,AOP!$A$2:$Z$100,VLOOKUP($C$5,DANE!$B$17:$C$28,2,FALSE),FALSE),0)</f>
        <v>0</v>
      </c>
      <c r="E61" s="187">
        <f>IFERROR(BA41+BA67+BA68+BA69+BA70+BA74+BK41+BQ41+T75,"")</f>
        <v>1195.0887</v>
      </c>
      <c r="F61" s="377"/>
      <c r="G61" s="183"/>
      <c r="H61" s="484"/>
      <c r="I61" s="386" t="s">
        <v>226</v>
      </c>
      <c r="J61" s="387" t="s">
        <v>169</v>
      </c>
      <c r="K61" s="29"/>
      <c r="L61" s="384">
        <v>30.5</v>
      </c>
      <c r="M61" s="383">
        <v>30</v>
      </c>
      <c r="N61" s="29"/>
      <c r="O61" s="29"/>
      <c r="P61" s="80"/>
      <c r="Q61" s="487"/>
      <c r="R61" s="488"/>
      <c r="S61" s="389">
        <v>43</v>
      </c>
      <c r="T61" s="29"/>
      <c r="U61" s="29"/>
      <c r="V61" s="480"/>
      <c r="W61" s="481"/>
      <c r="X61" s="73">
        <f t="shared" si="59"/>
        <v>30.5</v>
      </c>
      <c r="Y61"/>
      <c r="Z61" s="253"/>
      <c r="AA61" s="489"/>
      <c r="AB61" s="29"/>
      <c r="AC61" s="29"/>
      <c r="AD61" s="29"/>
      <c r="AE61" s="29"/>
      <c r="AF61" s="29"/>
      <c r="AG61" s="29"/>
      <c r="AH61" s="29"/>
      <c r="AI61" s="29"/>
      <c r="AJ61" s="242">
        <f t="shared" si="60"/>
        <v>915</v>
      </c>
      <c r="AK61" s="241"/>
      <c r="AL61" s="241"/>
      <c r="AM61" s="241"/>
      <c r="AN61" s="241"/>
      <c r="AO61" s="241"/>
      <c r="AP61" s="241"/>
      <c r="AQ61" s="241"/>
      <c r="AR61" s="448"/>
      <c r="AS61" s="205"/>
      <c r="AT61" s="205"/>
      <c r="AU61" s="205"/>
      <c r="AV61" s="230"/>
      <c r="AW61" s="241"/>
      <c r="AX61" s="489"/>
      <c r="AY61" s="29"/>
      <c r="AZ61" s="29"/>
      <c r="BA61" s="29"/>
      <c r="BB61" s="29"/>
      <c r="BC61" s="29"/>
      <c r="BD61" s="29"/>
      <c r="BE61" s="29"/>
      <c r="BF61" s="29"/>
      <c r="BG61" s="254">
        <f t="shared" si="61"/>
        <v>1311.5</v>
      </c>
      <c r="BH61" s="241"/>
      <c r="BK61" s="243"/>
      <c r="BL61" s="243"/>
      <c r="BM61" s="243"/>
      <c r="BN61" s="243"/>
      <c r="BO61" s="448"/>
      <c r="BP61" s="205"/>
      <c r="BQ61" s="205"/>
      <c r="BR61" s="205"/>
      <c r="BS61" s="230"/>
    </row>
    <row r="62" spans="1:71" s="219" customFormat="1" ht="18.75" customHeight="1">
      <c r="A62" s="26"/>
      <c r="B62" s="98" t="s">
        <v>227</v>
      </c>
      <c r="C62" s="186">
        <f>IFERROR(AG41+P72,"")</f>
        <v>250</v>
      </c>
      <c r="D62" s="186">
        <f>IFERROR(VLOOKUP("Disability Fund",AOP!$A$2:$Z$100,VLOOKUP($C$5,DANE!$B$17:$C$28,2,FALSE),FALSE),0)</f>
        <v>0</v>
      </c>
      <c r="E62" s="186">
        <f>IFERROR(BD41+S72,"")</f>
        <v>250</v>
      </c>
      <c r="F62" s="377"/>
      <c r="G62" s="183"/>
      <c r="H62" s="484"/>
      <c r="I62" s="386" t="s">
        <v>228</v>
      </c>
      <c r="J62" s="387" t="s">
        <v>169</v>
      </c>
      <c r="K62" s="29"/>
      <c r="L62" s="384">
        <v>30.5</v>
      </c>
      <c r="M62" s="383">
        <v>70</v>
      </c>
      <c r="N62" s="29"/>
      <c r="O62" s="29"/>
      <c r="P62" s="80"/>
      <c r="Q62" s="487"/>
      <c r="R62" s="488"/>
      <c r="S62" s="389">
        <v>59</v>
      </c>
      <c r="T62" s="29"/>
      <c r="U62" s="29"/>
      <c r="V62" s="480"/>
      <c r="W62" s="481"/>
      <c r="X62" s="73">
        <f t="shared" si="59"/>
        <v>30.5</v>
      </c>
      <c r="Y62"/>
      <c r="Z62" s="253"/>
      <c r="AA62" s="489"/>
      <c r="AB62" s="29"/>
      <c r="AC62" s="29"/>
      <c r="AD62" s="29"/>
      <c r="AE62" s="29"/>
      <c r="AF62" s="29"/>
      <c r="AG62" s="29"/>
      <c r="AH62" s="29"/>
      <c r="AI62" s="29"/>
      <c r="AJ62" s="242">
        <f t="shared" si="60"/>
        <v>2135</v>
      </c>
      <c r="AK62" s="241"/>
      <c r="AL62" s="241"/>
      <c r="AM62" s="241"/>
      <c r="AN62" s="241"/>
      <c r="AO62" s="241"/>
      <c r="AP62" s="241"/>
      <c r="AQ62" s="241"/>
      <c r="AR62" s="448"/>
      <c r="AS62" s="205"/>
      <c r="AT62" s="205"/>
      <c r="AU62" s="205"/>
      <c r="AV62" s="230"/>
      <c r="AW62" s="241"/>
      <c r="AX62" s="489"/>
      <c r="AY62" s="29"/>
      <c r="AZ62" s="29"/>
      <c r="BA62" s="29"/>
      <c r="BB62" s="29"/>
      <c r="BC62" s="29"/>
      <c r="BD62" s="29"/>
      <c r="BE62" s="29"/>
      <c r="BF62" s="29"/>
      <c r="BG62" s="254">
        <f t="shared" si="61"/>
        <v>1799.5</v>
      </c>
      <c r="BH62" s="241"/>
      <c r="BK62" s="243"/>
      <c r="BL62" s="243"/>
      <c r="BM62" s="243"/>
      <c r="BN62" s="243"/>
      <c r="BO62" s="448"/>
      <c r="BP62" s="205"/>
      <c r="BQ62" s="205"/>
      <c r="BR62" s="205"/>
      <c r="BS62" s="230"/>
    </row>
    <row r="63" spans="1:71" s="219" customFormat="1" ht="18.75" customHeight="1">
      <c r="A63" s="26"/>
      <c r="B63" s="260" t="s">
        <v>229</v>
      </c>
      <c r="C63" s="188">
        <f>IFERROR(AE41,"")</f>
        <v>173.96609999999998</v>
      </c>
      <c r="D63" s="186">
        <f>IFERROR(VLOOKUP("Social Fund",AOP!$A$2:$Z$100,VLOOKUP($C$5,DANE!$B$17:$C$28,2,FALSE),FALSE),0)</f>
        <v>0</v>
      </c>
      <c r="E63" s="188">
        <f>IFERROR(BB41,"")</f>
        <v>162.15449999999998</v>
      </c>
      <c r="F63" s="377"/>
      <c r="G63" s="183"/>
      <c r="H63" s="484"/>
      <c r="I63" s="386" t="s">
        <v>230</v>
      </c>
      <c r="J63" s="387" t="s">
        <v>169</v>
      </c>
      <c r="K63" s="29"/>
      <c r="L63" s="384">
        <v>30.5</v>
      </c>
      <c r="M63" s="383">
        <v>70</v>
      </c>
      <c r="N63" s="29"/>
      <c r="O63" s="29"/>
      <c r="P63" s="80"/>
      <c r="Q63" s="487"/>
      <c r="R63" s="488"/>
      <c r="S63" s="389">
        <v>0</v>
      </c>
      <c r="T63" s="29"/>
      <c r="U63" s="29"/>
      <c r="V63" s="480"/>
      <c r="W63" s="481"/>
      <c r="X63" s="73">
        <f t="shared" si="59"/>
        <v>30.5</v>
      </c>
      <c r="Y63"/>
      <c r="Z63" s="253"/>
      <c r="AA63" s="489"/>
      <c r="AB63" s="29"/>
      <c r="AC63" s="29"/>
      <c r="AD63" s="29"/>
      <c r="AE63" s="29"/>
      <c r="AF63" s="29"/>
      <c r="AG63" s="29"/>
      <c r="AH63" s="29"/>
      <c r="AI63" s="29"/>
      <c r="AJ63" s="242">
        <f t="shared" si="60"/>
        <v>2135</v>
      </c>
      <c r="AK63" s="241"/>
      <c r="AL63" s="241"/>
      <c r="AM63" s="241"/>
      <c r="AN63" s="241"/>
      <c r="AO63" s="241"/>
      <c r="AP63" s="241"/>
      <c r="AQ63" s="241"/>
      <c r="AR63" s="448"/>
      <c r="AS63" s="205"/>
      <c r="AT63" s="205"/>
      <c r="AU63" s="205"/>
      <c r="AV63" s="230"/>
      <c r="AW63" s="241"/>
      <c r="AX63" s="489"/>
      <c r="AY63" s="29"/>
      <c r="AZ63" s="29"/>
      <c r="BA63" s="29"/>
      <c r="BB63" s="29"/>
      <c r="BC63" s="29"/>
      <c r="BD63" s="29"/>
      <c r="BE63" s="29"/>
      <c r="BF63" s="29"/>
      <c r="BG63" s="254">
        <f t="shared" si="61"/>
        <v>0</v>
      </c>
      <c r="BH63" s="241"/>
      <c r="BK63" s="243"/>
      <c r="BL63" s="243"/>
      <c r="BM63" s="243"/>
      <c r="BN63" s="243"/>
      <c r="BO63" s="448"/>
      <c r="BP63" s="205"/>
      <c r="BQ63" s="205"/>
      <c r="BR63" s="205"/>
      <c r="BS63" s="230"/>
    </row>
    <row r="64" spans="1:71" s="219" customFormat="1" ht="18.75" customHeight="1">
      <c r="A64" s="26"/>
      <c r="B64" s="98" t="s">
        <v>231</v>
      </c>
      <c r="C64" s="186">
        <f>IFERROR(P73+P74+P67,"")</f>
        <v>750</v>
      </c>
      <c r="D64" s="186">
        <f>IFERROR(VLOOKUP("Other",AOP!$A$2:$Z$100,VLOOKUP($C$5,DANE!$B$17:$C$28,2,FALSE),FALSE),0)</f>
        <v>0</v>
      </c>
      <c r="E64" s="186">
        <f>IFERROR(S73+S74+S67,"")</f>
        <v>750</v>
      </c>
      <c r="F64" s="377"/>
      <c r="G64" s="44"/>
      <c r="H64" s="484"/>
      <c r="I64" s="386"/>
      <c r="J64" s="387"/>
      <c r="K64" s="29"/>
      <c r="L64" s="384"/>
      <c r="M64" s="383"/>
      <c r="N64" s="29"/>
      <c r="O64" s="29"/>
      <c r="P64" s="80"/>
      <c r="Q64" s="487"/>
      <c r="R64" s="488"/>
      <c r="S64" s="389"/>
      <c r="T64" s="29"/>
      <c r="U64" s="29"/>
      <c r="V64" s="480"/>
      <c r="W64" s="481"/>
      <c r="X64" s="73" t="str">
        <f t="shared" si="59"/>
        <v>-</v>
      </c>
      <c r="Y64"/>
      <c r="Z64" s="253"/>
      <c r="AA64" s="489"/>
      <c r="AB64" s="29"/>
      <c r="AC64" s="29"/>
      <c r="AD64" s="29"/>
      <c r="AE64" s="29"/>
      <c r="AF64" s="29"/>
      <c r="AG64" s="29"/>
      <c r="AH64" s="29"/>
      <c r="AI64" s="29"/>
      <c r="AJ64" s="242">
        <f t="shared" si="60"/>
        <v>0</v>
      </c>
      <c r="AK64" s="241"/>
      <c r="AL64" s="241"/>
      <c r="AM64" s="241"/>
      <c r="AN64" s="241"/>
      <c r="AO64" s="241"/>
      <c r="AP64" s="241"/>
      <c r="AQ64" s="241"/>
      <c r="AR64" s="448"/>
      <c r="AS64" s="205"/>
      <c r="AT64" s="205"/>
      <c r="AU64" s="205"/>
      <c r="AV64" s="230"/>
      <c r="AW64" s="241"/>
      <c r="AX64" s="489"/>
      <c r="AY64" s="29"/>
      <c r="AZ64" s="29"/>
      <c r="BA64" s="29"/>
      <c r="BB64" s="29"/>
      <c r="BC64" s="29"/>
      <c r="BD64" s="29"/>
      <c r="BE64" s="29"/>
      <c r="BF64" s="29"/>
      <c r="BG64" s="254">
        <f t="shared" si="61"/>
        <v>0</v>
      </c>
      <c r="BH64" s="241"/>
      <c r="BK64" s="243"/>
      <c r="BL64" s="243"/>
      <c r="BM64" s="243"/>
      <c r="BN64" s="243"/>
      <c r="BO64" s="448"/>
      <c r="BP64" s="205"/>
      <c r="BQ64" s="205"/>
      <c r="BR64" s="205"/>
      <c r="BS64" s="230"/>
    </row>
    <row r="65" spans="1:75" s="219" customFormat="1" ht="18.75" customHeight="1">
      <c r="A65" s="26"/>
      <c r="B65" s="191" t="s">
        <v>232</v>
      </c>
      <c r="C65" s="257">
        <f>IFERROR(SUM(C66),"")</f>
        <v>3080</v>
      </c>
      <c r="D65" s="257">
        <f>IFERROR(SUM(D66),"")</f>
        <v>0</v>
      </c>
      <c r="E65" s="257">
        <f>IFERROR(SUM(E66),"")</f>
        <v>2884</v>
      </c>
      <c r="F65" s="258">
        <f t="shared" ref="F65" si="65">SUM(F66)</f>
        <v>0</v>
      </c>
      <c r="G65" s="183"/>
      <c r="H65" s="484"/>
      <c r="I65" s="386"/>
      <c r="J65" s="387"/>
      <c r="K65" s="29"/>
      <c r="L65" s="384"/>
      <c r="M65" s="383"/>
      <c r="N65" s="29"/>
      <c r="O65" s="29"/>
      <c r="P65" s="80"/>
      <c r="Q65" s="487"/>
      <c r="R65" s="488"/>
      <c r="S65" s="390"/>
      <c r="T65" s="81"/>
      <c r="U65" s="81"/>
      <c r="V65" s="497"/>
      <c r="W65" s="498"/>
      <c r="X65" s="73" t="str">
        <f t="shared" si="59"/>
        <v>-</v>
      </c>
      <c r="Y65"/>
      <c r="Z65" s="253"/>
      <c r="AA65" s="489"/>
      <c r="AB65" s="29"/>
      <c r="AC65" s="29"/>
      <c r="AD65" s="29"/>
      <c r="AE65" s="29"/>
      <c r="AF65" s="29"/>
      <c r="AG65" s="29"/>
      <c r="AH65" s="29"/>
      <c r="AI65" s="29"/>
      <c r="AJ65" s="242">
        <f t="shared" si="60"/>
        <v>0</v>
      </c>
      <c r="AK65" s="241"/>
      <c r="AL65" s="241"/>
      <c r="AM65" s="241"/>
      <c r="AN65" s="241"/>
      <c r="AO65" s="241"/>
      <c r="AP65" s="241"/>
      <c r="AQ65" s="241"/>
      <c r="AR65" s="448"/>
      <c r="AS65" s="205"/>
      <c r="AT65" s="205"/>
      <c r="AU65" s="205"/>
      <c r="AV65" s="230"/>
      <c r="AW65" s="241"/>
      <c r="AX65" s="489"/>
      <c r="AY65" s="29"/>
      <c r="AZ65" s="29"/>
      <c r="BA65" s="29"/>
      <c r="BB65" s="29"/>
      <c r="BC65" s="29"/>
      <c r="BD65" s="29"/>
      <c r="BE65" s="29"/>
      <c r="BF65" s="29"/>
      <c r="BG65" s="254">
        <f t="shared" si="61"/>
        <v>0</v>
      </c>
      <c r="BH65" s="241"/>
      <c r="BK65" s="243"/>
      <c r="BL65" s="243"/>
      <c r="BM65" s="243"/>
      <c r="BN65" s="243"/>
      <c r="BO65" s="448"/>
      <c r="BP65" s="205"/>
      <c r="BQ65" s="205"/>
      <c r="BR65" s="205"/>
      <c r="BS65" s="230"/>
    </row>
    <row r="66" spans="1:75" s="219" customFormat="1" ht="18.75" customHeight="1">
      <c r="A66" s="26"/>
      <c r="B66" s="262" t="s">
        <v>233</v>
      </c>
      <c r="C66" s="189">
        <f>IFERROR(M76*P76,"")</f>
        <v>3080</v>
      </c>
      <c r="D66" s="189">
        <f>IFERROR(VLOOKUP(B66,AOP!$A$2:$Z$100,VLOOKUP($C$5,DANE!$B$17:$C$28,2,FALSE),FALSE),0)</f>
        <v>0</v>
      </c>
      <c r="E66" s="189">
        <f>IFERROR(S76*T76,"")</f>
        <v>2884</v>
      </c>
      <c r="F66" s="378"/>
      <c r="G66" s="183"/>
      <c r="H66" s="248" t="s">
        <v>234</v>
      </c>
      <c r="I66" s="249"/>
      <c r="J66" s="249"/>
      <c r="K66" s="259">
        <f>SUM(M44:M65)/C8</f>
        <v>4.6590909090909092</v>
      </c>
      <c r="L66" s="259"/>
      <c r="M66" s="86">
        <f>SUM(M44:M65)</f>
        <v>820</v>
      </c>
      <c r="N66" s="92"/>
      <c r="O66" s="92"/>
      <c r="P66" s="93"/>
      <c r="Q66" s="251"/>
      <c r="R66" s="251"/>
      <c r="S66" s="118">
        <f>SUM(S44:S65)</f>
        <v>833.5</v>
      </c>
      <c r="T66" s="268">
        <f>SUM(T44:T65)</f>
        <v>0</v>
      </c>
      <c r="U66" s="268"/>
      <c r="V66" s="530">
        <f>SUM(V44:W65)</f>
        <v>400</v>
      </c>
      <c r="W66" s="531"/>
      <c r="X66" s="78"/>
      <c r="Y66" s="78"/>
      <c r="Z66" s="78"/>
      <c r="AA66" s="447"/>
      <c r="AB66" s="42"/>
      <c r="AC66" s="42"/>
      <c r="AD66" s="42"/>
      <c r="AE66" s="42"/>
      <c r="AF66" s="42"/>
      <c r="AG66" s="42"/>
      <c r="AH66" s="42"/>
      <c r="AI66" s="42"/>
      <c r="AJ66" s="32">
        <f>SUM(AJ44:AJ65)</f>
        <v>25106</v>
      </c>
      <c r="AK66" s="241"/>
      <c r="AL66" s="241"/>
      <c r="AM66" s="241"/>
      <c r="AN66" s="241"/>
      <c r="AO66" s="241"/>
      <c r="AP66" s="241"/>
      <c r="AQ66" s="241"/>
      <c r="AR66" s="448"/>
      <c r="AS66" s="205"/>
      <c r="AT66" s="205"/>
      <c r="AU66" s="205"/>
      <c r="AV66" s="33"/>
      <c r="AW66" s="241"/>
      <c r="AX66" s="447"/>
      <c r="AY66" s="43"/>
      <c r="AZ66" s="43"/>
      <c r="BA66" s="43"/>
      <c r="BB66" s="43"/>
      <c r="BC66" s="43"/>
      <c r="BD66" s="43"/>
      <c r="BE66" s="43"/>
      <c r="BF66" s="43"/>
      <c r="BG66" s="32">
        <f>SUM(BG44:BG65)</f>
        <v>25528.5</v>
      </c>
      <c r="BH66" s="241"/>
      <c r="BK66" s="33"/>
      <c r="BL66" s="33"/>
      <c r="BM66" s="33"/>
      <c r="BN66" s="33"/>
      <c r="BO66" s="448"/>
      <c r="BP66" s="205"/>
      <c r="BQ66" s="205"/>
      <c r="BR66" s="205"/>
      <c r="BS66" s="33"/>
    </row>
    <row r="67" spans="1:75" s="219" customFormat="1" ht="18.75" customHeight="1">
      <c r="A67" s="26"/>
      <c r="B67" s="75"/>
      <c r="C67" s="267"/>
      <c r="D67" s="267"/>
      <c r="E67" s="267"/>
      <c r="F67" s="267"/>
      <c r="G67" s="183"/>
      <c r="H67" s="509" t="s">
        <v>235</v>
      </c>
      <c r="I67" s="148" t="s">
        <v>236</v>
      </c>
      <c r="J67" s="100"/>
      <c r="K67" s="100"/>
      <c r="L67" s="100"/>
      <c r="M67" s="100"/>
      <c r="N67" s="100"/>
      <c r="O67" s="100"/>
      <c r="P67" s="469">
        <v>150</v>
      </c>
      <c r="Q67" s="511" t="s">
        <v>237</v>
      </c>
      <c r="R67" s="512"/>
      <c r="S67" s="468">
        <v>150</v>
      </c>
      <c r="T67" s="101"/>
      <c r="U67" s="76"/>
      <c r="V67" s="218"/>
      <c r="W67" s="218"/>
      <c r="X67" s="76"/>
      <c r="Y67" s="76"/>
      <c r="Z67" s="76"/>
      <c r="AA67" s="482" t="s">
        <v>237</v>
      </c>
      <c r="AB67" s="29"/>
      <c r="AC67" s="29"/>
      <c r="AD67" s="40"/>
      <c r="AE67" s="40"/>
      <c r="AF67" s="29"/>
      <c r="AG67" s="29"/>
      <c r="AH67" s="29"/>
      <c r="AI67" s="29"/>
      <c r="AJ67" s="254">
        <f>P67+AD67</f>
        <v>150</v>
      </c>
      <c r="AK67" s="261"/>
      <c r="AL67" s="261"/>
      <c r="AM67" s="261"/>
      <c r="AN67" s="261"/>
      <c r="AO67" s="261"/>
      <c r="AP67" s="261"/>
      <c r="AQ67" s="261"/>
      <c r="AR67" s="449"/>
      <c r="AS67" s="205"/>
      <c r="AT67" s="45"/>
      <c r="AU67" s="45"/>
      <c r="AV67" s="230"/>
      <c r="AW67" s="261"/>
      <c r="AX67" s="482" t="s">
        <v>237</v>
      </c>
      <c r="AY67" s="29"/>
      <c r="AZ67" s="29"/>
      <c r="BA67" s="40"/>
      <c r="BB67" s="40"/>
      <c r="BC67" s="29"/>
      <c r="BD67" s="29"/>
      <c r="BE67" s="29"/>
      <c r="BF67" s="29"/>
      <c r="BG67" s="254">
        <f>S67+BA67</f>
        <v>150</v>
      </c>
      <c r="BH67" s="261"/>
      <c r="BO67" s="449"/>
      <c r="BP67" s="205"/>
      <c r="BQ67" s="45"/>
      <c r="BR67" s="45"/>
      <c r="BS67" s="230"/>
      <c r="BT67"/>
      <c r="BU67"/>
      <c r="BV67"/>
    </row>
    <row r="68" spans="1:75" s="219" customFormat="1" ht="18.75" customHeight="1">
      <c r="A68" s="26"/>
      <c r="B68" s="281"/>
      <c r="C68" s="606" t="s">
        <v>124</v>
      </c>
      <c r="D68" s="607"/>
      <c r="E68" s="606" t="s">
        <v>126</v>
      </c>
      <c r="F68" s="607"/>
      <c r="G68" s="183"/>
      <c r="H68" s="510"/>
      <c r="I68" s="146" t="s">
        <v>238</v>
      </c>
      <c r="J68" s="44"/>
      <c r="K68" s="44"/>
      <c r="L68" s="44"/>
      <c r="M68" s="44"/>
      <c r="N68" s="44"/>
      <c r="O68" s="44"/>
      <c r="P68" s="379">
        <v>0</v>
      </c>
      <c r="Q68" s="513"/>
      <c r="R68" s="514"/>
      <c r="S68" s="381"/>
      <c r="T68" s="102"/>
      <c r="U68" s="76"/>
      <c r="V68" s="218"/>
      <c r="W68" s="218"/>
      <c r="X68" s="76"/>
      <c r="Y68" s="76"/>
      <c r="Z68" s="76"/>
      <c r="AA68" s="482"/>
      <c r="AB68" s="29"/>
      <c r="AC68" s="29"/>
      <c r="AD68" s="40">
        <f>P68*$Y$4</f>
        <v>0</v>
      </c>
      <c r="AE68" s="40"/>
      <c r="AF68" s="29"/>
      <c r="AG68" s="29"/>
      <c r="AH68" s="29"/>
      <c r="AI68" s="29"/>
      <c r="AJ68" s="254">
        <f>P68+AD68</f>
        <v>0</v>
      </c>
      <c r="AK68" s="261"/>
      <c r="AL68" s="261"/>
      <c r="AM68" s="261"/>
      <c r="AN68" s="261"/>
      <c r="AO68" s="261"/>
      <c r="AP68" s="261"/>
      <c r="AQ68" s="261"/>
      <c r="AR68" s="449"/>
      <c r="AS68" s="205"/>
      <c r="AT68" s="45"/>
      <c r="AU68" s="45"/>
      <c r="AV68" s="230"/>
      <c r="AW68" s="261"/>
      <c r="AX68" s="482"/>
      <c r="AY68" s="29"/>
      <c r="AZ68" s="29"/>
      <c r="BA68" s="40">
        <f>S68*$Y$4</f>
        <v>0</v>
      </c>
      <c r="BB68" s="40"/>
      <c r="BC68" s="29"/>
      <c r="BD68" s="29"/>
      <c r="BE68" s="29"/>
      <c r="BF68" s="29"/>
      <c r="BG68" s="254">
        <f>S68+BA68</f>
        <v>0</v>
      </c>
      <c r="BH68" s="261"/>
      <c r="BO68" s="449"/>
      <c r="BP68" s="205"/>
      <c r="BQ68" s="45"/>
      <c r="BR68" s="45"/>
      <c r="BS68" s="230"/>
      <c r="BT68"/>
      <c r="BU68"/>
      <c r="BV68"/>
    </row>
    <row r="69" spans="1:75" s="219" customFormat="1" ht="18.75" customHeight="1">
      <c r="B69" s="282" t="s">
        <v>239</v>
      </c>
      <c r="C69" s="276">
        <f>COUNTA(J3:J14,J22:J40,J44:J65)</f>
        <v>28</v>
      </c>
      <c r="D69" s="286">
        <f>IFERROR(C69/C$69,"-")</f>
        <v>1</v>
      </c>
      <c r="E69" s="276">
        <f>C69</f>
        <v>28</v>
      </c>
      <c r="F69" s="277">
        <f>D69</f>
        <v>1</v>
      </c>
      <c r="G69" s="183"/>
      <c r="H69" s="510"/>
      <c r="I69" s="419" t="s">
        <v>240</v>
      </c>
      <c r="J69" s="472">
        <v>1E-3</v>
      </c>
      <c r="K69" s="496" t="s">
        <v>241</v>
      </c>
      <c r="L69" s="496"/>
      <c r="M69" s="420">
        <f>C9*J69</f>
        <v>310</v>
      </c>
      <c r="N69" s="492"/>
      <c r="O69" s="492"/>
      <c r="P69" s="473">
        <v>300</v>
      </c>
      <c r="Q69" s="513"/>
      <c r="R69" s="514"/>
      <c r="S69" s="133">
        <f>AZ19</f>
        <v>300</v>
      </c>
      <c r="T69" s="102"/>
      <c r="U69" s="76"/>
      <c r="V69" s="218"/>
      <c r="X69" s="76"/>
      <c r="Y69" s="76"/>
      <c r="Z69" s="76"/>
      <c r="AA69" s="482"/>
      <c r="AB69" s="29"/>
      <c r="AC69" s="29"/>
      <c r="AD69" s="40">
        <f>M69*$Y$4</f>
        <v>52.483000000000004</v>
      </c>
      <c r="AE69" s="40"/>
      <c r="AF69" s="29"/>
      <c r="AG69" s="29"/>
      <c r="AH69" s="29"/>
      <c r="AI69" s="29"/>
      <c r="AJ69" s="254">
        <f t="shared" ref="AJ69:AJ76" si="66">P69+AD69</f>
        <v>352.483</v>
      </c>
      <c r="AK69" s="261"/>
      <c r="AL69" s="261"/>
      <c r="AM69" s="261"/>
      <c r="AN69" s="261"/>
      <c r="AO69" s="261"/>
      <c r="AP69" s="261"/>
      <c r="AQ69" s="261"/>
      <c r="AR69" s="449"/>
      <c r="AS69" s="205"/>
      <c r="AT69" s="45"/>
      <c r="AU69" s="45"/>
      <c r="AV69" s="230"/>
      <c r="AW69" s="261"/>
      <c r="AX69" s="482"/>
      <c r="AY69" s="29"/>
      <c r="AZ69" s="29"/>
      <c r="BA69" s="40">
        <f>S69*$Y$4</f>
        <v>50.79</v>
      </c>
      <c r="BB69" s="40"/>
      <c r="BC69" s="29"/>
      <c r="BD69" s="29"/>
      <c r="BE69" s="29"/>
      <c r="BF69" s="29"/>
      <c r="BG69" s="254">
        <f>S69+BA69</f>
        <v>350.79</v>
      </c>
      <c r="BH69" s="261"/>
      <c r="BO69" s="449"/>
      <c r="BP69" s="205"/>
      <c r="BQ69" s="45"/>
      <c r="BR69" s="45"/>
      <c r="BS69" s="230"/>
      <c r="BT69"/>
      <c r="BU69"/>
      <c r="BV69"/>
      <c r="BW69"/>
    </row>
    <row r="70" spans="1:75" ht="18.75" customHeight="1">
      <c r="B70" s="282" t="s">
        <v>242</v>
      </c>
      <c r="C70" s="293">
        <f>COUNTA(J3:J14,J22:J40)</f>
        <v>8</v>
      </c>
      <c r="D70" s="289">
        <f>IFERROR(C70/C$69,"-")</f>
        <v>0.2857142857142857</v>
      </c>
      <c r="E70" s="293">
        <f t="shared" ref="E70:E72" si="67">C70</f>
        <v>8</v>
      </c>
      <c r="F70" s="290">
        <f t="shared" ref="F70:F72" si="68">D70</f>
        <v>0.2857142857142857</v>
      </c>
      <c r="G70" s="183"/>
      <c r="H70" s="510"/>
      <c r="I70" s="146" t="s">
        <v>243</v>
      </c>
      <c r="J70" s="421">
        <v>2E-3</v>
      </c>
      <c r="K70" s="506" t="s">
        <v>244</v>
      </c>
      <c r="L70" s="506"/>
      <c r="M70" s="46">
        <f>C9*J70</f>
        <v>620</v>
      </c>
      <c r="N70" s="46"/>
      <c r="O70" s="46"/>
      <c r="P70" s="379">
        <v>600</v>
      </c>
      <c r="Q70" s="513"/>
      <c r="R70" s="514"/>
      <c r="S70" s="133">
        <f>V41+V66</f>
        <v>400</v>
      </c>
      <c r="T70" s="102"/>
      <c r="U70" s="76"/>
      <c r="V70" s="218"/>
      <c r="W70" s="218"/>
      <c r="X70" s="76"/>
      <c r="Y70" s="76"/>
      <c r="Z70" s="76"/>
      <c r="AA70" s="482"/>
      <c r="AB70" s="29"/>
      <c r="AC70" s="29"/>
      <c r="AD70" s="40">
        <f>P70*$Y$4</f>
        <v>101.58</v>
      </c>
      <c r="AE70" s="40"/>
      <c r="AF70" s="29"/>
      <c r="AG70" s="29"/>
      <c r="AH70" s="29"/>
      <c r="AI70" s="29"/>
      <c r="AJ70" s="254">
        <f t="shared" si="66"/>
        <v>701.58</v>
      </c>
      <c r="AK70" s="261"/>
      <c r="AL70" s="261"/>
      <c r="AM70" s="261"/>
      <c r="AN70" s="261"/>
      <c r="AO70" s="261"/>
      <c r="AP70" s="261"/>
      <c r="AQ70" s="261"/>
      <c r="AR70" s="449"/>
      <c r="AS70" s="205"/>
      <c r="AT70" s="45"/>
      <c r="AU70" s="45"/>
      <c r="AV70" s="230"/>
      <c r="AW70" s="261"/>
      <c r="AX70" s="482"/>
      <c r="AY70" s="29"/>
      <c r="AZ70" s="29"/>
      <c r="BA70" s="40">
        <f>S70*$Y$4</f>
        <v>67.72</v>
      </c>
      <c r="BB70" s="40"/>
      <c r="BC70" s="29"/>
      <c r="BD70" s="29"/>
      <c r="BE70" s="29"/>
      <c r="BF70" s="29"/>
      <c r="BG70" s="254">
        <f>S70+BA70</f>
        <v>467.72</v>
      </c>
      <c r="BH70" s="261"/>
      <c r="BI70" s="219"/>
      <c r="BJ70" s="219"/>
      <c r="BK70" s="219"/>
      <c r="BL70" s="219"/>
      <c r="BM70" s="219"/>
      <c r="BN70" s="219"/>
      <c r="BO70" s="449"/>
      <c r="BP70" s="205"/>
      <c r="BQ70" s="45"/>
      <c r="BR70" s="45"/>
      <c r="BS70" s="230"/>
      <c r="BT70"/>
      <c r="BU70"/>
      <c r="BV70"/>
    </row>
    <row r="71" spans="1:75" ht="18.75" customHeight="1">
      <c r="B71" s="282" t="s">
        <v>245</v>
      </c>
      <c r="C71" s="270">
        <f>COUNTA(J22:J40)</f>
        <v>2</v>
      </c>
      <c r="D71" s="287">
        <f>IFERROR(C71/C$69,"-")</f>
        <v>7.1428571428571425E-2</v>
      </c>
      <c r="E71" s="269">
        <f t="shared" si="67"/>
        <v>2</v>
      </c>
      <c r="F71" s="278">
        <f t="shared" si="68"/>
        <v>7.1428571428571425E-2</v>
      </c>
      <c r="G71" s="183"/>
      <c r="H71" s="510"/>
      <c r="I71" s="146" t="s">
        <v>246</v>
      </c>
      <c r="J71" s="204"/>
      <c r="K71" s="204"/>
      <c r="L71" s="204"/>
      <c r="M71" s="46"/>
      <c r="N71" s="46"/>
      <c r="O71" s="46"/>
      <c r="P71" s="379">
        <v>0</v>
      </c>
      <c r="Q71" s="513"/>
      <c r="R71" s="514"/>
      <c r="S71" s="381"/>
      <c r="T71" s="102"/>
      <c r="U71" s="76"/>
      <c r="V71" s="218"/>
      <c r="W71" s="218"/>
      <c r="X71" s="76"/>
      <c r="Y71" s="76"/>
      <c r="Z71" s="76"/>
      <c r="AA71" s="482"/>
      <c r="AB71" s="29"/>
      <c r="AC71" s="29"/>
      <c r="AD71" s="40"/>
      <c r="AE71" s="40"/>
      <c r="AF71" s="29"/>
      <c r="AG71" s="29"/>
      <c r="AH71" s="29"/>
      <c r="AI71" s="29"/>
      <c r="AJ71" s="254">
        <f t="shared" si="66"/>
        <v>0</v>
      </c>
      <c r="AK71" s="261"/>
      <c r="AL71" s="261"/>
      <c r="AM71" s="261"/>
      <c r="AN71" s="261"/>
      <c r="AO71" s="261"/>
      <c r="AP71" s="261"/>
      <c r="AQ71" s="261"/>
      <c r="AR71" s="449"/>
      <c r="AS71" s="205"/>
      <c r="AT71" s="45"/>
      <c r="AU71" s="45"/>
      <c r="AV71" s="230"/>
      <c r="AW71" s="261"/>
      <c r="AX71" s="482"/>
      <c r="AY71" s="29"/>
      <c r="AZ71" s="29"/>
      <c r="BA71" s="40"/>
      <c r="BB71" s="40"/>
      <c r="BC71" s="29"/>
      <c r="BD71" s="29"/>
      <c r="BE71" s="29"/>
      <c r="BF71" s="29"/>
      <c r="BG71" s="254"/>
      <c r="BH71" s="261"/>
      <c r="BI71" s="219"/>
      <c r="BJ71" s="219"/>
      <c r="BK71" s="219"/>
      <c r="BL71" s="219"/>
      <c r="BM71" s="219"/>
      <c r="BN71" s="219"/>
      <c r="BO71" s="449"/>
      <c r="BP71" s="205"/>
      <c r="BQ71" s="45"/>
      <c r="BR71" s="45"/>
      <c r="BS71" s="230"/>
      <c r="BT71"/>
      <c r="BU71"/>
      <c r="BV71"/>
    </row>
    <row r="72" spans="1:75" ht="18.75" customHeight="1">
      <c r="B72" s="282" t="s">
        <v>247</v>
      </c>
      <c r="C72" s="294">
        <f>COUNTA(J44:J65)</f>
        <v>20</v>
      </c>
      <c r="D72" s="289">
        <f>IFERROR(C72/C$69,"-")</f>
        <v>0.7142857142857143</v>
      </c>
      <c r="E72" s="269">
        <f t="shared" si="67"/>
        <v>20</v>
      </c>
      <c r="F72" s="290">
        <f t="shared" si="68"/>
        <v>0.7142857142857143</v>
      </c>
      <c r="G72" s="44"/>
      <c r="H72" s="510"/>
      <c r="I72" s="146" t="s">
        <v>248</v>
      </c>
      <c r="J72" s="44"/>
      <c r="K72" s="44"/>
      <c r="L72" s="44"/>
      <c r="M72" s="44"/>
      <c r="N72" s="44"/>
      <c r="O72" s="44"/>
      <c r="P72" s="379">
        <v>0</v>
      </c>
      <c r="Q72" s="513"/>
      <c r="R72" s="514"/>
      <c r="S72" s="381"/>
      <c r="T72" s="263"/>
      <c r="U72" s="264"/>
      <c r="V72" s="218"/>
      <c r="W72" s="218"/>
      <c r="X72" s="264"/>
      <c r="Y72" s="264"/>
      <c r="Z72" s="264"/>
      <c r="AA72" s="482"/>
      <c r="AB72" s="29"/>
      <c r="AC72" s="29"/>
      <c r="AD72" s="40"/>
      <c r="AE72" s="40"/>
      <c r="AF72" s="29"/>
      <c r="AG72" s="29"/>
      <c r="AH72" s="29"/>
      <c r="AI72" s="29"/>
      <c r="AJ72" s="254">
        <f t="shared" si="66"/>
        <v>0</v>
      </c>
      <c r="AK72" s="261"/>
      <c r="AL72" s="261"/>
      <c r="AM72" s="261"/>
      <c r="AN72" s="261"/>
      <c r="AO72" s="261"/>
      <c r="AP72" s="261"/>
      <c r="AQ72" s="261"/>
      <c r="AR72" s="449"/>
      <c r="AS72" s="205"/>
      <c r="AT72" s="261"/>
      <c r="AU72" s="261"/>
      <c r="AV72" s="261"/>
      <c r="AW72" s="261"/>
      <c r="AX72" s="482"/>
      <c r="AY72" s="29"/>
      <c r="AZ72" s="29"/>
      <c r="BA72" s="265"/>
      <c r="BB72" s="265"/>
      <c r="BC72" s="29"/>
      <c r="BD72" s="29"/>
      <c r="BE72" s="29"/>
      <c r="BF72" s="29"/>
      <c r="BG72" s="254">
        <f>S72+BA72</f>
        <v>0</v>
      </c>
      <c r="BH72" s="261"/>
      <c r="BI72" s="219"/>
      <c r="BJ72" s="219"/>
      <c r="BK72" s="219"/>
      <c r="BL72" s="219"/>
      <c r="BM72" s="219"/>
      <c r="BN72" s="219"/>
      <c r="BO72" s="449"/>
      <c r="BP72" s="205"/>
      <c r="BQ72" s="261"/>
      <c r="BR72" s="261"/>
      <c r="BS72" s="261"/>
      <c r="BT72"/>
      <c r="BU72"/>
      <c r="BV72"/>
    </row>
    <row r="73" spans="1:75" ht="18.75" customHeight="1">
      <c r="B73" s="282"/>
      <c r="C73" s="271"/>
      <c r="D73" s="288"/>
      <c r="E73" s="271"/>
      <c r="F73" s="279"/>
      <c r="H73" s="510"/>
      <c r="I73" s="146" t="s">
        <v>249</v>
      </c>
      <c r="J73" s="44"/>
      <c r="K73" s="44"/>
      <c r="L73" s="44"/>
      <c r="M73" s="44"/>
      <c r="N73" s="44"/>
      <c r="O73" s="44"/>
      <c r="P73" s="379">
        <v>600</v>
      </c>
      <c r="Q73" s="513"/>
      <c r="R73" s="514"/>
      <c r="S73" s="381">
        <v>600</v>
      </c>
      <c r="T73" s="263"/>
      <c r="U73" s="264"/>
      <c r="V73" s="218"/>
      <c r="W73" s="218"/>
      <c r="X73" s="264"/>
      <c r="Y73" s="264"/>
      <c r="Z73" s="264"/>
      <c r="AA73" s="482"/>
      <c r="AB73" s="29"/>
      <c r="AC73" s="29"/>
      <c r="AD73" s="40"/>
      <c r="AE73" s="40"/>
      <c r="AF73" s="29"/>
      <c r="AG73" s="29"/>
      <c r="AH73" s="29"/>
      <c r="AI73" s="29"/>
      <c r="AJ73" s="254">
        <f t="shared" si="66"/>
        <v>600</v>
      </c>
      <c r="AK73" s="261"/>
      <c r="AL73" s="261"/>
      <c r="AM73" s="261"/>
      <c r="AN73" s="261"/>
      <c r="AO73" s="261"/>
      <c r="AP73" s="261"/>
      <c r="AQ73" s="261"/>
      <c r="AR73" s="449"/>
      <c r="AS73" s="205"/>
      <c r="AT73" s="261"/>
      <c r="AU73" s="261"/>
      <c r="AV73" s="261"/>
      <c r="AW73" s="261"/>
      <c r="AX73" s="482"/>
      <c r="AY73" s="29"/>
      <c r="AZ73" s="29"/>
      <c r="BA73" s="265"/>
      <c r="BB73" s="265"/>
      <c r="BC73" s="29"/>
      <c r="BD73" s="29"/>
      <c r="BE73" s="29"/>
      <c r="BF73" s="29"/>
      <c r="BG73" s="254">
        <f>S73+BA73</f>
        <v>600</v>
      </c>
      <c r="BH73" s="261"/>
      <c r="BI73" s="219"/>
      <c r="BJ73" s="219"/>
      <c r="BK73" s="219"/>
      <c r="BL73" s="219"/>
      <c r="BM73" s="219"/>
      <c r="BN73" s="219"/>
      <c r="BO73" s="449"/>
      <c r="BP73" s="205"/>
      <c r="BQ73" s="261"/>
      <c r="BR73" s="261"/>
      <c r="BS73" s="261"/>
      <c r="BT73"/>
      <c r="BU73"/>
      <c r="BV73"/>
    </row>
    <row r="74" spans="1:75" ht="18.75" customHeight="1">
      <c r="B74" s="282" t="s">
        <v>250</v>
      </c>
      <c r="C74" s="270">
        <f>C36</f>
        <v>1760</v>
      </c>
      <c r="D74" s="287">
        <f>IFERROR(C74/C$74,"-")</f>
        <v>1</v>
      </c>
      <c r="E74" s="270">
        <f>E36</f>
        <v>1713.5</v>
      </c>
      <c r="F74" s="278">
        <f>IFERROR(E74/E$74,"-")</f>
        <v>1</v>
      </c>
      <c r="H74" s="510"/>
      <c r="I74" s="146" t="s">
        <v>251</v>
      </c>
      <c r="J74" s="44"/>
      <c r="K74" s="44"/>
      <c r="L74" s="44"/>
      <c r="M74" s="44"/>
      <c r="N74" s="44"/>
      <c r="O74" s="44"/>
      <c r="P74" s="379">
        <v>0</v>
      </c>
      <c r="Q74" s="513"/>
      <c r="R74" s="514"/>
      <c r="S74" s="381"/>
      <c r="T74" s="102"/>
      <c r="U74" s="76"/>
      <c r="V74" s="218"/>
      <c r="W74" s="218"/>
      <c r="X74" s="76"/>
      <c r="Y74" s="76"/>
      <c r="Z74" s="76"/>
      <c r="AA74" s="482"/>
      <c r="AB74" s="29"/>
      <c r="AC74" s="29"/>
      <c r="AD74" s="40">
        <f>P74*$Y$4</f>
        <v>0</v>
      </c>
      <c r="AE74" s="40"/>
      <c r="AF74" s="29"/>
      <c r="AG74" s="29"/>
      <c r="AH74" s="29"/>
      <c r="AI74" s="29"/>
      <c r="AJ74" s="254">
        <f t="shared" si="66"/>
        <v>0</v>
      </c>
      <c r="AK74" s="261"/>
      <c r="AL74" s="261"/>
      <c r="AM74" s="261"/>
      <c r="AN74" s="261"/>
      <c r="AO74" s="261"/>
      <c r="AP74" s="261"/>
      <c r="AQ74" s="261"/>
      <c r="AR74" s="449"/>
      <c r="AS74" s="205"/>
      <c r="AT74" s="45"/>
      <c r="AU74" s="45"/>
      <c r="AV74" s="230"/>
      <c r="AW74" s="261"/>
      <c r="AX74" s="482"/>
      <c r="AY74" s="29"/>
      <c r="AZ74" s="29"/>
      <c r="BA74" s="40">
        <f>S74*$Y$4</f>
        <v>0</v>
      </c>
      <c r="BB74" s="40"/>
      <c r="BC74" s="29"/>
      <c r="BD74" s="29"/>
      <c r="BE74" s="29"/>
      <c r="BF74" s="29"/>
      <c r="BG74" s="254">
        <f>S74+BA74</f>
        <v>0</v>
      </c>
      <c r="BH74" s="261"/>
      <c r="BI74" s="219"/>
      <c r="BJ74" s="219"/>
      <c r="BK74" s="219"/>
      <c r="BL74" s="219"/>
      <c r="BM74" s="219"/>
      <c r="BN74" s="219"/>
      <c r="BO74" s="449"/>
      <c r="BP74" s="205"/>
      <c r="BQ74" s="45"/>
      <c r="BR74" s="45"/>
      <c r="BS74" s="230"/>
      <c r="BT74"/>
      <c r="BU74"/>
      <c r="BV74"/>
    </row>
    <row r="75" spans="1:75" ht="18.75" customHeight="1">
      <c r="B75" s="282" t="s">
        <v>252</v>
      </c>
      <c r="C75" s="294">
        <f>SUM(M18,M41)</f>
        <v>940</v>
      </c>
      <c r="D75" s="289">
        <f>IFERROR(C75/C$74,"-")</f>
        <v>0.53409090909090906</v>
      </c>
      <c r="E75" s="294">
        <f>SUM(S18,S41)</f>
        <v>880</v>
      </c>
      <c r="F75" s="290">
        <f>IFERROR(E75/E$74,"-")</f>
        <v>0.5135687189962066</v>
      </c>
      <c r="H75" s="510"/>
      <c r="I75" s="146" t="s">
        <v>253</v>
      </c>
      <c r="J75" s="495" t="s">
        <v>254</v>
      </c>
      <c r="K75" s="495"/>
      <c r="L75" s="495"/>
      <c r="M75" s="380">
        <v>250</v>
      </c>
      <c r="N75" s="495" t="s">
        <v>255</v>
      </c>
      <c r="O75" s="495"/>
      <c r="P75" s="379">
        <v>0</v>
      </c>
      <c r="Q75" s="513"/>
      <c r="R75" s="514"/>
      <c r="S75" s="381">
        <v>250</v>
      </c>
      <c r="T75" s="379"/>
      <c r="U75" s="218"/>
      <c r="V75" s="218"/>
      <c r="W75" s="218"/>
      <c r="X75" s="218"/>
      <c r="Y75" s="218"/>
      <c r="Z75" s="218"/>
      <c r="AA75" s="482"/>
      <c r="AB75" s="29"/>
      <c r="AC75" s="29"/>
      <c r="AD75" s="40"/>
      <c r="AE75" s="40"/>
      <c r="AF75" s="29"/>
      <c r="AG75" s="29"/>
      <c r="AH75" s="29"/>
      <c r="AI75" s="29"/>
      <c r="AJ75" s="254">
        <f t="shared" si="66"/>
        <v>0</v>
      </c>
      <c r="AK75" s="219"/>
      <c r="AL75" s="219"/>
      <c r="AM75" s="219"/>
      <c r="AN75" s="219"/>
      <c r="AO75" s="219"/>
      <c r="AP75" s="219"/>
      <c r="AQ75" s="219"/>
      <c r="AR75" s="219"/>
      <c r="AS75" s="219"/>
      <c r="AT75" s="219"/>
      <c r="AU75" s="219"/>
      <c r="AV75" s="219"/>
      <c r="AW75" s="219"/>
      <c r="AX75" s="482"/>
      <c r="AY75" s="29"/>
      <c r="AZ75" s="29"/>
      <c r="BA75" s="266"/>
      <c r="BB75" s="266"/>
      <c r="BC75" s="29"/>
      <c r="BD75" s="29"/>
      <c r="BE75" s="29"/>
      <c r="BF75" s="29"/>
      <c r="BG75" s="254">
        <f>S75+BA75</f>
        <v>250</v>
      </c>
      <c r="BH75" s="219"/>
      <c r="BI75" s="219"/>
      <c r="BJ75" s="218"/>
      <c r="BK75" s="219"/>
      <c r="BL75" s="219"/>
      <c r="BM75" s="219"/>
      <c r="BN75" s="219"/>
      <c r="BO75" s="219"/>
      <c r="BP75" s="219"/>
      <c r="BQ75" s="219"/>
      <c r="BR75" s="219"/>
      <c r="BS75" s="219"/>
      <c r="BT75"/>
      <c r="BU75"/>
      <c r="BV75"/>
    </row>
    <row r="76" spans="1:75" ht="18.75" customHeight="1">
      <c r="B76" s="282" t="s">
        <v>256</v>
      </c>
      <c r="C76" s="270">
        <f>M41</f>
        <v>220</v>
      </c>
      <c r="D76" s="287">
        <f>IFERROR(C76/C$74,"-")</f>
        <v>0.125</v>
      </c>
      <c r="E76" s="270">
        <f>S41</f>
        <v>205</v>
      </c>
      <c r="F76" s="278">
        <f>IFERROR(E76/E$74,"-")</f>
        <v>0.11963816749343449</v>
      </c>
      <c r="G76" s="4"/>
      <c r="H76" s="510"/>
      <c r="I76" s="146" t="s">
        <v>233</v>
      </c>
      <c r="L76" s="193" t="s">
        <v>257</v>
      </c>
      <c r="M76" s="471">
        <v>220</v>
      </c>
      <c r="N76" s="605" t="s">
        <v>258</v>
      </c>
      <c r="O76" s="605"/>
      <c r="P76" s="478">
        <v>14</v>
      </c>
      <c r="Q76" s="513"/>
      <c r="R76" s="514"/>
      <c r="S76" s="471">
        <v>206</v>
      </c>
      <c r="T76" s="470">
        <v>14</v>
      </c>
      <c r="U76" s="77"/>
      <c r="V76" s="77"/>
      <c r="W76" s="77"/>
      <c r="X76" s="77"/>
      <c r="Y76" s="77"/>
      <c r="Z76" s="77"/>
      <c r="AA76" s="482"/>
      <c r="AB76" s="29"/>
      <c r="AC76" s="29"/>
      <c r="AD76" s="40"/>
      <c r="AE76" s="40"/>
      <c r="AF76" s="29"/>
      <c r="AG76" s="29"/>
      <c r="AH76" s="29"/>
      <c r="AI76" s="29"/>
      <c r="AJ76" s="254">
        <f t="shared" si="66"/>
        <v>14</v>
      </c>
      <c r="AX76" s="482"/>
      <c r="AY76" s="29"/>
      <c r="AZ76" s="29"/>
      <c r="BA76" s="159"/>
      <c r="BB76" s="159"/>
      <c r="BC76" s="29"/>
      <c r="BD76" s="29"/>
      <c r="BE76" s="29"/>
      <c r="BF76" s="29"/>
      <c r="BG76" s="254">
        <f>T76+BA76</f>
        <v>14</v>
      </c>
      <c r="BJ76" s="47"/>
      <c r="BM76" s="4"/>
      <c r="BT76"/>
      <c r="BU76"/>
      <c r="BV76"/>
    </row>
    <row r="77" spans="1:75" ht="18.75" customHeight="1">
      <c r="B77" s="283" t="s">
        <v>259</v>
      </c>
      <c r="C77" s="295">
        <f>M66</f>
        <v>820</v>
      </c>
      <c r="D77" s="291">
        <f>IFERROR(C77/C$74,"-")</f>
        <v>0.46590909090909088</v>
      </c>
      <c r="E77" s="295">
        <f>S66</f>
        <v>833.5</v>
      </c>
      <c r="F77" s="292">
        <f>IFERROR(E77/E$74,"-")</f>
        <v>0.4864312810037934</v>
      </c>
      <c r="G77" s="4"/>
      <c r="H77" s="499" t="s">
        <v>234</v>
      </c>
      <c r="I77" s="500"/>
      <c r="J77" s="500"/>
      <c r="K77" s="259">
        <f>SUM(M59:M74)/C23</f>
        <v>322.93577981651373</v>
      </c>
      <c r="L77" s="259"/>
      <c r="M77" s="86"/>
      <c r="N77" s="92"/>
      <c r="O77" s="92"/>
      <c r="P77" s="190">
        <f>SUM(P67:P75)+(M76*P76)</f>
        <v>4730</v>
      </c>
      <c r="Q77" s="161"/>
      <c r="R77" s="161"/>
      <c r="S77" s="152">
        <f>SUM(S67:S75)+(S76*T76)</f>
        <v>4584</v>
      </c>
      <c r="T77" s="147"/>
      <c r="AA77" s="41"/>
      <c r="AB77" s="41"/>
      <c r="AC77" s="41"/>
      <c r="AD77" s="41">
        <f>SUM(AD67:AD76)</f>
        <v>154.06299999999999</v>
      </c>
      <c r="AE77" s="41"/>
      <c r="AF77" s="41"/>
      <c r="AG77" s="41"/>
      <c r="AH77" s="41"/>
      <c r="AI77" s="41"/>
      <c r="AJ77" s="41">
        <f>SUM(AJ67:AJ76)</f>
        <v>1818.0630000000001</v>
      </c>
      <c r="AX77" s="41"/>
      <c r="AY77" s="41"/>
      <c r="AZ77" s="41"/>
      <c r="BA77" s="41">
        <f>SUM(BA67:BA76)</f>
        <v>118.50999999999999</v>
      </c>
      <c r="BB77" s="41"/>
      <c r="BC77" s="41"/>
      <c r="BD77" s="41"/>
      <c r="BE77" s="41"/>
      <c r="BF77" s="41"/>
      <c r="BG77" s="41">
        <f>SUM(BG67:BG76)</f>
        <v>1832.51</v>
      </c>
      <c r="BJ77" s="47"/>
      <c r="BM77" s="4"/>
      <c r="BT77"/>
      <c r="BU77"/>
      <c r="BV77"/>
    </row>
    <row r="78" spans="1:75" ht="18.75" customHeight="1">
      <c r="G78" s="4"/>
      <c r="P78" s="479"/>
      <c r="AA78" s="4"/>
      <c r="AB78" s="4"/>
      <c r="AC78" s="4"/>
      <c r="BJ78" s="47"/>
      <c r="BM78" s="4"/>
      <c r="BT78"/>
      <c r="BU78"/>
      <c r="BV78"/>
    </row>
    <row r="79" spans="1:75" ht="18.75" customHeight="1">
      <c r="G79" s="4"/>
      <c r="P79" s="479"/>
      <c r="AA79" s="4"/>
      <c r="AB79" s="4"/>
      <c r="AC79" s="4"/>
      <c r="BJ79" s="47"/>
      <c r="BM79" s="4"/>
      <c r="BT79"/>
      <c r="BU79"/>
      <c r="BV79"/>
    </row>
    <row r="80" spans="1:75" ht="18.75" customHeight="1">
      <c r="G80" s="4"/>
      <c r="N80" s="48"/>
      <c r="O80" s="48"/>
      <c r="P80" s="479"/>
      <c r="AA80" s="4"/>
      <c r="AB80" s="4"/>
      <c r="AC80" s="4"/>
      <c r="BJ80" s="47"/>
      <c r="BM80" s="4"/>
      <c r="BT80"/>
      <c r="BU80"/>
      <c r="BV80"/>
    </row>
    <row r="81" spans="7:74" ht="18.75" customHeight="1">
      <c r="G81" s="4"/>
      <c r="P81" s="479"/>
      <c r="AA81" s="4"/>
      <c r="AB81" s="4"/>
      <c r="AC81" s="4"/>
      <c r="BJ81" s="47"/>
      <c r="BM81" s="4"/>
      <c r="BT81"/>
      <c r="BU81"/>
      <c r="BV81"/>
    </row>
    <row r="82" spans="7:74" ht="18.75" customHeight="1">
      <c r="G82" s="4"/>
      <c r="H82" s="479"/>
      <c r="K82" s="47"/>
      <c r="L82" s="47"/>
      <c r="M82" s="47"/>
      <c r="N82" s="47"/>
      <c r="O82" s="47"/>
      <c r="P82" s="47"/>
      <c r="Q82" s="47"/>
      <c r="R82" s="47"/>
      <c r="S82" s="47"/>
      <c r="U82" s="4"/>
      <c r="V82" s="4"/>
      <c r="W82" s="4"/>
      <c r="X82" s="4"/>
      <c r="Y82" s="4"/>
      <c r="Z82" s="4"/>
      <c r="AA82" s="4"/>
      <c r="AB82" s="4"/>
      <c r="AC82" s="4"/>
      <c r="BA82" s="47"/>
      <c r="BK82"/>
      <c r="BL82"/>
      <c r="BM82"/>
      <c r="BN82"/>
      <c r="BO82"/>
      <c r="BP82"/>
      <c r="BQ82"/>
      <c r="BR82"/>
      <c r="BS82"/>
      <c r="BT82"/>
      <c r="BU82"/>
      <c r="BV82"/>
    </row>
    <row r="83" spans="7:74" ht="18.75" customHeight="1">
      <c r="G83" s="4"/>
      <c r="H83" s="479"/>
      <c r="K83" s="47"/>
      <c r="L83" s="47"/>
      <c r="M83" s="47"/>
      <c r="N83" s="47"/>
      <c r="O83" s="47"/>
      <c r="P83" s="47"/>
      <c r="Q83" s="47"/>
      <c r="R83" s="47"/>
      <c r="S83" s="47"/>
      <c r="U83" s="4"/>
      <c r="V83" s="4"/>
      <c r="W83" s="4"/>
      <c r="X83" s="4"/>
      <c r="Y83" s="4"/>
      <c r="Z83" s="4"/>
      <c r="AA83" s="4"/>
      <c r="AB83" s="4"/>
      <c r="AC83" s="4"/>
      <c r="BA83" s="47"/>
      <c r="BK83"/>
      <c r="BL83"/>
      <c r="BM83"/>
      <c r="BN83"/>
      <c r="BO83"/>
      <c r="BP83"/>
      <c r="BQ83"/>
      <c r="BR83"/>
      <c r="BS83"/>
      <c r="BT83"/>
      <c r="BU83"/>
      <c r="BV83"/>
    </row>
    <row r="84" spans="7:74" ht="18.75" customHeight="1">
      <c r="G84" s="4"/>
      <c r="H84" s="479"/>
      <c r="K84" s="47"/>
      <c r="L84" s="47"/>
      <c r="M84" s="47"/>
      <c r="N84" s="47"/>
      <c r="O84" s="47"/>
      <c r="P84" s="47"/>
      <c r="Q84" s="47"/>
      <c r="R84" s="47"/>
      <c r="S84" s="47"/>
      <c r="U84" s="4"/>
      <c r="V84" s="4"/>
      <c r="W84" s="4"/>
      <c r="X84" s="4"/>
      <c r="Y84" s="4"/>
      <c r="Z84" s="4"/>
      <c r="AA84" s="4"/>
      <c r="AB84" s="4"/>
      <c r="AC84" s="4"/>
      <c r="BA84" s="47"/>
      <c r="BK84"/>
      <c r="BL84"/>
      <c r="BM84"/>
      <c r="BN84"/>
      <c r="BO84"/>
      <c r="BP84"/>
      <c r="BQ84"/>
      <c r="BR84"/>
      <c r="BS84"/>
      <c r="BT84"/>
      <c r="BU84"/>
      <c r="BV84"/>
    </row>
    <row r="85" spans="7:74" ht="18.75" customHeight="1">
      <c r="G85" s="4"/>
      <c r="H85" s="479"/>
      <c r="K85" s="47"/>
      <c r="L85" s="47"/>
      <c r="M85" s="47"/>
      <c r="N85" s="47"/>
      <c r="O85" s="47"/>
      <c r="P85" s="47"/>
      <c r="Q85" s="47"/>
      <c r="R85" s="47"/>
      <c r="S85" s="47"/>
      <c r="U85" s="4"/>
      <c r="V85" s="4"/>
      <c r="W85" s="4"/>
      <c r="X85" s="4"/>
      <c r="Y85" s="4"/>
      <c r="Z85" s="4"/>
      <c r="AA85" s="4"/>
      <c r="AB85" s="4"/>
      <c r="AC85" s="4"/>
      <c r="BB85" s="47"/>
      <c r="BL85"/>
      <c r="BM85"/>
      <c r="BN85"/>
      <c r="BO85"/>
      <c r="BP85"/>
      <c r="BQ85"/>
      <c r="BR85"/>
      <c r="BS85"/>
      <c r="BT85"/>
      <c r="BU85"/>
      <c r="BV85"/>
    </row>
    <row r="86" spans="7:74" ht="18.75" customHeight="1">
      <c r="G86" s="4"/>
      <c r="H86" s="479"/>
      <c r="K86" s="47"/>
      <c r="L86" s="47"/>
      <c r="M86" s="47"/>
      <c r="N86" s="47"/>
      <c r="O86" s="47"/>
      <c r="P86" s="47"/>
      <c r="Q86" s="47"/>
      <c r="R86" s="47"/>
      <c r="S86" s="47"/>
      <c r="U86" s="4"/>
      <c r="V86" s="4"/>
      <c r="W86" s="4"/>
      <c r="X86" s="4"/>
      <c r="Y86" s="4"/>
      <c r="Z86" s="4"/>
      <c r="AA86" s="4"/>
      <c r="AB86" s="4"/>
      <c r="AC86" s="4"/>
      <c r="BB86" s="47"/>
      <c r="BL86"/>
      <c r="BM86"/>
      <c r="BN86"/>
      <c r="BO86"/>
      <c r="BP86"/>
      <c r="BQ86"/>
      <c r="BR86"/>
      <c r="BS86"/>
      <c r="BT86"/>
      <c r="BU86"/>
      <c r="BV86"/>
    </row>
    <row r="87" spans="7:74" ht="18.75" customHeight="1">
      <c r="G87" s="4"/>
      <c r="H87" s="479"/>
      <c r="K87" s="47"/>
      <c r="L87" s="47"/>
      <c r="M87" s="47"/>
      <c r="N87" s="47"/>
      <c r="O87" s="47"/>
      <c r="P87" s="47"/>
      <c r="Q87" s="47"/>
      <c r="R87" s="47"/>
      <c r="S87" s="47"/>
      <c r="U87" s="4"/>
      <c r="V87" s="4"/>
      <c r="W87" s="4"/>
      <c r="X87" s="4"/>
      <c r="Y87" s="4"/>
      <c r="Z87" s="4"/>
      <c r="AA87" s="4"/>
      <c r="AB87" s="4"/>
      <c r="AC87" s="4"/>
      <c r="BB87" s="47"/>
      <c r="BL87"/>
      <c r="BM87"/>
      <c r="BN87"/>
      <c r="BO87"/>
      <c r="BP87"/>
      <c r="BQ87"/>
      <c r="BR87"/>
      <c r="BS87"/>
      <c r="BT87"/>
      <c r="BU87"/>
      <c r="BV87"/>
    </row>
    <row r="88" spans="7:74" ht="18.75" customHeight="1">
      <c r="H88" s="479"/>
      <c r="K88" s="47"/>
      <c r="L88" s="47"/>
      <c r="M88" s="47"/>
      <c r="N88" s="47"/>
      <c r="O88" s="47"/>
      <c r="P88" s="47"/>
      <c r="Q88" s="47"/>
      <c r="R88" s="47"/>
      <c r="S88" s="47"/>
      <c r="U88" s="4"/>
      <c r="V88" s="4"/>
      <c r="W88" s="4"/>
      <c r="X88" s="4"/>
      <c r="Y88" s="4"/>
      <c r="Z88" s="4"/>
      <c r="AA88" s="4"/>
      <c r="AB88" s="4"/>
      <c r="AC88" s="4"/>
      <c r="BB88" s="47"/>
      <c r="BL88"/>
      <c r="BM88"/>
      <c r="BN88"/>
      <c r="BO88"/>
      <c r="BP88"/>
      <c r="BQ88"/>
      <c r="BR88"/>
      <c r="BS88"/>
      <c r="BT88"/>
      <c r="BU88"/>
      <c r="BV88"/>
    </row>
    <row r="89" spans="7:74" ht="18.75" customHeight="1">
      <c r="H89" s="479"/>
      <c r="K89" s="47"/>
      <c r="L89" s="47"/>
      <c r="M89" s="47"/>
      <c r="N89" s="47"/>
      <c r="O89" s="47"/>
      <c r="P89" s="47"/>
      <c r="Q89" s="47"/>
      <c r="R89" s="47"/>
      <c r="S89" s="47"/>
      <c r="U89" s="4"/>
      <c r="V89" s="4"/>
      <c r="W89" s="4"/>
      <c r="X89" s="4"/>
      <c r="Y89" s="4"/>
      <c r="Z89" s="4"/>
      <c r="AA89" s="4"/>
      <c r="AB89" s="4"/>
      <c r="AC89" s="4"/>
      <c r="BB89" s="47"/>
      <c r="BL89"/>
      <c r="BM89"/>
      <c r="BN89"/>
      <c r="BO89"/>
      <c r="BP89"/>
      <c r="BQ89"/>
      <c r="BR89"/>
      <c r="BS89"/>
      <c r="BU89"/>
      <c r="BV89"/>
    </row>
    <row r="90" spans="7:74" ht="18.75" customHeight="1">
      <c r="H90" s="479"/>
      <c r="K90" s="47"/>
      <c r="L90" s="47"/>
      <c r="M90" s="47"/>
      <c r="N90" s="47"/>
      <c r="O90" s="47"/>
      <c r="P90" s="47"/>
      <c r="Q90" s="47"/>
      <c r="R90" s="47"/>
      <c r="S90" s="47"/>
      <c r="U90" s="4"/>
      <c r="V90" s="4"/>
      <c r="W90" s="4"/>
      <c r="X90" s="4"/>
      <c r="Y90" s="4"/>
      <c r="Z90" s="4"/>
      <c r="AA90" s="4"/>
      <c r="AB90" s="4"/>
      <c r="AC90" s="4"/>
      <c r="BB90" s="47"/>
      <c r="BL90"/>
      <c r="BM90"/>
      <c r="BN90"/>
      <c r="BO90"/>
      <c r="BP90"/>
      <c r="BQ90"/>
      <c r="BR90"/>
      <c r="BS90"/>
      <c r="BU90"/>
      <c r="BV90"/>
    </row>
    <row r="91" spans="7:74" ht="18.75" customHeight="1">
      <c r="H91" s="479"/>
      <c r="K91" s="47"/>
      <c r="L91" s="47"/>
      <c r="M91" s="47"/>
      <c r="N91" s="47"/>
      <c r="O91" s="47"/>
      <c r="P91" s="47"/>
      <c r="Q91" s="47"/>
      <c r="R91" s="47"/>
      <c r="S91" s="47"/>
      <c r="U91" s="4"/>
      <c r="V91" s="4"/>
      <c r="W91" s="4"/>
      <c r="X91" s="4"/>
      <c r="Y91" s="4"/>
      <c r="Z91" s="4"/>
      <c r="AA91" s="4"/>
      <c r="AB91" s="4"/>
      <c r="AC91" s="4"/>
      <c r="BB91" s="47"/>
      <c r="BL91"/>
      <c r="BM91"/>
      <c r="BN91"/>
      <c r="BO91"/>
      <c r="BP91"/>
      <c r="BQ91"/>
      <c r="BR91"/>
      <c r="BS91"/>
    </row>
    <row r="92" spans="7:74" ht="18.75" customHeight="1">
      <c r="H92" s="479"/>
      <c r="K92" s="47"/>
      <c r="L92" s="47"/>
      <c r="M92" s="47"/>
      <c r="N92" s="47"/>
      <c r="O92" s="47"/>
      <c r="P92" s="47"/>
      <c r="Q92" s="47"/>
      <c r="R92" s="47"/>
      <c r="S92" s="47"/>
      <c r="U92" s="4"/>
      <c r="V92" s="4"/>
      <c r="W92" s="4"/>
      <c r="X92" s="4"/>
      <c r="Y92" s="4"/>
      <c r="Z92" s="4"/>
      <c r="AA92" s="4"/>
      <c r="AB92" s="4"/>
      <c r="AC92" s="4"/>
      <c r="BB92" s="47"/>
      <c r="BL92"/>
      <c r="BM92"/>
      <c r="BN92"/>
      <c r="BO92"/>
      <c r="BP92"/>
      <c r="BQ92"/>
      <c r="BR92"/>
      <c r="BS92"/>
    </row>
    <row r="93" spans="7:74" ht="18.75" customHeight="1">
      <c r="H93" s="479"/>
      <c r="K93" s="47"/>
      <c r="L93" s="47"/>
      <c r="M93" s="47"/>
      <c r="N93" s="47"/>
      <c r="O93" s="47"/>
      <c r="P93" s="47"/>
      <c r="Q93" s="47"/>
      <c r="R93" s="47"/>
      <c r="S93" s="47"/>
      <c r="U93" s="4"/>
      <c r="V93" s="4"/>
      <c r="W93" s="4"/>
      <c r="X93" s="4"/>
      <c r="Y93" s="4"/>
      <c r="Z93" s="4"/>
      <c r="AA93" s="4"/>
      <c r="AB93" s="4"/>
      <c r="AC93" s="4"/>
      <c r="BB93" s="47"/>
      <c r="BL93"/>
      <c r="BM93"/>
      <c r="BN93"/>
      <c r="BO93"/>
      <c r="BP93"/>
      <c r="BQ93"/>
      <c r="BR93"/>
      <c r="BS93"/>
    </row>
    <row r="94" spans="7:74" ht="18.75" customHeight="1">
      <c r="P94" s="479"/>
      <c r="AB94" s="4"/>
      <c r="AC94" s="4"/>
      <c r="BK94" s="47"/>
      <c r="BM94" s="4"/>
    </row>
    <row r="95" spans="7:74" ht="18.75" customHeight="1">
      <c r="P95" s="479"/>
      <c r="AB95" s="4"/>
      <c r="AC95" s="4"/>
      <c r="BK95" s="47"/>
      <c r="BM95" s="4"/>
    </row>
    <row r="96" spans="7:74" ht="18.75" customHeight="1">
      <c r="P96" s="479"/>
    </row>
    <row r="97" ht="18.75" customHeight="1"/>
  </sheetData>
  <sheetProtection algorithmName="SHA-512" hashValue="YVdYIJknHovCQo2ZWeISe4CLZebGu8tLE1c2cRw8e88CnjIvYL+lWdyJnXWnwDXzlnaAwfznDB0QiQiK4dxgtw==" saltValue="tWpaWLc2VbnadwU+6FyAkA==" spinCount="100000" sheet="1" selectLockedCells="1"/>
  <mergeCells count="222">
    <mergeCell ref="N76:O76"/>
    <mergeCell ref="C68:D68"/>
    <mergeCell ref="E68:F68"/>
    <mergeCell ref="B36:B37"/>
    <mergeCell ref="C36:C37"/>
    <mergeCell ref="B44:B45"/>
    <mergeCell ref="B41:B42"/>
    <mergeCell ref="B38:B39"/>
    <mergeCell ref="C38:C39"/>
    <mergeCell ref="N75:O75"/>
    <mergeCell ref="B33:B34"/>
    <mergeCell ref="C33:C34"/>
    <mergeCell ref="D38:D39"/>
    <mergeCell ref="D33:D34"/>
    <mergeCell ref="F18:F19"/>
    <mergeCell ref="E18:E19"/>
    <mergeCell ref="F36:F37"/>
    <mergeCell ref="F33:F34"/>
    <mergeCell ref="E33:E34"/>
    <mergeCell ref="E36:E37"/>
    <mergeCell ref="B18:B19"/>
    <mergeCell ref="I20:I21"/>
    <mergeCell ref="D11:D12"/>
    <mergeCell ref="E11:E12"/>
    <mergeCell ref="F11:F12"/>
    <mergeCell ref="D16:D17"/>
    <mergeCell ref="D18:D19"/>
    <mergeCell ref="C5:F6"/>
    <mergeCell ref="J20:J21"/>
    <mergeCell ref="H1:H17"/>
    <mergeCell ref="H20:H40"/>
    <mergeCell ref="I1:I2"/>
    <mergeCell ref="J1:J2"/>
    <mergeCell ref="C18:C19"/>
    <mergeCell ref="BS42:BS43"/>
    <mergeCell ref="BD20:BD21"/>
    <mergeCell ref="AF20:AF21"/>
    <mergeCell ref="Y20:Y21"/>
    <mergeCell ref="AM20:AM21"/>
    <mergeCell ref="AE20:AE21"/>
    <mergeCell ref="BB20:BB21"/>
    <mergeCell ref="BP20:BP21"/>
    <mergeCell ref="BQ20:BQ21"/>
    <mergeCell ref="BS20:BS21"/>
    <mergeCell ref="BR20:BR21"/>
    <mergeCell ref="AJ42:AJ43"/>
    <mergeCell ref="AD20:AD21"/>
    <mergeCell ref="AA20:AA41"/>
    <mergeCell ref="AB20:AB21"/>
    <mergeCell ref="AL20:AL41"/>
    <mergeCell ref="AV20:AV21"/>
    <mergeCell ref="AJ20:AJ21"/>
    <mergeCell ref="AN20:AN21"/>
    <mergeCell ref="AO20:AO21"/>
    <mergeCell ref="AP20:AP21"/>
    <mergeCell ref="AG20:AG21"/>
    <mergeCell ref="BO20:BO41"/>
    <mergeCell ref="AR20:AR41"/>
    <mergeCell ref="B16:B17"/>
    <mergeCell ref="B14:B15"/>
    <mergeCell ref="B5:B6"/>
    <mergeCell ref="F9:F10"/>
    <mergeCell ref="E9:E10"/>
    <mergeCell ref="D9:D10"/>
    <mergeCell ref="C9:C10"/>
    <mergeCell ref="B9:B10"/>
    <mergeCell ref="C7:F7"/>
    <mergeCell ref="F14:F15"/>
    <mergeCell ref="E14:E15"/>
    <mergeCell ref="F16:F17"/>
    <mergeCell ref="E16:E17"/>
    <mergeCell ref="C8:F8"/>
    <mergeCell ref="B11:B12"/>
    <mergeCell ref="C11:C12"/>
    <mergeCell ref="C16:C17"/>
    <mergeCell ref="D14:D15"/>
    <mergeCell ref="C14:C15"/>
    <mergeCell ref="BD1:BD2"/>
    <mergeCell ref="AY1:AY2"/>
    <mergeCell ref="BB1:BB2"/>
    <mergeCell ref="AE1:AE2"/>
    <mergeCell ref="AM1:AM2"/>
    <mergeCell ref="AN1:AN2"/>
    <mergeCell ref="AO1:AO2"/>
    <mergeCell ref="AP1:AP2"/>
    <mergeCell ref="AH1:AH2"/>
    <mergeCell ref="AG1:AG2"/>
    <mergeCell ref="Y14:Y15"/>
    <mergeCell ref="X1:X2"/>
    <mergeCell ref="BA1:BA2"/>
    <mergeCell ref="BC1:BC2"/>
    <mergeCell ref="Y1:Y2"/>
    <mergeCell ref="AB1:AB2"/>
    <mergeCell ref="AZ1:AZ2"/>
    <mergeCell ref="AD1:AD2"/>
    <mergeCell ref="AJ1:AJ2"/>
    <mergeCell ref="AF1:AF2"/>
    <mergeCell ref="AI1:AI2"/>
    <mergeCell ref="AC1:AC2"/>
    <mergeCell ref="BM1:BM2"/>
    <mergeCell ref="BJ1:BJ2"/>
    <mergeCell ref="BK1:BK2"/>
    <mergeCell ref="BF1:BF2"/>
    <mergeCell ref="B1:B2"/>
    <mergeCell ref="C1:E2"/>
    <mergeCell ref="F1:F2"/>
    <mergeCell ref="O1:O2"/>
    <mergeCell ref="Q1:Q2"/>
    <mergeCell ref="M1:M2"/>
    <mergeCell ref="N1:N2"/>
    <mergeCell ref="BE1:BE2"/>
    <mergeCell ref="AA1:AA17"/>
    <mergeCell ref="AL1:AL17"/>
    <mergeCell ref="AP4:AP12"/>
    <mergeCell ref="T1:T2"/>
    <mergeCell ref="U1:U2"/>
    <mergeCell ref="V1:V2"/>
    <mergeCell ref="L1:L2"/>
    <mergeCell ref="P1:P2"/>
    <mergeCell ref="R1:R17"/>
    <mergeCell ref="K1:K2"/>
    <mergeCell ref="W1:W2"/>
    <mergeCell ref="S1:S2"/>
    <mergeCell ref="V66:W66"/>
    <mergeCell ref="V51:W51"/>
    <mergeCell ref="V57:W57"/>
    <mergeCell ref="V58:W58"/>
    <mergeCell ref="V59:W59"/>
    <mergeCell ref="BT15:BT16"/>
    <mergeCell ref="AX20:AX41"/>
    <mergeCell ref="BI20:BI41"/>
    <mergeCell ref="BJ20:BJ21"/>
    <mergeCell ref="BM20:BM21"/>
    <mergeCell ref="BK20:BK21"/>
    <mergeCell ref="BL20:BL21"/>
    <mergeCell ref="BC20:BC21"/>
    <mergeCell ref="BA20:BA21"/>
    <mergeCell ref="BG20:BG21"/>
    <mergeCell ref="AY20:AY21"/>
    <mergeCell ref="AX1:AX17"/>
    <mergeCell ref="BI1:BI17"/>
    <mergeCell ref="BM4:BM12"/>
    <mergeCell ref="BP1:BP2"/>
    <mergeCell ref="BQ1:BQ2"/>
    <mergeCell ref="BS1:BS2"/>
    <mergeCell ref="BG1:BG2"/>
    <mergeCell ref="BL1:BL2"/>
    <mergeCell ref="AS20:AS21"/>
    <mergeCell ref="AT20:AT21"/>
    <mergeCell ref="AU20:AU21"/>
    <mergeCell ref="AV42:AV43"/>
    <mergeCell ref="BG42:BG43"/>
    <mergeCell ref="W29:X29"/>
    <mergeCell ref="W30:X30"/>
    <mergeCell ref="W31:X31"/>
    <mergeCell ref="R20:R40"/>
    <mergeCell ref="V42:W43"/>
    <mergeCell ref="O20:O21"/>
    <mergeCell ref="X42:X43"/>
    <mergeCell ref="K20:K21"/>
    <mergeCell ref="L20:L21"/>
    <mergeCell ref="V44:W44"/>
    <mergeCell ref="S42:S43"/>
    <mergeCell ref="L42:L43"/>
    <mergeCell ref="U20:U21"/>
    <mergeCell ref="V20:V21"/>
    <mergeCell ref="T20:T21"/>
    <mergeCell ref="W22:X22"/>
    <mergeCell ref="W23:X23"/>
    <mergeCell ref="W24:X24"/>
    <mergeCell ref="W25:X25"/>
    <mergeCell ref="W26:X26"/>
    <mergeCell ref="W27:X27"/>
    <mergeCell ref="W28:X28"/>
    <mergeCell ref="V65:W65"/>
    <mergeCell ref="V45:W45"/>
    <mergeCell ref="V46:W46"/>
    <mergeCell ref="H77:J77"/>
    <mergeCell ref="M20:M21"/>
    <mergeCell ref="P20:P21"/>
    <mergeCell ref="S20:S2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20:X21"/>
    <mergeCell ref="K70:L70"/>
    <mergeCell ref="I42:I43"/>
    <mergeCell ref="H67:H76"/>
    <mergeCell ref="Q67:R76"/>
    <mergeCell ref="Q20:Q21"/>
    <mergeCell ref="V52:W52"/>
    <mergeCell ref="N20:N21"/>
    <mergeCell ref="V53:W53"/>
    <mergeCell ref="V54:W54"/>
    <mergeCell ref="V55:W55"/>
    <mergeCell ref="V56:W56"/>
    <mergeCell ref="AA67:AA76"/>
    <mergeCell ref="AX67:AX76"/>
    <mergeCell ref="H42:H65"/>
    <mergeCell ref="Q42:R65"/>
    <mergeCell ref="AA42:AA65"/>
    <mergeCell ref="AX42:AX65"/>
    <mergeCell ref="V60:W60"/>
    <mergeCell ref="V61:W61"/>
    <mergeCell ref="V62:W62"/>
    <mergeCell ref="V64:W64"/>
    <mergeCell ref="M42:M43"/>
    <mergeCell ref="N69:O69"/>
    <mergeCell ref="J42:J43"/>
    <mergeCell ref="V47:W47"/>
    <mergeCell ref="V48:W48"/>
    <mergeCell ref="V49:W49"/>
    <mergeCell ref="V50:W50"/>
    <mergeCell ref="J75:L75"/>
    <mergeCell ref="K69:L69"/>
    <mergeCell ref="V63:W63"/>
  </mergeCells>
  <conditionalFormatting sqref="C36 E36">
    <cfRule type="cellIs" dxfId="9" priority="285" operator="lessThan">
      <formula>$C$38</formula>
    </cfRule>
    <cfRule type="cellIs" dxfId="8" priority="286" operator="greaterThan">
      <formula>$C$38</formula>
    </cfRule>
  </conditionalFormatting>
  <conditionalFormatting sqref="M3:M12">
    <cfRule type="expression" dxfId="7" priority="4">
      <formula>IF(Q3="tak",AND(M3&lt;&gt;"",SUM(M3,N3,O3)&gt;($C$8/8*7)*K3),AND(M3&lt;&gt;"",SUM(M3,N3,O3)&gt;$C$8*K3))</formula>
    </cfRule>
    <cfRule type="expression" dxfId="6" priority="7">
      <formula>IF(Q3="tak",AND(M3&lt;&gt;"",SUM(M3,N3,O3)&lt;($C$8/8*7)*K3),AND(M3&lt;&gt;"",SUM(M3,N3,O3)&lt;$C$8*K3))</formula>
    </cfRule>
  </conditionalFormatting>
  <conditionalFormatting sqref="W22:W40 Y22:Y40 X44:X65">
    <cfRule type="containsText" dxfId="5" priority="9" operator="containsText" text="godziny">
      <formula>NOT(ISERROR(SEARCH("godziny",W22)))</formula>
    </cfRule>
  </conditionalFormatting>
  <dataValidations count="2">
    <dataValidation type="list" allowBlank="1" showInputMessage="1" showErrorMessage="1" sqref="C32" xr:uid="{00000000-0002-0000-0200-000000000000}">
      <formula1>MATRIX_PLAN</formula1>
    </dataValidation>
    <dataValidation type="list" allowBlank="1" showInputMessage="1" showErrorMessage="1" sqref="Q22:Q40 Q14 Q3:Q12" xr:uid="{00000000-0002-0000-0200-000001000000}">
      <formula1>ON</formula1>
    </dataValidation>
  </dataValidations>
  <printOptions horizontalCentered="1" verticalCentered="1"/>
  <pageMargins left="3.937007874015748E-2" right="3.937007874015748E-2" top="0" bottom="0" header="0" footer="0"/>
  <pageSetup paperSize="9" scale="42" orientation="landscape" r:id="rId1"/>
  <ignoredErrors>
    <ignoredError sqref="D74 E75:E77" 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3B7F6F6-5F43-4561-9EE1-554CF18888B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L3:L14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2000000}">
          <x14:formula1>
            <xm:f>DANE!$B$9:$B$12</xm:f>
          </x14:formula1>
          <xm:sqref>J22:J40 J56:J65</xm:sqref>
        </x14:dataValidation>
        <x14:dataValidation type="list" allowBlank="1" showInputMessage="1" showErrorMessage="1" xr:uid="{00000000-0002-0000-0200-000003000000}">
          <x14:formula1>
            <xm:f>DANE!$B$3:$B$7</xm:f>
          </x14:formula1>
          <xm:sqref>J14 J3:J12</xm:sqref>
        </x14:dataValidation>
        <x14:dataValidation type="list" allowBlank="1" showInputMessage="1" showErrorMessage="1" xr:uid="{00000000-0002-0000-0200-000004000000}">
          <x14:formula1>
            <xm:f>DANE!$J$3:$J$14</xm:f>
          </x14:formula1>
          <xm:sqref>C5 G2</xm:sqref>
        </x14:dataValidation>
        <x14:dataValidation type="list" allowBlank="1" showInputMessage="1" showErrorMessage="1" xr:uid="{00000000-0002-0000-0200-000005000000}">
          <x14:formula1>
            <xm:f>DANE!$AA$3:$AA$100</xm:f>
          </x14:formula1>
          <xm:sqref>F1:F2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007343"/>
  </sheetPr>
  <dimension ref="B1:J37"/>
  <sheetViews>
    <sheetView showGridLines="0" showRowColHeaders="0" zoomScale="90" zoomScaleNormal="90" workbookViewId="0">
      <selection activeCell="D22" sqref="D22"/>
    </sheetView>
  </sheetViews>
  <sheetFormatPr defaultColWidth="9.140625" defaultRowHeight="15"/>
  <cols>
    <col min="1" max="1" width="4.28515625" customWidth="1"/>
    <col min="2" max="2" width="15.7109375" style="193" customWidth="1"/>
    <col min="3" max="4" width="15.7109375" style="110" customWidth="1"/>
    <col min="5" max="5" width="7.140625" customWidth="1"/>
    <col min="6" max="10" width="14.7109375" customWidth="1"/>
    <col min="11" max="12" width="11.85546875" customWidth="1"/>
    <col min="13" max="13" width="10.85546875" customWidth="1"/>
  </cols>
  <sheetData>
    <row r="1" spans="2:10">
      <c r="B1" s="196" t="s">
        <v>260</v>
      </c>
      <c r="C1" s="202" t="s">
        <v>261</v>
      </c>
      <c r="F1" s="623" t="s">
        <v>262</v>
      </c>
      <c r="G1" s="624"/>
      <c r="H1" s="624"/>
      <c r="I1" s="625"/>
    </row>
    <row r="2" spans="2:10">
      <c r="B2" s="196" t="s">
        <v>121</v>
      </c>
      <c r="C2" s="320">
        <v>2250</v>
      </c>
      <c r="F2" s="196" t="s">
        <v>121</v>
      </c>
      <c r="G2" s="626">
        <f>SUM(G11,G16)</f>
        <v>0</v>
      </c>
      <c r="H2" s="626"/>
      <c r="I2" s="627"/>
    </row>
    <row r="3" spans="2:10">
      <c r="B3" s="196" t="s">
        <v>129</v>
      </c>
      <c r="C3" s="321">
        <v>1000</v>
      </c>
      <c r="F3" s="196" t="s">
        <v>129</v>
      </c>
      <c r="G3" s="626">
        <f>SUM(H11,H16)</f>
        <v>0</v>
      </c>
      <c r="H3" s="626"/>
      <c r="I3" s="627"/>
    </row>
    <row r="4" spans="2:10" ht="15" customHeight="1">
      <c r="B4" s="196" t="s">
        <v>134</v>
      </c>
      <c r="C4" s="321">
        <v>700</v>
      </c>
      <c r="F4" s="196" t="s">
        <v>134</v>
      </c>
      <c r="G4" s="626">
        <f>SUM(I11,I16)</f>
        <v>0</v>
      </c>
      <c r="H4" s="626"/>
      <c r="I4" s="627"/>
    </row>
    <row r="5" spans="2:10" ht="15.75" thickBot="1">
      <c r="B5" s="198" t="s">
        <v>263</v>
      </c>
      <c r="C5" s="322">
        <v>700</v>
      </c>
      <c r="F5" s="198" t="s">
        <v>263</v>
      </c>
      <c r="G5" s="628">
        <f>SUM(J11,J16)</f>
        <v>0</v>
      </c>
      <c r="H5" s="628"/>
      <c r="I5" s="629"/>
    </row>
    <row r="6" spans="2:10" ht="15.75" thickBot="1"/>
    <row r="7" spans="2:10" ht="15.75">
      <c r="B7" s="433" t="str">
        <f>VLOOKUP(CALCULATOR!$C$5,DANE!B17:F28,3,FALSE)</f>
        <v>Sierpień</v>
      </c>
      <c r="F7" s="630" t="s">
        <v>264</v>
      </c>
      <c r="G7" s="631"/>
      <c r="H7" s="631"/>
      <c r="I7" s="631"/>
      <c r="J7" s="632"/>
    </row>
    <row r="8" spans="2:10">
      <c r="B8" s="194"/>
      <c r="C8" s="195" t="s">
        <v>125</v>
      </c>
      <c r="D8" s="195" t="s">
        <v>141</v>
      </c>
      <c r="F8" s="618" t="s">
        <v>265</v>
      </c>
      <c r="G8" s="619"/>
      <c r="H8" s="297" t="s">
        <v>125</v>
      </c>
      <c r="I8" s="298" t="s">
        <v>266</v>
      </c>
      <c r="J8" s="299" t="s">
        <v>267</v>
      </c>
    </row>
    <row r="9" spans="2:10" ht="15" customHeight="1">
      <c r="B9" s="196" t="s">
        <v>268</v>
      </c>
      <c r="C9" s="296" t="e">
        <f>VLOOKUP($D$8,AOP!$A$2:$Z$100,VLOOKUP(B9,DANE!$B$17:$C$28,2,FALSE),FALSE)</f>
        <v>#N/A</v>
      </c>
      <c r="D9" s="427"/>
      <c r="F9" s="633">
        <f>IF(B7=B9,D9,IF(B7=B10,D10,IF(B7=B11,D11,IF(B7=B12,D12,IF(B7=B13,D13,IF(B7=B14,D14,IF(B7=B15,D15,IF(B7=B16,D16,IF(B7=B17,D17,IF(B7=B18,D18,IF(B7=B19,D19,IF(B7=B20,D20))))))))))))</f>
        <v>0</v>
      </c>
      <c r="G9" s="634"/>
      <c r="H9" s="350" t="e">
        <f>IF(B7=B9,C9,IF(B7=B10,C10,IF(B7=B11,C11,IF(B7=B12,C12,IF(B7=B13,C13,IF(B7=B14,C14,IF(B7=B15,C15,IF(B7=B16,C16,IF(B7=B17,C17,IF(B7=B18,C18,IF(B7=B19,C19,IF(B7=B20,C20))))))))))))</f>
        <v>#N/A</v>
      </c>
      <c r="I9" s="300">
        <f>IFERROR(ROUND(F9/H9,2),0)</f>
        <v>0</v>
      </c>
      <c r="J9" s="301">
        <f>IF(I9&gt;F20,G20,IF(I9&lt;F36,G36,VLOOKUP(I9,F20:G36,2,FALSE)))</f>
        <v>0</v>
      </c>
    </row>
    <row r="10" spans="2:10">
      <c r="B10" s="196" t="s">
        <v>269</v>
      </c>
      <c r="C10" s="197" t="e">
        <f>VLOOKUP($D$8,AOP!$A$2:$Z$100,VLOOKUP(B10,DANE!$B$17:$C$28,2,FALSE),FALSE)</f>
        <v>#N/A</v>
      </c>
      <c r="D10" s="428"/>
      <c r="F10" s="616" t="s">
        <v>270</v>
      </c>
      <c r="G10" s="302" t="str">
        <f>F2</f>
        <v>SM</v>
      </c>
      <c r="H10" s="302" t="str">
        <f>F3</f>
        <v>ASM</v>
      </c>
      <c r="I10" s="302" t="str">
        <f>F4</f>
        <v>SSV-PM</v>
      </c>
      <c r="J10" s="303" t="str">
        <f>F5</f>
        <v>SSV-FM</v>
      </c>
    </row>
    <row r="11" spans="2:10" ht="15" customHeight="1" thickBot="1">
      <c r="B11" s="196" t="s">
        <v>271</v>
      </c>
      <c r="C11" s="296" t="e">
        <f>VLOOKUP($D$8,AOP!$A$2:$Z$100,VLOOKUP(B11,DANE!$B$17:$C$28,2,FALSE),FALSE)</f>
        <v>#N/A</v>
      </c>
      <c r="D11" s="427"/>
      <c r="F11" s="617"/>
      <c r="G11" s="304" t="str">
        <f>IF($J$9=0,"brak premii",$C$2*$J$9)</f>
        <v>brak premii</v>
      </c>
      <c r="H11" s="304" t="str">
        <f>IF($J$9=0,"brak premii",$C$3*$J$9)</f>
        <v>brak premii</v>
      </c>
      <c r="I11" s="304" t="str">
        <f>IF($J$9=0,"brak premii",$C$4*$J$9)</f>
        <v>brak premii</v>
      </c>
      <c r="J11" s="305" t="str">
        <f>IF($J$9=0,"brak premii",$C$5*$J$9)</f>
        <v>brak premii</v>
      </c>
    </row>
    <row r="12" spans="2:10" ht="15.75" customHeight="1">
      <c r="B12" s="196" t="s">
        <v>272</v>
      </c>
      <c r="C12" s="296" t="e">
        <f>VLOOKUP($D$8,AOP!$A$2:$Z$100,VLOOKUP(B12,DANE!$B$17:$C$28,2,FALSE),FALSE)</f>
        <v>#N/A</v>
      </c>
      <c r="D12" s="427"/>
      <c r="F12" s="630" t="s">
        <v>273</v>
      </c>
      <c r="G12" s="631"/>
      <c r="H12" s="631"/>
      <c r="I12" s="631"/>
      <c r="J12" s="632"/>
    </row>
    <row r="13" spans="2:10">
      <c r="B13" s="196" t="s">
        <v>274</v>
      </c>
      <c r="C13" s="296" t="e">
        <f>VLOOKUP($D$8,AOP!$A$2:$Z$100,VLOOKUP(B13,DANE!$B$17:$C$28,2,FALSE),FALSE)</f>
        <v>#N/A</v>
      </c>
      <c r="D13" s="427"/>
      <c r="F13" s="618" t="s">
        <v>275</v>
      </c>
      <c r="G13" s="619"/>
      <c r="H13" s="297" t="s">
        <v>125</v>
      </c>
      <c r="I13" s="298" t="s">
        <v>266</v>
      </c>
      <c r="J13" s="306" t="s">
        <v>267</v>
      </c>
    </row>
    <row r="14" spans="2:10">
      <c r="B14" s="196" t="s">
        <v>276</v>
      </c>
      <c r="C14" s="296" t="e">
        <f>VLOOKUP($D$8,AOP!$A$2:$Z$100,VLOOKUP(B14,DANE!$B$17:$C$28,2,FALSE),FALSE)</f>
        <v>#N/A</v>
      </c>
      <c r="D14" s="427"/>
      <c r="F14" s="614">
        <f>ROUND(IF(B7=B22,D22,IF(B7=B23,D23,IF(B7=B24,D24,IF(B7=B25,D25,IF(B7=B26,D26,IF(B7=B27,D27,IF(B7=B28,D28,IF(B7=B29,D29,IF(B7=B30,D30,IF(B7=B31,D31,IF(B7=B32,D32,IF(B7=B33,D33)))))))))))),3)</f>
        <v>0</v>
      </c>
      <c r="G14" s="615"/>
      <c r="H14" s="355" t="e">
        <f>IF(B7=B22,C22,IF(B7=B23,C23,IF(B7=B24,C24,IF(B7=B25,C25,IF(B7=B26,C26,IF(B7=B27,C27,IF(B7=B28,C28,IF(B7=B29,C29,IF(B7=B30,C30,IF(B7=B31,C31,IF(B7=B32,C32,IF(B7=B33,C33))))))))))))</f>
        <v>#N/A</v>
      </c>
      <c r="I14" s="300">
        <f>ROUND(IFERROR(F14/H14,0),2)</f>
        <v>0</v>
      </c>
      <c r="J14" s="301">
        <f>IF(I14&gt;H20,I20,IF(I14&lt;H36,I36,VLOOKUP(I14,H20:I36,2,FALSE)))</f>
        <v>0</v>
      </c>
    </row>
    <row r="15" spans="2:10">
      <c r="B15" s="196" t="s">
        <v>277</v>
      </c>
      <c r="C15" s="296" t="e">
        <f>VLOOKUP($D$8,AOP!$A$2:$Z$100,VLOOKUP(B15,DANE!$B$17:$C$28,2,FALSE),FALSE)</f>
        <v>#N/A</v>
      </c>
      <c r="D15" s="427"/>
      <c r="F15" s="616" t="s">
        <v>270</v>
      </c>
      <c r="G15" s="302" t="str">
        <f>F2</f>
        <v>SM</v>
      </c>
      <c r="H15" s="302" t="str">
        <f>F3</f>
        <v>ASM</v>
      </c>
      <c r="I15" s="302" t="str">
        <f>F4</f>
        <v>SSV-PM</v>
      </c>
      <c r="J15" s="303" t="str">
        <f>F5</f>
        <v>SSV-FM</v>
      </c>
    </row>
    <row r="16" spans="2:10" ht="15" customHeight="1" thickBot="1">
      <c r="B16" s="196" t="s">
        <v>278</v>
      </c>
      <c r="C16" s="296" t="e">
        <f>VLOOKUP($D$8,AOP!$A$2:$Z$100,VLOOKUP(B16,DANE!$B$17:$C$28,2,FALSE),FALSE)</f>
        <v>#N/A</v>
      </c>
      <c r="D16" s="427"/>
      <c r="F16" s="617"/>
      <c r="G16" s="304" t="str">
        <f>IF($J$14=0,"brak premii",$C$2*$J$14)</f>
        <v>brak premii</v>
      </c>
      <c r="H16" s="304" t="str">
        <f>IF($J$14=0,"brak premii",$C$3*$J$14)</f>
        <v>brak premii</v>
      </c>
      <c r="I16" s="304" t="str">
        <f>IF($J$14=0,"brak premii",$C$4*$J$14)</f>
        <v>brak premii</v>
      </c>
      <c r="J16" s="305" t="str">
        <f>IF($J$14=0,"brak premii",$C$5*$J$14)</f>
        <v>brak premii</v>
      </c>
    </row>
    <row r="17" spans="2:10" ht="15.75" thickBot="1">
      <c r="B17" s="196" t="s">
        <v>132</v>
      </c>
      <c r="C17" s="296" t="e">
        <f>VLOOKUP($D$8,AOP!$A$2:$Z$100,VLOOKUP(B17,DANE!$B$17:$C$28,2,FALSE),FALSE)</f>
        <v>#N/A</v>
      </c>
      <c r="D17" s="427"/>
      <c r="F17" s="307"/>
      <c r="G17" s="308"/>
      <c r="H17" s="309"/>
      <c r="I17" s="310"/>
      <c r="J17" s="311"/>
    </row>
    <row r="18" spans="2:10" ht="15.75" thickBot="1">
      <c r="B18" s="196" t="s">
        <v>279</v>
      </c>
      <c r="C18" s="296" t="e">
        <f>VLOOKUP($D$8,AOP!$A$2:$Z$100,VLOOKUP(B18,DANE!$B$17:$C$28,2,FALSE),FALSE)</f>
        <v>#N/A</v>
      </c>
      <c r="D18" s="427"/>
      <c r="F18" s="620" t="s">
        <v>280</v>
      </c>
      <c r="G18" s="621"/>
      <c r="H18" s="621"/>
      <c r="I18" s="621"/>
      <c r="J18" s="622"/>
    </row>
    <row r="19" spans="2:10" ht="15.75" customHeight="1">
      <c r="B19" s="196" t="s">
        <v>281</v>
      </c>
      <c r="C19" s="296" t="e">
        <f>VLOOKUP($D$8,AOP!$A$2:$Z$100,VLOOKUP(B19,DANE!$B$17:$C$28,2,FALSE),FALSE)</f>
        <v>#N/A</v>
      </c>
      <c r="D19" s="427"/>
      <c r="F19" s="323" t="s">
        <v>282</v>
      </c>
      <c r="G19" s="324" t="s">
        <v>267</v>
      </c>
      <c r="H19" s="325" t="s">
        <v>283</v>
      </c>
      <c r="I19" s="325" t="s">
        <v>284</v>
      </c>
      <c r="J19" s="326" t="s">
        <v>285</v>
      </c>
    </row>
    <row r="20" spans="2:10">
      <c r="B20" s="196" t="s">
        <v>286</v>
      </c>
      <c r="C20" s="199" t="e">
        <f>VLOOKUP($D$8,AOP!$A$2:$Z$100,VLOOKUP(B20,DANE!$B$17:$C$28,2,FALSE),FALSE)</f>
        <v>#N/A</v>
      </c>
      <c r="D20" s="429"/>
      <c r="F20" s="312">
        <v>1.1000000000000001</v>
      </c>
      <c r="G20" s="313">
        <v>0.75</v>
      </c>
      <c r="H20" s="314">
        <v>1.1000000000000001</v>
      </c>
      <c r="I20" s="314">
        <v>0.75</v>
      </c>
      <c r="J20" s="315">
        <v>1.5</v>
      </c>
    </row>
    <row r="21" spans="2:10">
      <c r="B21" s="200"/>
      <c r="C21" s="201" t="s">
        <v>125</v>
      </c>
      <c r="D21" s="201" t="s">
        <v>287</v>
      </c>
      <c r="F21" s="312">
        <v>1.0900000000000001</v>
      </c>
      <c r="G21" s="313">
        <v>0.73</v>
      </c>
      <c r="H21" s="314">
        <v>1.0900000000000001</v>
      </c>
      <c r="I21" s="314">
        <v>0.72</v>
      </c>
      <c r="J21" s="315">
        <v>1.45</v>
      </c>
    </row>
    <row r="22" spans="2:10">
      <c r="B22" s="196" t="s">
        <v>268</v>
      </c>
      <c r="C22" s="351" t="e">
        <f>ROUND(VLOOKUP($D$21,AOP!$A$2:$Z$100,VLOOKUP(B22,DANE!$B$17:$E$28,4,FALSE),FALSE),3)</f>
        <v>#N/A</v>
      </c>
      <c r="D22" s="430"/>
      <c r="F22" s="312">
        <v>1.08</v>
      </c>
      <c r="G22" s="313">
        <v>0.7</v>
      </c>
      <c r="H22" s="314">
        <v>1.08</v>
      </c>
      <c r="I22" s="314">
        <v>0.7</v>
      </c>
      <c r="J22" s="315">
        <v>1.4</v>
      </c>
    </row>
    <row r="23" spans="2:10">
      <c r="B23" s="196" t="s">
        <v>269</v>
      </c>
      <c r="C23" s="352" t="e">
        <f>ROUND(VLOOKUP($D$21,AOP!$A$2:$Z$100,VLOOKUP(B23,DANE!$B$17:$E$28,4,FALSE),FALSE),3)</f>
        <v>#N/A</v>
      </c>
      <c r="D23" s="431"/>
      <c r="F23" s="312">
        <v>1.07</v>
      </c>
      <c r="G23" s="313">
        <v>0.68</v>
      </c>
      <c r="H23" s="314">
        <v>1.07</v>
      </c>
      <c r="I23" s="314">
        <v>0.67</v>
      </c>
      <c r="J23" s="315">
        <v>1.35</v>
      </c>
    </row>
    <row r="24" spans="2:10">
      <c r="B24" s="196" t="s">
        <v>271</v>
      </c>
      <c r="C24" s="353" t="e">
        <f>ROUND(VLOOKUP($D$21,AOP!$A$2:$Z$100,VLOOKUP(B24,DANE!$B$17:$E$28,4,FALSE),FALSE),3)</f>
        <v>#N/A</v>
      </c>
      <c r="D24" s="431"/>
      <c r="F24" s="312">
        <v>1.06</v>
      </c>
      <c r="G24" s="313">
        <v>0.65</v>
      </c>
      <c r="H24" s="314">
        <v>1.06</v>
      </c>
      <c r="I24" s="314">
        <v>0.65</v>
      </c>
      <c r="J24" s="315">
        <v>1.3</v>
      </c>
    </row>
    <row r="25" spans="2:10">
      <c r="B25" s="196" t="s">
        <v>272</v>
      </c>
      <c r="C25" s="353" t="e">
        <f>ROUND(VLOOKUP($D$21,AOP!$A$2:$Z$100,VLOOKUP(B25,DANE!$B$17:$E$28,4,FALSE),FALSE),3)</f>
        <v>#N/A</v>
      </c>
      <c r="D25" s="431"/>
      <c r="F25" s="312">
        <v>1.05</v>
      </c>
      <c r="G25" s="313">
        <v>0.63</v>
      </c>
      <c r="H25" s="314">
        <v>1.05</v>
      </c>
      <c r="I25" s="314">
        <v>0.62</v>
      </c>
      <c r="J25" s="315">
        <v>1.25</v>
      </c>
    </row>
    <row r="26" spans="2:10">
      <c r="B26" s="196" t="s">
        <v>274</v>
      </c>
      <c r="C26" s="353" t="e">
        <f>ROUND(VLOOKUP($D$21,AOP!$A$2:$Z$100,VLOOKUP(B26,DANE!$B$17:$E$28,4,FALSE),FALSE),3)</f>
        <v>#N/A</v>
      </c>
      <c r="D26" s="431"/>
      <c r="F26" s="312">
        <v>1.04</v>
      </c>
      <c r="G26" s="313">
        <v>0.6</v>
      </c>
      <c r="H26" s="314">
        <v>1.04</v>
      </c>
      <c r="I26" s="314">
        <v>0.6</v>
      </c>
      <c r="J26" s="315">
        <v>1.2</v>
      </c>
    </row>
    <row r="27" spans="2:10">
      <c r="B27" s="196" t="s">
        <v>276</v>
      </c>
      <c r="C27" s="353" t="e">
        <f>ROUND(VLOOKUP($D$21,AOP!$A$2:$Z$100,VLOOKUP(B27,DANE!$B$17:$E$28,4,FALSE),FALSE),3)</f>
        <v>#N/A</v>
      </c>
      <c r="D27" s="431"/>
      <c r="F27" s="312">
        <v>1.03</v>
      </c>
      <c r="G27" s="313">
        <v>0.57999999999999996</v>
      </c>
      <c r="H27" s="314">
        <v>1.03</v>
      </c>
      <c r="I27" s="314">
        <v>0.56999999999999995</v>
      </c>
      <c r="J27" s="315">
        <v>1.1499999999999999</v>
      </c>
    </row>
    <row r="28" spans="2:10">
      <c r="B28" s="196" t="s">
        <v>277</v>
      </c>
      <c r="C28" s="353" t="e">
        <f>ROUND(VLOOKUP($D$21,AOP!$A$2:$Z$100,VLOOKUP(B28,DANE!$B$17:$E$28,4,FALSE),FALSE),3)</f>
        <v>#N/A</v>
      </c>
      <c r="D28" s="431"/>
      <c r="F28" s="312">
        <v>1.02</v>
      </c>
      <c r="G28" s="313">
        <v>0.55000000000000004</v>
      </c>
      <c r="H28" s="314">
        <v>1.02</v>
      </c>
      <c r="I28" s="314">
        <v>0.55000000000000004</v>
      </c>
      <c r="J28" s="315">
        <v>1.1000000000000001</v>
      </c>
    </row>
    <row r="29" spans="2:10" ht="15" customHeight="1">
      <c r="B29" s="196" t="s">
        <v>278</v>
      </c>
      <c r="C29" s="353" t="e">
        <f>ROUND(VLOOKUP($D$21,AOP!$A$2:$Z$100,VLOOKUP(B29,DANE!$B$17:$E$28,4,FALSE),FALSE),3)</f>
        <v>#N/A</v>
      </c>
      <c r="D29" s="431"/>
      <c r="F29" s="312">
        <v>1.01</v>
      </c>
      <c r="G29" s="313">
        <v>0.53</v>
      </c>
      <c r="H29" s="314">
        <v>1.01</v>
      </c>
      <c r="I29" s="314">
        <v>0.52</v>
      </c>
      <c r="J29" s="315">
        <v>1.05</v>
      </c>
    </row>
    <row r="30" spans="2:10" ht="15" customHeight="1">
      <c r="B30" s="196" t="s">
        <v>132</v>
      </c>
      <c r="C30" s="353" t="e">
        <f>ROUND(VLOOKUP($D$21,AOP!$A$2:$Z$100,VLOOKUP(B30,DANE!$B$17:$E$28,4,FALSE),FALSE),3)</f>
        <v>#N/A</v>
      </c>
      <c r="D30" s="431"/>
      <c r="F30" s="312">
        <v>1</v>
      </c>
      <c r="G30" s="313">
        <v>0.5</v>
      </c>
      <c r="H30" s="314">
        <v>1</v>
      </c>
      <c r="I30" s="314">
        <v>0.5</v>
      </c>
      <c r="J30" s="315">
        <v>1</v>
      </c>
    </row>
    <row r="31" spans="2:10" ht="15" customHeight="1">
      <c r="B31" s="196" t="s">
        <v>279</v>
      </c>
      <c r="C31" s="353" t="e">
        <f>ROUND(VLOOKUP($D$21,AOP!$A$2:$Z$100,VLOOKUP(B31,DANE!$B$17:$E$28,4,FALSE),FALSE),3)</f>
        <v>#N/A</v>
      </c>
      <c r="D31" s="431"/>
      <c r="F31" s="312">
        <v>0.99</v>
      </c>
      <c r="G31" s="313">
        <v>0.33</v>
      </c>
      <c r="H31" s="314">
        <v>0.99</v>
      </c>
      <c r="I31" s="314">
        <v>0.32</v>
      </c>
      <c r="J31" s="315">
        <v>0.65</v>
      </c>
    </row>
    <row r="32" spans="2:10" ht="15" customHeight="1">
      <c r="B32" s="196" t="s">
        <v>281</v>
      </c>
      <c r="C32" s="353" t="e">
        <f>ROUND(VLOOKUP($D$21,AOP!$A$2:$Z$100,VLOOKUP(B32,DANE!$B$17:$E$28,4,FALSE),FALSE),3)</f>
        <v>#N/A</v>
      </c>
      <c r="D32" s="431"/>
      <c r="F32" s="312">
        <v>0.98</v>
      </c>
      <c r="G32" s="313">
        <v>0.23</v>
      </c>
      <c r="H32" s="314">
        <v>0.98</v>
      </c>
      <c r="I32" s="314">
        <v>0.22</v>
      </c>
      <c r="J32" s="315">
        <v>0.45</v>
      </c>
    </row>
    <row r="33" spans="2:10" ht="15" customHeight="1">
      <c r="B33" s="198" t="s">
        <v>286</v>
      </c>
      <c r="C33" s="354" t="e">
        <f>ROUND(VLOOKUP($D$21,AOP!$A$2:$Z$100,VLOOKUP(B33,DANE!$B$17:$E$28,4,FALSE),FALSE),3)</f>
        <v>#N/A</v>
      </c>
      <c r="D33" s="432"/>
      <c r="F33" s="312">
        <v>0.97</v>
      </c>
      <c r="G33" s="313">
        <v>0.18</v>
      </c>
      <c r="H33" s="314">
        <v>0.97</v>
      </c>
      <c r="I33" s="314">
        <v>0.17</v>
      </c>
      <c r="J33" s="315">
        <v>0.35</v>
      </c>
    </row>
    <row r="34" spans="2:10" ht="15" customHeight="1">
      <c r="F34" s="312">
        <v>0.96</v>
      </c>
      <c r="G34" s="313">
        <v>0.13</v>
      </c>
      <c r="H34" s="314">
        <v>0.96</v>
      </c>
      <c r="I34" s="314">
        <v>0.12</v>
      </c>
      <c r="J34" s="315">
        <v>0.25</v>
      </c>
    </row>
    <row r="35" spans="2:10" ht="15" customHeight="1">
      <c r="F35" s="312">
        <v>0.95</v>
      </c>
      <c r="G35" s="313">
        <v>0.1</v>
      </c>
      <c r="H35" s="314">
        <v>0.95</v>
      </c>
      <c r="I35" s="314">
        <v>0.1</v>
      </c>
      <c r="J35" s="315">
        <v>0.2</v>
      </c>
    </row>
    <row r="36" spans="2:10" ht="15" customHeight="1" thickBot="1">
      <c r="F36" s="316">
        <v>0.94</v>
      </c>
      <c r="G36" s="317">
        <v>0</v>
      </c>
      <c r="H36" s="318">
        <v>0.94</v>
      </c>
      <c r="I36" s="318">
        <v>0</v>
      </c>
      <c r="J36" s="319">
        <v>0</v>
      </c>
    </row>
    <row r="37" spans="2:10" ht="15" customHeight="1"/>
  </sheetData>
  <sheetProtection password="EFA5" sheet="1" objects="1" scenarios="1" selectLockedCells="1"/>
  <mergeCells count="14">
    <mergeCell ref="F14:G14"/>
    <mergeCell ref="F15:F16"/>
    <mergeCell ref="F8:G8"/>
    <mergeCell ref="F18:J18"/>
    <mergeCell ref="F1:I1"/>
    <mergeCell ref="G2:I2"/>
    <mergeCell ref="G3:I3"/>
    <mergeCell ref="G4:I4"/>
    <mergeCell ref="G5:I5"/>
    <mergeCell ref="F13:G13"/>
    <mergeCell ref="F7:J7"/>
    <mergeCell ref="F9:G9"/>
    <mergeCell ref="F10:F11"/>
    <mergeCell ref="F12:J12"/>
  </mergeCells>
  <phoneticPr fontId="55" type="noConversion"/>
  <conditionalFormatting sqref="F9:G9 F14:G14">
    <cfRule type="cellIs" dxfId="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6">
    <tabColor rgb="FFFF0000"/>
  </sheetPr>
  <dimension ref="A1:AB29"/>
  <sheetViews>
    <sheetView showGridLines="0" zoomScale="80" zoomScaleNormal="80" workbookViewId="0">
      <selection activeCell="D13" sqref="D13"/>
    </sheetView>
  </sheetViews>
  <sheetFormatPr defaultColWidth="9.140625" defaultRowHeight="15"/>
  <cols>
    <col min="1" max="1" width="21.85546875" customWidth="1"/>
    <col min="2" max="2" width="5.85546875" bestFit="1" customWidth="1"/>
    <col min="3" max="3" width="10.85546875" bestFit="1" customWidth="1"/>
    <col min="4" max="4" width="15.140625" bestFit="1" customWidth="1"/>
    <col min="5" max="5" width="10.85546875" bestFit="1" customWidth="1"/>
    <col min="6" max="6" width="15.140625" bestFit="1" customWidth="1"/>
    <col min="7" max="7" width="10.85546875" bestFit="1" customWidth="1"/>
    <col min="8" max="8" width="15.140625" bestFit="1" customWidth="1"/>
    <col min="9" max="9" width="10.85546875" bestFit="1" customWidth="1"/>
    <col min="10" max="10" width="15.140625" bestFit="1" customWidth="1"/>
    <col min="11" max="11" width="10.85546875" bestFit="1" customWidth="1"/>
    <col min="12" max="12" width="15.140625" bestFit="1" customWidth="1"/>
    <col min="13" max="13" width="10.85546875" bestFit="1" customWidth="1"/>
    <col min="14" max="14" width="15.140625" bestFit="1" customWidth="1"/>
    <col min="15" max="15" width="10.85546875" bestFit="1" customWidth="1"/>
    <col min="16" max="16" width="15.140625" bestFit="1" customWidth="1"/>
    <col min="17" max="17" width="10.85546875" bestFit="1" customWidth="1"/>
    <col min="18" max="18" width="15.140625" bestFit="1" customWidth="1"/>
    <col min="19" max="19" width="10.85546875" bestFit="1" customWidth="1"/>
    <col min="20" max="20" width="15.140625" bestFit="1" customWidth="1"/>
    <col min="21" max="21" width="10.85546875" bestFit="1" customWidth="1"/>
    <col min="22" max="22" width="15.140625" bestFit="1" customWidth="1"/>
    <col min="23" max="23" width="10.85546875" bestFit="1" customWidth="1"/>
    <col min="24" max="24" width="15.140625" bestFit="1" customWidth="1"/>
    <col min="25" max="25" width="10.85546875" bestFit="1" customWidth="1"/>
    <col min="26" max="26" width="15.140625" bestFit="1" customWidth="1"/>
    <col min="27" max="27" width="12.28515625" bestFit="1" customWidth="1"/>
    <col min="28" max="28" width="11" bestFit="1" customWidth="1"/>
  </cols>
  <sheetData>
    <row r="1" spans="1:28" ht="15.75" thickBot="1">
      <c r="A1" s="327"/>
      <c r="B1" s="328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30"/>
      <c r="AB1" s="330"/>
    </row>
    <row r="2" spans="1:28" ht="15.75" thickBot="1">
      <c r="A2" s="329"/>
      <c r="B2" s="328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30"/>
      <c r="AB2" s="330"/>
    </row>
    <row r="3" spans="1:28" ht="15.75" thickBot="1">
      <c r="A3" s="331"/>
      <c r="B3" s="332"/>
      <c r="C3" s="333"/>
      <c r="D3" s="334"/>
      <c r="E3" s="333"/>
      <c r="F3" s="334"/>
      <c r="G3" s="333"/>
      <c r="H3" s="334"/>
      <c r="I3" s="333"/>
      <c r="J3" s="334"/>
      <c r="K3" s="333"/>
      <c r="L3" s="334"/>
      <c r="M3" s="333"/>
      <c r="N3" s="334"/>
      <c r="O3" s="333"/>
      <c r="P3" s="334"/>
      <c r="Q3" s="333"/>
      <c r="R3" s="334"/>
      <c r="S3" s="333"/>
      <c r="T3" s="334"/>
      <c r="U3" s="333"/>
      <c r="V3" s="334"/>
      <c r="W3" s="333"/>
      <c r="X3" s="334"/>
      <c r="Y3" s="333"/>
      <c r="Z3" s="334"/>
      <c r="AA3" s="335"/>
      <c r="AB3" s="336"/>
    </row>
    <row r="4" spans="1:28" ht="15.75" thickBot="1">
      <c r="A4" s="337"/>
      <c r="B4" s="338"/>
      <c r="C4" s="339"/>
      <c r="D4" s="340"/>
      <c r="E4" s="339"/>
      <c r="F4" s="340"/>
      <c r="G4" s="339"/>
      <c r="H4" s="340"/>
      <c r="I4" s="339"/>
      <c r="J4" s="340"/>
      <c r="K4" s="339"/>
      <c r="L4" s="340"/>
      <c r="M4" s="339"/>
      <c r="N4" s="340"/>
      <c r="O4" s="339"/>
      <c r="P4" s="340"/>
      <c r="Q4" s="339"/>
      <c r="R4" s="340"/>
      <c r="S4" s="339"/>
      <c r="T4" s="340"/>
      <c r="U4" s="339"/>
      <c r="V4" s="340"/>
      <c r="W4" s="339"/>
      <c r="X4" s="340"/>
      <c r="Y4" s="339"/>
      <c r="Z4" s="340"/>
      <c r="AA4" s="335"/>
      <c r="AB4" s="336"/>
    </row>
    <row r="5" spans="1:28" ht="15.75" thickBot="1">
      <c r="A5" s="331"/>
      <c r="B5" s="332"/>
      <c r="C5" s="341"/>
      <c r="D5" s="342"/>
      <c r="E5" s="341"/>
      <c r="F5" s="342"/>
      <c r="G5" s="341"/>
      <c r="H5" s="342"/>
      <c r="I5" s="341"/>
      <c r="J5" s="342"/>
      <c r="K5" s="341"/>
      <c r="L5" s="342"/>
      <c r="M5" s="341"/>
      <c r="N5" s="342"/>
      <c r="O5" s="341"/>
      <c r="P5" s="342"/>
      <c r="Q5" s="341"/>
      <c r="R5" s="342"/>
      <c r="S5" s="341"/>
      <c r="T5" s="342"/>
      <c r="U5" s="341"/>
      <c r="V5" s="342"/>
      <c r="W5" s="341"/>
      <c r="X5" s="342"/>
      <c r="Y5" s="341"/>
      <c r="Z5" s="342"/>
      <c r="AA5" s="343"/>
      <c r="AB5" s="344"/>
    </row>
    <row r="6" spans="1:28" ht="15.75" thickBot="1">
      <c r="A6" s="331"/>
      <c r="B6" s="332"/>
      <c r="C6" s="345"/>
      <c r="D6" s="346"/>
      <c r="E6" s="345"/>
      <c r="F6" s="346"/>
      <c r="G6" s="345"/>
      <c r="H6" s="346"/>
      <c r="I6" s="345"/>
      <c r="J6" s="346"/>
      <c r="K6" s="345"/>
      <c r="L6" s="346"/>
      <c r="M6" s="345"/>
      <c r="N6" s="346"/>
      <c r="O6" s="345"/>
      <c r="P6" s="346"/>
      <c r="Q6" s="345"/>
      <c r="R6" s="346"/>
      <c r="S6" s="345"/>
      <c r="T6" s="346"/>
      <c r="U6" s="345"/>
      <c r="V6" s="346"/>
      <c r="W6" s="345"/>
      <c r="X6" s="346"/>
      <c r="Y6" s="345"/>
      <c r="Z6" s="346"/>
      <c r="AA6" s="347"/>
      <c r="AB6" s="344"/>
    </row>
    <row r="7" spans="1:28" ht="15.75" thickBot="1">
      <c r="A7" s="331"/>
      <c r="B7" s="332"/>
      <c r="C7" s="333"/>
      <c r="D7" s="334"/>
      <c r="E7" s="333"/>
      <c r="F7" s="334"/>
      <c r="G7" s="333"/>
      <c r="H7" s="334"/>
      <c r="I7" s="333"/>
      <c r="J7" s="334"/>
      <c r="K7" s="333"/>
      <c r="L7" s="334"/>
      <c r="M7" s="333"/>
      <c r="N7" s="334"/>
      <c r="O7" s="333"/>
      <c r="P7" s="334"/>
      <c r="Q7" s="333"/>
      <c r="R7" s="334"/>
      <c r="S7" s="333"/>
      <c r="T7" s="334"/>
      <c r="U7" s="333"/>
      <c r="V7" s="334"/>
      <c r="W7" s="333"/>
      <c r="X7" s="334"/>
      <c r="Y7" s="333"/>
      <c r="Z7" s="334"/>
      <c r="AA7" s="335"/>
      <c r="AB7" s="336"/>
    </row>
    <row r="8" spans="1:28" ht="15.75" thickBot="1">
      <c r="A8" s="331"/>
      <c r="B8" s="332"/>
      <c r="C8" s="339"/>
      <c r="D8" s="340"/>
      <c r="E8" s="339"/>
      <c r="F8" s="340"/>
      <c r="G8" s="339"/>
      <c r="H8" s="340"/>
      <c r="I8" s="339"/>
      <c r="J8" s="340"/>
      <c r="K8" s="339"/>
      <c r="L8" s="340"/>
      <c r="M8" s="339"/>
      <c r="N8" s="340"/>
      <c r="O8" s="339"/>
      <c r="P8" s="340"/>
      <c r="Q8" s="339"/>
      <c r="R8" s="340"/>
      <c r="S8" s="339"/>
      <c r="T8" s="340"/>
      <c r="U8" s="339"/>
      <c r="V8" s="340"/>
      <c r="W8" s="339"/>
      <c r="X8" s="340"/>
      <c r="Y8" s="339"/>
      <c r="Z8" s="340"/>
      <c r="AA8" s="335"/>
      <c r="AB8" s="336"/>
    </row>
    <row r="9" spans="1:28" ht="15.75" thickBot="1">
      <c r="A9" s="337"/>
      <c r="B9" s="338"/>
      <c r="C9" s="333"/>
      <c r="D9" s="334"/>
      <c r="E9" s="333"/>
      <c r="F9" s="334"/>
      <c r="G9" s="333"/>
      <c r="H9" s="334"/>
      <c r="I9" s="333"/>
      <c r="J9" s="334"/>
      <c r="K9" s="333"/>
      <c r="L9" s="334"/>
      <c r="M9" s="333"/>
      <c r="N9" s="334"/>
      <c r="O9" s="333"/>
      <c r="P9" s="334"/>
      <c r="Q9" s="333"/>
      <c r="R9" s="334"/>
      <c r="S9" s="333"/>
      <c r="T9" s="334"/>
      <c r="U9" s="333"/>
      <c r="V9" s="334"/>
      <c r="W9" s="333"/>
      <c r="X9" s="334"/>
      <c r="Y9" s="333"/>
      <c r="Z9" s="334"/>
      <c r="AA9" s="335"/>
      <c r="AB9" s="336"/>
    </row>
    <row r="10" spans="1:28" ht="15.75" thickBot="1">
      <c r="A10" s="337"/>
      <c r="B10" s="338"/>
      <c r="C10" s="339"/>
      <c r="D10" s="340"/>
      <c r="E10" s="339"/>
      <c r="F10" s="340"/>
      <c r="G10" s="339"/>
      <c r="H10" s="340"/>
      <c r="I10" s="339"/>
      <c r="J10" s="340"/>
      <c r="K10" s="339"/>
      <c r="L10" s="340"/>
      <c r="M10" s="339"/>
      <c r="N10" s="340"/>
      <c r="O10" s="339"/>
      <c r="P10" s="340"/>
      <c r="Q10" s="339"/>
      <c r="R10" s="340"/>
      <c r="S10" s="339"/>
      <c r="T10" s="340"/>
      <c r="U10" s="339"/>
      <c r="V10" s="340"/>
      <c r="W10" s="339"/>
      <c r="X10" s="340"/>
      <c r="Y10" s="339"/>
      <c r="Z10" s="340"/>
      <c r="AA10" s="335"/>
      <c r="AB10" s="336"/>
    </row>
    <row r="11" spans="1:28" ht="15.75" thickBot="1">
      <c r="A11" s="337"/>
      <c r="B11" s="338"/>
      <c r="C11" s="333"/>
      <c r="D11" s="334"/>
      <c r="E11" s="333"/>
      <c r="F11" s="334"/>
      <c r="G11" s="333"/>
      <c r="H11" s="334"/>
      <c r="I11" s="333"/>
      <c r="J11" s="334"/>
      <c r="K11" s="333"/>
      <c r="L11" s="334"/>
      <c r="M11" s="333"/>
      <c r="N11" s="334"/>
      <c r="O11" s="333"/>
      <c r="P11" s="334"/>
      <c r="Q11" s="333"/>
      <c r="R11" s="334"/>
      <c r="S11" s="333"/>
      <c r="T11" s="334"/>
      <c r="U11" s="333"/>
      <c r="V11" s="334"/>
      <c r="W11" s="333"/>
      <c r="X11" s="334"/>
      <c r="Y11" s="333"/>
      <c r="Z11" s="334"/>
      <c r="AA11" s="335"/>
      <c r="AB11" s="336"/>
    </row>
    <row r="12" spans="1:28" ht="15.75" thickBot="1">
      <c r="A12" s="348"/>
      <c r="B12" s="349"/>
      <c r="C12" s="339"/>
      <c r="D12" s="340"/>
      <c r="E12" s="339"/>
      <c r="F12" s="340"/>
      <c r="G12" s="339"/>
      <c r="H12" s="340"/>
      <c r="I12" s="339"/>
      <c r="J12" s="340"/>
      <c r="K12" s="339"/>
      <c r="L12" s="340"/>
      <c r="M12" s="339"/>
      <c r="N12" s="340"/>
      <c r="O12" s="339"/>
      <c r="P12" s="340"/>
      <c r="Q12" s="339"/>
      <c r="R12" s="340"/>
      <c r="S12" s="339"/>
      <c r="T12" s="340"/>
      <c r="U12" s="339"/>
      <c r="V12" s="340"/>
      <c r="W12" s="339"/>
      <c r="X12" s="340"/>
      <c r="Y12" s="339"/>
      <c r="Z12" s="340"/>
      <c r="AA12" s="335"/>
      <c r="AB12" s="336"/>
    </row>
    <row r="13" spans="1:28" ht="15.75" thickBot="1">
      <c r="A13" s="331"/>
      <c r="B13" s="332"/>
      <c r="C13" s="333"/>
      <c r="D13" s="334"/>
      <c r="E13" s="333"/>
      <c r="F13" s="334"/>
      <c r="G13" s="333"/>
      <c r="H13" s="334"/>
      <c r="I13" s="333"/>
      <c r="J13" s="334"/>
      <c r="K13" s="333"/>
      <c r="L13" s="334"/>
      <c r="M13" s="333"/>
      <c r="N13" s="334"/>
      <c r="O13" s="333"/>
      <c r="P13" s="334"/>
      <c r="Q13" s="333"/>
      <c r="R13" s="334"/>
      <c r="S13" s="333"/>
      <c r="T13" s="334"/>
      <c r="U13" s="333"/>
      <c r="V13" s="334"/>
      <c r="W13" s="333"/>
      <c r="X13" s="334"/>
      <c r="Y13" s="333"/>
      <c r="Z13" s="334"/>
      <c r="AA13" s="335"/>
      <c r="AB13" s="336"/>
    </row>
    <row r="14" spans="1:28" ht="15.75" thickBot="1">
      <c r="A14" s="337"/>
      <c r="B14" s="338"/>
      <c r="C14" s="339"/>
      <c r="D14" s="340"/>
      <c r="E14" s="339"/>
      <c r="F14" s="340"/>
      <c r="G14" s="339"/>
      <c r="H14" s="340"/>
      <c r="I14" s="339"/>
      <c r="J14" s="340"/>
      <c r="K14" s="339"/>
      <c r="L14" s="340"/>
      <c r="M14" s="339"/>
      <c r="N14" s="340"/>
      <c r="O14" s="339"/>
      <c r="P14" s="340"/>
      <c r="Q14" s="339"/>
      <c r="R14" s="340"/>
      <c r="S14" s="339"/>
      <c r="T14" s="340"/>
      <c r="U14" s="339"/>
      <c r="V14" s="340"/>
      <c r="W14" s="339"/>
      <c r="X14" s="340"/>
      <c r="Y14" s="339"/>
      <c r="Z14" s="340"/>
      <c r="AA14" s="335"/>
      <c r="AB14" s="336"/>
    </row>
    <row r="15" spans="1:28" ht="15.75" thickBot="1">
      <c r="A15" s="337"/>
      <c r="B15" s="338"/>
      <c r="C15" s="333"/>
      <c r="D15" s="334"/>
      <c r="E15" s="333"/>
      <c r="F15" s="334"/>
      <c r="G15" s="333"/>
      <c r="H15" s="334"/>
      <c r="I15" s="333"/>
      <c r="J15" s="334"/>
      <c r="K15" s="333"/>
      <c r="L15" s="334"/>
      <c r="M15" s="333"/>
      <c r="N15" s="334"/>
      <c r="O15" s="333"/>
      <c r="P15" s="334"/>
      <c r="Q15" s="333"/>
      <c r="R15" s="334"/>
      <c r="S15" s="333"/>
      <c r="T15" s="334"/>
      <c r="U15" s="333"/>
      <c r="V15" s="334"/>
      <c r="W15" s="333"/>
      <c r="X15" s="334"/>
      <c r="Y15" s="333"/>
      <c r="Z15" s="334"/>
      <c r="AA15" s="335"/>
      <c r="AB15" s="336"/>
    </row>
    <row r="16" spans="1:28" ht="15.75" thickBot="1">
      <c r="A16" s="337"/>
      <c r="B16" s="338"/>
      <c r="C16" s="339"/>
      <c r="D16" s="340"/>
      <c r="E16" s="339"/>
      <c r="F16" s="340"/>
      <c r="G16" s="339"/>
      <c r="H16" s="340"/>
      <c r="I16" s="339"/>
      <c r="J16" s="340"/>
      <c r="K16" s="339"/>
      <c r="L16" s="340"/>
      <c r="M16" s="339"/>
      <c r="N16" s="340"/>
      <c r="O16" s="339"/>
      <c r="P16" s="340"/>
      <c r="Q16" s="339"/>
      <c r="R16" s="340"/>
      <c r="S16" s="339"/>
      <c r="T16" s="340"/>
      <c r="U16" s="339"/>
      <c r="V16" s="340"/>
      <c r="W16" s="339"/>
      <c r="X16" s="340"/>
      <c r="Y16" s="339"/>
      <c r="Z16" s="340"/>
      <c r="AA16" s="335"/>
      <c r="AB16" s="336"/>
    </row>
    <row r="17" spans="1:28" ht="15.75" thickBot="1">
      <c r="A17" s="337"/>
      <c r="B17" s="338"/>
      <c r="C17" s="333"/>
      <c r="D17" s="334"/>
      <c r="E17" s="333"/>
      <c r="F17" s="334"/>
      <c r="G17" s="333"/>
      <c r="H17" s="334"/>
      <c r="I17" s="333"/>
      <c r="J17" s="334"/>
      <c r="K17" s="333"/>
      <c r="L17" s="334"/>
      <c r="M17" s="333"/>
      <c r="N17" s="334"/>
      <c r="O17" s="333"/>
      <c r="P17" s="334"/>
      <c r="Q17" s="333"/>
      <c r="R17" s="334"/>
      <c r="S17" s="333"/>
      <c r="T17" s="334"/>
      <c r="U17" s="333"/>
      <c r="V17" s="334"/>
      <c r="W17" s="333"/>
      <c r="X17" s="334"/>
      <c r="Y17" s="333"/>
      <c r="Z17" s="334"/>
      <c r="AA17" s="335"/>
      <c r="AB17" s="336"/>
    </row>
    <row r="18" spans="1:28" ht="15.75" thickBot="1">
      <c r="A18" s="331"/>
      <c r="B18" s="332"/>
      <c r="C18" s="339"/>
      <c r="D18" s="340"/>
      <c r="E18" s="339"/>
      <c r="F18" s="340"/>
      <c r="G18" s="339"/>
      <c r="H18" s="340"/>
      <c r="I18" s="339"/>
      <c r="J18" s="340"/>
      <c r="K18" s="339"/>
      <c r="L18" s="340"/>
      <c r="M18" s="339"/>
      <c r="N18" s="340"/>
      <c r="O18" s="339"/>
      <c r="P18" s="340"/>
      <c r="Q18" s="339"/>
      <c r="R18" s="340"/>
      <c r="S18" s="339"/>
      <c r="T18" s="340"/>
      <c r="U18" s="339"/>
      <c r="V18" s="340"/>
      <c r="W18" s="339"/>
      <c r="X18" s="340"/>
      <c r="Y18" s="339"/>
      <c r="Z18" s="340"/>
      <c r="AA18" s="335"/>
      <c r="AB18" s="336"/>
    </row>
    <row r="19" spans="1:28" ht="15.75" thickBot="1">
      <c r="A19" s="331"/>
      <c r="B19" s="332"/>
      <c r="C19" s="333"/>
      <c r="D19" s="334"/>
      <c r="E19" s="333"/>
      <c r="F19" s="334"/>
      <c r="G19" s="333"/>
      <c r="H19" s="334"/>
      <c r="I19" s="333"/>
      <c r="J19" s="334"/>
      <c r="K19" s="333"/>
      <c r="L19" s="334"/>
      <c r="M19" s="333"/>
      <c r="N19" s="334"/>
      <c r="O19" s="333"/>
      <c r="P19" s="334"/>
      <c r="Q19" s="333"/>
      <c r="R19" s="334"/>
      <c r="S19" s="333"/>
      <c r="T19" s="334"/>
      <c r="U19" s="333"/>
      <c r="V19" s="334"/>
      <c r="W19" s="333"/>
      <c r="X19" s="334"/>
      <c r="Y19" s="333"/>
      <c r="Z19" s="334"/>
      <c r="AA19" s="335"/>
      <c r="AB19" s="336"/>
    </row>
    <row r="20" spans="1:28" ht="15.75" thickBot="1">
      <c r="A20" s="331"/>
      <c r="B20" s="332"/>
      <c r="C20" s="339"/>
      <c r="D20" s="340"/>
      <c r="E20" s="339"/>
      <c r="F20" s="340"/>
      <c r="G20" s="339"/>
      <c r="H20" s="340"/>
      <c r="I20" s="339"/>
      <c r="J20" s="340"/>
      <c r="K20" s="339"/>
      <c r="L20" s="340"/>
      <c r="M20" s="339"/>
      <c r="N20" s="340"/>
      <c r="O20" s="339"/>
      <c r="P20" s="340"/>
      <c r="Q20" s="339"/>
      <c r="R20" s="340"/>
      <c r="S20" s="339"/>
      <c r="T20" s="340"/>
      <c r="U20" s="339"/>
      <c r="V20" s="340"/>
      <c r="W20" s="339"/>
      <c r="X20" s="340"/>
      <c r="Y20" s="339"/>
      <c r="Z20" s="340"/>
      <c r="AA20" s="335"/>
      <c r="AB20" s="336"/>
    </row>
    <row r="21" spans="1:28" ht="15.75" thickBot="1">
      <c r="A21" s="337"/>
      <c r="B21" s="338"/>
      <c r="C21" s="333"/>
      <c r="D21" s="334"/>
      <c r="E21" s="333"/>
      <c r="F21" s="334"/>
      <c r="G21" s="333"/>
      <c r="H21" s="334"/>
      <c r="I21" s="333"/>
      <c r="J21" s="334"/>
      <c r="K21" s="333"/>
      <c r="L21" s="334"/>
      <c r="M21" s="333"/>
      <c r="N21" s="334"/>
      <c r="O21" s="333"/>
      <c r="P21" s="334"/>
      <c r="Q21" s="333"/>
      <c r="R21" s="334"/>
      <c r="S21" s="333"/>
      <c r="T21" s="334"/>
      <c r="U21" s="333"/>
      <c r="V21" s="334"/>
      <c r="W21" s="333"/>
      <c r="X21" s="334"/>
      <c r="Y21" s="333"/>
      <c r="Z21" s="334"/>
      <c r="AA21" s="335"/>
      <c r="AB21" s="336"/>
    </row>
    <row r="22" spans="1:28" ht="15.75" thickBot="1">
      <c r="A22" s="337"/>
      <c r="B22" s="338"/>
      <c r="C22" s="339"/>
      <c r="D22" s="340"/>
      <c r="E22" s="339"/>
      <c r="F22" s="340"/>
      <c r="G22" s="339"/>
      <c r="H22" s="340"/>
      <c r="I22" s="339"/>
      <c r="J22" s="340"/>
      <c r="K22" s="339"/>
      <c r="L22" s="340"/>
      <c r="M22" s="339"/>
      <c r="N22" s="340"/>
      <c r="O22" s="339"/>
      <c r="P22" s="340"/>
      <c r="Q22" s="339"/>
      <c r="R22" s="340"/>
      <c r="S22" s="339"/>
      <c r="T22" s="340"/>
      <c r="U22" s="339"/>
      <c r="V22" s="340"/>
      <c r="W22" s="339"/>
      <c r="X22" s="340"/>
      <c r="Y22" s="339"/>
      <c r="Z22" s="340"/>
      <c r="AA22" s="335"/>
      <c r="AB22" s="336"/>
    </row>
    <row r="23" spans="1:28" ht="15.75" thickBot="1">
      <c r="A23" s="337"/>
      <c r="B23" s="338"/>
      <c r="C23" s="333"/>
      <c r="D23" s="334"/>
      <c r="E23" s="333"/>
      <c r="F23" s="334"/>
      <c r="G23" s="333"/>
      <c r="H23" s="334"/>
      <c r="I23" s="333"/>
      <c r="J23" s="334"/>
      <c r="K23" s="333"/>
      <c r="L23" s="334"/>
      <c r="M23" s="333"/>
      <c r="N23" s="334"/>
      <c r="O23" s="333"/>
      <c r="P23" s="334"/>
      <c r="Q23" s="333"/>
      <c r="R23" s="334"/>
      <c r="S23" s="333"/>
      <c r="T23" s="334"/>
      <c r="U23" s="333"/>
      <c r="V23" s="334"/>
      <c r="W23" s="333"/>
      <c r="X23" s="334"/>
      <c r="Y23" s="333"/>
      <c r="Z23" s="334"/>
      <c r="AA23" s="335"/>
      <c r="AB23" s="336"/>
    </row>
    <row r="24" spans="1:28" ht="15.75" thickBot="1">
      <c r="A24" s="331"/>
      <c r="B24" s="332"/>
      <c r="C24" s="339"/>
      <c r="D24" s="340"/>
      <c r="E24" s="339"/>
      <c r="F24" s="340"/>
      <c r="G24" s="339"/>
      <c r="H24" s="340"/>
      <c r="I24" s="339"/>
      <c r="J24" s="340"/>
      <c r="K24" s="339"/>
      <c r="L24" s="340"/>
      <c r="M24" s="339"/>
      <c r="N24" s="340"/>
      <c r="O24" s="339"/>
      <c r="P24" s="340"/>
      <c r="Q24" s="339"/>
      <c r="R24" s="340"/>
      <c r="S24" s="339"/>
      <c r="T24" s="340"/>
      <c r="U24" s="339"/>
      <c r="V24" s="340"/>
      <c r="W24" s="339"/>
      <c r="X24" s="340"/>
      <c r="Y24" s="339"/>
      <c r="Z24" s="340"/>
      <c r="AA24" s="335"/>
      <c r="AB24" s="336"/>
    </row>
    <row r="25" spans="1:28" ht="15.75" thickBot="1">
      <c r="A25" s="331"/>
      <c r="B25" s="332"/>
      <c r="C25" s="333"/>
      <c r="D25" s="334"/>
      <c r="E25" s="333"/>
      <c r="F25" s="334"/>
      <c r="G25" s="333"/>
      <c r="H25" s="334"/>
      <c r="I25" s="333"/>
      <c r="J25" s="334"/>
      <c r="K25" s="333"/>
      <c r="L25" s="334"/>
      <c r="M25" s="333"/>
      <c r="N25" s="334"/>
      <c r="O25" s="333"/>
      <c r="P25" s="334"/>
      <c r="Q25" s="333"/>
      <c r="R25" s="334"/>
      <c r="S25" s="333"/>
      <c r="T25" s="334"/>
      <c r="U25" s="333"/>
      <c r="V25" s="334"/>
      <c r="W25" s="333"/>
      <c r="X25" s="334"/>
      <c r="Y25" s="333"/>
      <c r="Z25" s="334"/>
      <c r="AA25" s="335"/>
      <c r="AB25" s="336"/>
    </row>
    <row r="26" spans="1:28" ht="15.75" thickBot="1">
      <c r="A26" s="331"/>
      <c r="B26" s="332"/>
      <c r="C26" s="339"/>
      <c r="D26" s="340"/>
      <c r="E26" s="339"/>
      <c r="F26" s="340"/>
      <c r="G26" s="339"/>
      <c r="H26" s="340"/>
      <c r="I26" s="339"/>
      <c r="J26" s="340"/>
      <c r="K26" s="339"/>
      <c r="L26" s="340"/>
      <c r="M26" s="339"/>
      <c r="N26" s="340"/>
      <c r="O26" s="339"/>
      <c r="P26" s="340"/>
      <c r="Q26" s="339"/>
      <c r="R26" s="340"/>
      <c r="S26" s="339"/>
      <c r="T26" s="340"/>
      <c r="U26" s="339"/>
      <c r="V26" s="340"/>
      <c r="W26" s="339"/>
      <c r="X26" s="340"/>
      <c r="Y26" s="339"/>
      <c r="Z26" s="340"/>
      <c r="AA26" s="335"/>
      <c r="AB26" s="336"/>
    </row>
    <row r="27" spans="1:28" ht="15.75" thickBot="1">
      <c r="A27" s="331"/>
      <c r="B27" s="332"/>
      <c r="C27" s="333"/>
      <c r="D27" s="334"/>
      <c r="E27" s="333"/>
      <c r="F27" s="334"/>
      <c r="G27" s="333"/>
      <c r="H27" s="334"/>
      <c r="I27" s="333"/>
      <c r="J27" s="334"/>
      <c r="K27" s="333"/>
      <c r="L27" s="334"/>
      <c r="M27" s="333"/>
      <c r="N27" s="334"/>
      <c r="O27" s="333"/>
      <c r="P27" s="334"/>
      <c r="Q27" s="333"/>
      <c r="R27" s="334"/>
      <c r="S27" s="333"/>
      <c r="T27" s="334"/>
      <c r="U27" s="333"/>
      <c r="V27" s="334"/>
      <c r="W27" s="333"/>
      <c r="X27" s="334"/>
      <c r="Y27" s="333"/>
      <c r="Z27" s="334"/>
      <c r="AA27" s="335"/>
      <c r="AB27" s="336"/>
    </row>
    <row r="28" spans="1:28" ht="15.75" thickBot="1">
      <c r="A28" s="331"/>
      <c r="B28" s="332"/>
      <c r="C28" s="339"/>
      <c r="D28" s="340"/>
      <c r="E28" s="339"/>
      <c r="F28" s="340"/>
      <c r="G28" s="339"/>
      <c r="H28" s="340"/>
      <c r="I28" s="339"/>
      <c r="J28" s="340"/>
      <c r="K28" s="339"/>
      <c r="L28" s="340"/>
      <c r="M28" s="339"/>
      <c r="N28" s="340"/>
      <c r="O28" s="339"/>
      <c r="P28" s="340"/>
      <c r="Q28" s="339"/>
      <c r="R28" s="340"/>
      <c r="S28" s="339"/>
      <c r="T28" s="340"/>
      <c r="U28" s="339"/>
      <c r="V28" s="340"/>
      <c r="W28" s="339"/>
      <c r="X28" s="340"/>
      <c r="Y28" s="339"/>
      <c r="Z28" s="340"/>
      <c r="AA28" s="335"/>
      <c r="AB28" s="336"/>
    </row>
    <row r="29" spans="1:28" ht="15.75" thickBot="1">
      <c r="A29" s="331"/>
      <c r="B29" s="332"/>
      <c r="C29" s="333"/>
      <c r="D29" s="334"/>
      <c r="E29" s="333"/>
      <c r="F29" s="334"/>
      <c r="G29" s="333"/>
      <c r="H29" s="334"/>
      <c r="I29" s="333"/>
      <c r="J29" s="334"/>
      <c r="K29" s="333"/>
      <c r="L29" s="334"/>
      <c r="M29" s="333"/>
      <c r="N29" s="334"/>
      <c r="O29" s="333"/>
      <c r="P29" s="334"/>
      <c r="Q29" s="333"/>
      <c r="R29" s="334"/>
      <c r="S29" s="333"/>
      <c r="T29" s="334"/>
      <c r="U29" s="333"/>
      <c r="V29" s="334"/>
      <c r="W29" s="333"/>
      <c r="X29" s="334"/>
      <c r="Y29" s="333"/>
      <c r="Z29" s="334"/>
      <c r="AA29" s="335"/>
      <c r="AB29" s="336"/>
    </row>
  </sheetData>
  <conditionalFormatting sqref="A1">
    <cfRule type="containsText" dxfId="3" priority="1" operator="containsText" text="FAŁSZ">
      <formula>NOT(ISERROR(SEARCH("FAŁSZ",A1)))</formula>
    </cfRule>
    <cfRule type="containsText" dxfId="2" priority="2" operator="containsText" text="PRAWDA">
      <formula>NOT(ISERROR(SEARCH("PRAWDA",A1)))</formula>
    </cfRule>
    <cfRule type="containsText" dxfId="1" priority="3" operator="containsText" text="FAŁSZ">
      <formula>NOT(ISERROR(SEARCH("FAŁSZ",A1)))</formula>
    </cfRule>
    <cfRule type="containsText" dxfId="0" priority="4" operator="containsText" text="PRAWDA">
      <formula>NOT(ISERROR(SEARCH("PRAWDA",A1)))</formula>
    </cfRule>
  </conditionalFormatting>
  <dataValidations count="1">
    <dataValidation operator="greaterThanOrEqual" allowBlank="1" showErrorMessage="1" errorTitle="Negativ value" error="Costs can't have a negative value." sqref="D3:D5 B3:B29 D7:D29 F3:F5 H3:H5 J3:J5 L3:L5 N3:N5 P3:P5 R3:R5 T3:T5 V3:V5 X3:X5 F7:F29 H7:H29 J7:J29 L7:L29 N7:N29 P7:P29 R7:R29 T7:T29 V7:V29 X7:X29" xr:uid="{00000000-0002-0000-0400-000000000000}"/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8">
    <tabColor rgb="FFFF0000"/>
  </sheetPr>
  <dimension ref="A1:O74"/>
  <sheetViews>
    <sheetView showGridLines="0" showRowColHeaders="0" workbookViewId="0">
      <selection activeCell="D2" sqref="D2"/>
    </sheetView>
  </sheetViews>
  <sheetFormatPr defaultColWidth="0" defaultRowHeight="15.75" zeroHeight="1"/>
  <cols>
    <col min="1" max="1" width="16.7109375" style="211" bestFit="1" customWidth="1"/>
    <col min="2" max="13" width="11.42578125" style="211" bestFit="1" customWidth="1"/>
    <col min="14" max="14" width="2.85546875" style="211" customWidth="1"/>
    <col min="15" max="15" width="10" style="211" hidden="1" customWidth="1"/>
    <col min="16" max="16384" width="9.140625" style="211" hidden="1"/>
  </cols>
  <sheetData>
    <row r="1" spans="1:13" s="208" customFormat="1">
      <c r="B1" s="209" t="s">
        <v>288</v>
      </c>
      <c r="C1" s="209" t="s">
        <v>289</v>
      </c>
      <c r="D1" s="209" t="s">
        <v>290</v>
      </c>
      <c r="E1" s="209" t="s">
        <v>291</v>
      </c>
      <c r="F1" s="209" t="s">
        <v>292</v>
      </c>
      <c r="G1" s="209" t="s">
        <v>293</v>
      </c>
      <c r="H1" s="209" t="s">
        <v>294</v>
      </c>
      <c r="I1" s="209" t="s">
        <v>295</v>
      </c>
      <c r="J1" s="209" t="s">
        <v>296</v>
      </c>
      <c r="K1" s="209" t="s">
        <v>297</v>
      </c>
      <c r="L1" s="209" t="s">
        <v>298</v>
      </c>
      <c r="M1" s="209" t="s">
        <v>299</v>
      </c>
    </row>
    <row r="2" spans="1:13">
      <c r="A2" s="210" t="s">
        <v>300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>
      <c r="A3" s="208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13" hidden="1"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 hidden="1">
      <c r="A5" s="208"/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</row>
    <row r="6" spans="1:13" hidden="1"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</row>
    <row r="7" spans="1:13" hidden="1">
      <c r="A7" s="208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</row>
    <row r="8" spans="1:13" hidden="1">
      <c r="A8" s="208"/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</row>
    <row r="9" spans="1:13" hidden="1">
      <c r="A9" s="208"/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</row>
    <row r="10" spans="1:13" hidden="1">
      <c r="A10" s="208"/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</row>
    <row r="11" spans="1:13" hidden="1">
      <c r="A11" s="208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</row>
    <row r="12" spans="1:13" hidden="1">
      <c r="A12" s="208"/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</row>
    <row r="13" spans="1:13" hidden="1">
      <c r="A13" s="208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</row>
    <row r="14" spans="1:13" hidden="1">
      <c r="A14" s="208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</row>
    <row r="15" spans="1:13" hidden="1">
      <c r="A15" s="208"/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</row>
    <row r="16" spans="1:13" hidden="1">
      <c r="A16" s="208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</row>
    <row r="17" spans="1:13" hidden="1">
      <c r="A17" s="208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</row>
    <row r="18" spans="1:13" hidden="1">
      <c r="A18" s="208"/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</row>
    <row r="19" spans="1:13" hidden="1">
      <c r="A19" s="208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</row>
    <row r="20" spans="1:13" hidden="1">
      <c r="A20" s="208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</row>
    <row r="21" spans="1:13" hidden="1">
      <c r="A21" s="208"/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</row>
    <row r="22" spans="1:13" hidden="1">
      <c r="A22" s="208"/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</row>
    <row r="23" spans="1:13" hidden="1">
      <c r="A23" s="208"/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</row>
    <row r="24" spans="1:13" hidden="1"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</row>
    <row r="25" spans="1:13" hidden="1">
      <c r="A25" s="208"/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</row>
    <row r="26" spans="1:13" hidden="1">
      <c r="A26" s="208"/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</row>
    <row r="27" spans="1:13" hidden="1">
      <c r="A27" s="208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</row>
    <row r="28" spans="1:13" hidden="1">
      <c r="A28" s="208"/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</row>
    <row r="29" spans="1:13" hidden="1">
      <c r="A29" s="208"/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</row>
    <row r="30" spans="1:13" hidden="1">
      <c r="A30" s="208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</row>
    <row r="31" spans="1:13" hidden="1">
      <c r="A31" s="208"/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</row>
    <row r="32" spans="1:13" hidden="1">
      <c r="A32" s="208"/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</row>
    <row r="33" spans="1:13" hidden="1">
      <c r="A33" s="208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</row>
    <row r="34" spans="1:13" hidden="1">
      <c r="A34" s="208"/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</row>
    <row r="35" spans="1:13" hidden="1">
      <c r="A35" s="208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</row>
    <row r="36" spans="1:13" hidden="1"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</row>
    <row r="37" spans="1:13" hidden="1"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</row>
    <row r="38" spans="1:13" hidden="1">
      <c r="A38" s="208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</row>
    <row r="39" spans="1:13" hidden="1">
      <c r="A39" s="208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</row>
    <row r="40" spans="1:13" hidden="1">
      <c r="A40" s="208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</row>
    <row r="41" spans="1:13" hidden="1">
      <c r="A41" s="208"/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</row>
    <row r="42" spans="1:13" hidden="1">
      <c r="A42" s="208"/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</row>
    <row r="43" spans="1:13" hidden="1">
      <c r="A43" s="208"/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</row>
    <row r="44" spans="1:13" hidden="1">
      <c r="A44" s="208"/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</row>
    <row r="45" spans="1:13" hidden="1">
      <c r="A45" s="208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</row>
    <row r="46" spans="1:13" hidden="1">
      <c r="A46" s="208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</row>
    <row r="47" spans="1:13" hidden="1">
      <c r="A47" s="208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</row>
    <row r="48" spans="1:13" hidden="1">
      <c r="A48" s="208"/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</row>
    <row r="49" spans="1:13" hidden="1">
      <c r="A49" s="208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</row>
    <row r="50" spans="1:13" hidden="1">
      <c r="A50" s="208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</row>
    <row r="51" spans="1:13" hidden="1">
      <c r="A51" s="208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</row>
    <row r="52" spans="1:13" hidden="1">
      <c r="A52" s="208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</row>
    <row r="53" spans="1:13" hidden="1">
      <c r="A53" s="208"/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</row>
    <row r="54" spans="1:13" hidden="1"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</row>
    <row r="55" spans="1:13" hidden="1">
      <c r="A55" s="208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</row>
    <row r="56" spans="1:13" hidden="1"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</row>
    <row r="57" spans="1:13" hidden="1">
      <c r="A57" s="208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</row>
    <row r="58" spans="1:13" hidden="1">
      <c r="A58" s="208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</row>
    <row r="59" spans="1:13" hidden="1"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</row>
    <row r="60" spans="1:13" hidden="1">
      <c r="A60" s="208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</row>
    <row r="61" spans="1:13" hidden="1">
      <c r="A61" s="208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</row>
    <row r="62" spans="1:13" hidden="1">
      <c r="A62" s="208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</row>
    <row r="63" spans="1:13" hidden="1"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</row>
    <row r="64" spans="1:13" hidden="1">
      <c r="A64" s="208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</row>
    <row r="65" spans="1:13" hidden="1">
      <c r="A65" s="208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</row>
    <row r="66" spans="1:13" hidden="1">
      <c r="A66" s="208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</row>
    <row r="67" spans="1:13" hidden="1">
      <c r="A67" s="208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</row>
    <row r="68" spans="1:13" hidden="1">
      <c r="A68" s="208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</row>
    <row r="69" spans="1:13" hidden="1">
      <c r="A69" s="208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</row>
    <row r="70" spans="1:13" hidden="1">
      <c r="A70" s="208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</row>
    <row r="71" spans="1:13" hidden="1">
      <c r="A71" s="208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</row>
    <row r="72" spans="1:13" hidden="1"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</row>
    <row r="73" spans="1:13" hidden="1">
      <c r="A73" s="208"/>
    </row>
    <row r="74" spans="1:13" hidden="1">
      <c r="A74" s="208"/>
    </row>
  </sheetData>
  <sheetProtection algorithmName="SHA-512" hashValue="CoO6VyLUA6i/ESyQZcanGIlkBAr7OCssNagAGK/cvNXSzjy8OkIPZwlF8lI6dNo+aGQRDcyzdgg1XG4/wuznDg==" saltValue="0vWjFZjgUbnKQVQfc/yUJQ==" spinCount="100000" sheet="1" objects="1" scenarios="1" selectLockedCells="1"/>
  <sortState xmlns:xlrd2="http://schemas.microsoft.com/office/spreadsheetml/2017/richdata2" ref="A2:M72">
    <sortCondition ref="A2:A72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>
    <tabColor rgb="FF0070C0"/>
    <pageSetUpPr fitToPage="1"/>
  </sheetPr>
  <dimension ref="A1:AF78"/>
  <sheetViews>
    <sheetView showGridLines="0" showRowColHeaders="0" zoomScale="80" zoomScaleNormal="80" workbookViewId="0">
      <selection activeCell="N9" sqref="N9"/>
    </sheetView>
  </sheetViews>
  <sheetFormatPr defaultColWidth="0" defaultRowHeight="12.75" zeroHeight="1"/>
  <cols>
    <col min="1" max="1" width="4" style="51" customWidth="1"/>
    <col min="2" max="2" width="9.85546875" style="51" customWidth="1"/>
    <col min="3" max="3" width="44.7109375" style="51" customWidth="1"/>
    <col min="4" max="4" width="12.28515625" style="51" customWidth="1"/>
    <col min="5" max="5" width="90.42578125" style="51" customWidth="1"/>
    <col min="6" max="6" width="51.28515625" style="51" customWidth="1"/>
    <col min="7" max="7" width="27.42578125" style="51" customWidth="1"/>
    <col min="8" max="32" width="0" style="51" hidden="1" customWidth="1"/>
    <col min="33" max="16384" width="9.140625" style="51" hidden="1"/>
  </cols>
  <sheetData>
    <row r="1" spans="1:32" ht="47.25" customHeight="1">
      <c r="A1" s="635" t="s">
        <v>301</v>
      </c>
      <c r="B1" s="635"/>
      <c r="C1" s="635"/>
      <c r="D1" s="635"/>
      <c r="E1" s="635"/>
      <c r="F1" s="635"/>
    </row>
    <row r="2" spans="1:32" ht="34.5" thickBot="1">
      <c r="B2" s="53" t="s">
        <v>302</v>
      </c>
      <c r="C2" s="54" t="s">
        <v>303</v>
      </c>
      <c r="D2" s="55" t="s">
        <v>304</v>
      </c>
      <c r="E2" s="55" t="s">
        <v>305</v>
      </c>
      <c r="F2" s="55" t="s">
        <v>306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</row>
    <row r="3" spans="1:32" ht="15.75" thickTop="1">
      <c r="B3" s="639" t="s">
        <v>307</v>
      </c>
      <c r="C3" s="640"/>
      <c r="D3" s="640"/>
      <c r="E3" s="640"/>
      <c r="F3" s="641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50"/>
    </row>
    <row r="4" spans="1:32" ht="15">
      <c r="B4" s="56">
        <v>1</v>
      </c>
      <c r="C4" s="57" t="s">
        <v>308</v>
      </c>
      <c r="D4" s="57"/>
      <c r="E4" s="57" t="s">
        <v>309</v>
      </c>
      <c r="F4" s="57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/>
    </row>
    <row r="5" spans="1:32" ht="15">
      <c r="B5" s="56">
        <v>2</v>
      </c>
      <c r="C5" s="57" t="s">
        <v>310</v>
      </c>
      <c r="D5" s="57"/>
      <c r="E5" s="57" t="s">
        <v>311</v>
      </c>
      <c r="F5" s="57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50"/>
    </row>
    <row r="6" spans="1:32" ht="15">
      <c r="B6" s="56">
        <v>3</v>
      </c>
      <c r="C6" s="57" t="s">
        <v>312</v>
      </c>
      <c r="D6" s="57"/>
      <c r="E6" s="57" t="s">
        <v>313</v>
      </c>
      <c r="F6" s="57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0"/>
    </row>
    <row r="7" spans="1:32" ht="15">
      <c r="B7" s="56">
        <v>4</v>
      </c>
      <c r="C7" s="57" t="s">
        <v>314</v>
      </c>
      <c r="D7" s="57"/>
      <c r="E7" s="57" t="s">
        <v>75</v>
      </c>
      <c r="F7" s="57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50"/>
    </row>
    <row r="8" spans="1:32" ht="15">
      <c r="B8" s="56">
        <v>5</v>
      </c>
      <c r="C8" s="57" t="s">
        <v>315</v>
      </c>
      <c r="D8" s="57"/>
      <c r="E8" s="57" t="s">
        <v>316</v>
      </c>
      <c r="F8" s="57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50"/>
    </row>
    <row r="9" spans="1:32" ht="15">
      <c r="B9" s="58">
        <v>6</v>
      </c>
      <c r="C9" s="57" t="s">
        <v>317</v>
      </c>
      <c r="D9" s="57"/>
      <c r="E9" s="57" t="s">
        <v>318</v>
      </c>
      <c r="F9" s="57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50"/>
    </row>
    <row r="10" spans="1:32" ht="14.25" customHeight="1">
      <c r="B10" s="642" t="s">
        <v>319</v>
      </c>
      <c r="C10" s="643"/>
      <c r="D10" s="643"/>
      <c r="E10" s="643"/>
      <c r="F10" s="644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50"/>
    </row>
    <row r="11" spans="1:32" ht="24" customHeight="1">
      <c r="B11" s="59">
        <v>7</v>
      </c>
      <c r="C11" s="57" t="s">
        <v>320</v>
      </c>
      <c r="D11" s="60" t="s">
        <v>321</v>
      </c>
      <c r="E11" s="61" t="s">
        <v>322</v>
      </c>
      <c r="F11" s="57" t="s">
        <v>323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50"/>
    </row>
    <row r="12" spans="1:32" ht="24" customHeight="1">
      <c r="B12" s="59">
        <v>8</v>
      </c>
      <c r="C12" s="57" t="s">
        <v>324</v>
      </c>
      <c r="D12" s="60" t="s">
        <v>325</v>
      </c>
      <c r="E12" s="62" t="s">
        <v>326</v>
      </c>
      <c r="F12" s="62" t="s">
        <v>327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50"/>
    </row>
    <row r="13" spans="1:32" ht="24" customHeight="1">
      <c r="B13" s="59">
        <v>9</v>
      </c>
      <c r="C13" s="57" t="s">
        <v>328</v>
      </c>
      <c r="D13" s="60" t="s">
        <v>329</v>
      </c>
      <c r="E13" s="62" t="s">
        <v>330</v>
      </c>
      <c r="F13" s="57" t="s">
        <v>331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50"/>
    </row>
    <row r="14" spans="1:32" ht="24" customHeight="1">
      <c r="B14" s="59">
        <v>10</v>
      </c>
      <c r="C14" s="57" t="s">
        <v>332</v>
      </c>
      <c r="D14" s="60" t="s">
        <v>325</v>
      </c>
      <c r="E14" s="62" t="s">
        <v>333</v>
      </c>
      <c r="F14" s="57" t="s">
        <v>334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50"/>
    </row>
    <row r="15" spans="1:32" ht="24" customHeight="1">
      <c r="B15" s="59">
        <v>11</v>
      </c>
      <c r="C15" s="57" t="s">
        <v>335</v>
      </c>
      <c r="D15" s="60" t="s">
        <v>321</v>
      </c>
      <c r="E15" s="62" t="s">
        <v>336</v>
      </c>
      <c r="F15" s="62" t="s">
        <v>337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50"/>
    </row>
    <row r="16" spans="1:32" ht="24" customHeight="1">
      <c r="B16" s="59">
        <v>12</v>
      </c>
      <c r="C16" s="57" t="s">
        <v>338</v>
      </c>
      <c r="D16" s="60" t="s">
        <v>321</v>
      </c>
      <c r="E16" s="57" t="s">
        <v>339</v>
      </c>
      <c r="F16" s="57" t="s">
        <v>340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50"/>
    </row>
    <row r="17" spans="2:32" ht="24" customHeight="1">
      <c r="B17" s="59">
        <v>13</v>
      </c>
      <c r="C17" s="57" t="s">
        <v>341</v>
      </c>
      <c r="D17" s="60" t="s">
        <v>321</v>
      </c>
      <c r="E17" s="57" t="s">
        <v>342</v>
      </c>
      <c r="F17" s="57" t="s">
        <v>343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50"/>
    </row>
    <row r="18" spans="2:32" ht="24" customHeight="1">
      <c r="B18" s="59">
        <v>14</v>
      </c>
      <c r="C18" s="57" t="s">
        <v>344</v>
      </c>
      <c r="D18" s="60" t="s">
        <v>321</v>
      </c>
      <c r="E18" s="61" t="s">
        <v>345</v>
      </c>
      <c r="F18" s="57" t="s">
        <v>346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50"/>
    </row>
    <row r="19" spans="2:32" ht="24" customHeight="1">
      <c r="B19" s="59">
        <v>15</v>
      </c>
      <c r="C19" s="57" t="s">
        <v>347</v>
      </c>
      <c r="D19" s="60" t="s">
        <v>321</v>
      </c>
      <c r="E19" s="61" t="s">
        <v>348</v>
      </c>
      <c r="F19" s="57" t="s">
        <v>349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50"/>
    </row>
    <row r="20" spans="2:32" ht="24" customHeight="1">
      <c r="B20" s="59">
        <v>16</v>
      </c>
      <c r="C20" s="57" t="s">
        <v>350</v>
      </c>
      <c r="D20" s="60" t="s">
        <v>321</v>
      </c>
      <c r="E20" s="61" t="s">
        <v>351</v>
      </c>
      <c r="F20" s="57" t="s">
        <v>352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50"/>
    </row>
    <row r="21" spans="2:32" ht="24" customHeight="1">
      <c r="B21" s="59">
        <v>17</v>
      </c>
      <c r="C21" s="57" t="s">
        <v>353</v>
      </c>
      <c r="D21" s="60" t="s">
        <v>321</v>
      </c>
      <c r="E21" s="61" t="s">
        <v>354</v>
      </c>
      <c r="F21" s="57" t="s">
        <v>355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50"/>
    </row>
    <row r="22" spans="2:32" ht="24" customHeight="1">
      <c r="B22" s="59">
        <v>18</v>
      </c>
      <c r="C22" s="57" t="s">
        <v>356</v>
      </c>
      <c r="D22" s="60" t="s">
        <v>321</v>
      </c>
      <c r="E22" s="61" t="s">
        <v>357</v>
      </c>
      <c r="F22" s="57" t="s">
        <v>358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50"/>
    </row>
    <row r="23" spans="2:32" ht="14.25" customHeight="1">
      <c r="B23" s="642" t="s">
        <v>359</v>
      </c>
      <c r="C23" s="643"/>
      <c r="D23" s="643"/>
      <c r="E23" s="643"/>
      <c r="F23" s="644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50"/>
    </row>
    <row r="24" spans="2:32" ht="24" customHeight="1">
      <c r="B24" s="59">
        <v>19</v>
      </c>
      <c r="C24" s="57" t="s">
        <v>360</v>
      </c>
      <c r="D24" s="60" t="s">
        <v>321</v>
      </c>
      <c r="E24" s="61" t="s">
        <v>361</v>
      </c>
      <c r="F24" s="57" t="s">
        <v>362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50"/>
    </row>
    <row r="25" spans="2:32" ht="39" customHeight="1">
      <c r="B25" s="59">
        <v>20</v>
      </c>
      <c r="C25" s="57" t="s">
        <v>363</v>
      </c>
      <c r="D25" s="60" t="s">
        <v>321</v>
      </c>
      <c r="E25" s="61" t="s">
        <v>364</v>
      </c>
      <c r="F25" s="57" t="s">
        <v>365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50"/>
    </row>
    <row r="26" spans="2:32" ht="24" customHeight="1">
      <c r="B26" s="59">
        <v>21</v>
      </c>
      <c r="C26" s="57" t="s">
        <v>366</v>
      </c>
      <c r="D26" s="60" t="s">
        <v>321</v>
      </c>
      <c r="E26" s="62" t="s">
        <v>367</v>
      </c>
      <c r="F26" s="57" t="s">
        <v>368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50"/>
    </row>
    <row r="27" spans="2:32" s="65" customFormat="1" ht="24" customHeight="1">
      <c r="B27" s="66">
        <v>22</v>
      </c>
      <c r="C27" s="67" t="s">
        <v>369</v>
      </c>
      <c r="D27" s="66" t="s">
        <v>321</v>
      </c>
      <c r="E27" s="67" t="s">
        <v>370</v>
      </c>
      <c r="F27" s="72" t="s">
        <v>371</v>
      </c>
      <c r="G27" s="30" t="s">
        <v>146</v>
      </c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1"/>
    </row>
    <row r="28" spans="2:32" ht="20.25" customHeight="1">
      <c r="B28" s="636" t="s">
        <v>372</v>
      </c>
      <c r="C28" s="637"/>
      <c r="D28" s="637"/>
      <c r="E28" s="637"/>
      <c r="F28" s="638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50"/>
    </row>
    <row r="29" spans="2:32" ht="32.25" customHeight="1">
      <c r="B29" s="56">
        <v>23</v>
      </c>
      <c r="C29" s="57" t="s">
        <v>373</v>
      </c>
      <c r="D29" s="60" t="s">
        <v>374</v>
      </c>
      <c r="E29" s="61" t="s">
        <v>375</v>
      </c>
      <c r="F29" s="62" t="s">
        <v>376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50"/>
    </row>
    <row r="30" spans="2:32" s="65" customFormat="1" ht="32.25" customHeight="1">
      <c r="B30" s="66">
        <v>24</v>
      </c>
      <c r="C30" s="67" t="s">
        <v>377</v>
      </c>
      <c r="D30" s="66" t="s">
        <v>329</v>
      </c>
      <c r="E30" s="67" t="s">
        <v>378</v>
      </c>
      <c r="F30" s="68" t="s">
        <v>379</v>
      </c>
      <c r="G30" s="30" t="s">
        <v>380</v>
      </c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1"/>
    </row>
    <row r="31" spans="2:32" ht="32.25" customHeight="1">
      <c r="B31" s="56">
        <v>25</v>
      </c>
      <c r="C31" s="57" t="s">
        <v>381</v>
      </c>
      <c r="D31" s="60" t="s">
        <v>382</v>
      </c>
      <c r="E31" s="61" t="s">
        <v>383</v>
      </c>
      <c r="F31" s="62" t="s">
        <v>384</v>
      </c>
      <c r="G31" s="113" t="s">
        <v>167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50"/>
    </row>
    <row r="32" spans="2:32" ht="32.25" customHeight="1">
      <c r="B32" s="56">
        <v>26</v>
      </c>
      <c r="C32" s="57" t="s">
        <v>385</v>
      </c>
      <c r="D32" s="60" t="s">
        <v>386</v>
      </c>
      <c r="E32" s="61" t="s">
        <v>387</v>
      </c>
      <c r="F32" s="62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50"/>
    </row>
    <row r="33" spans="1:32" ht="32.25" customHeight="1">
      <c r="B33" s="56">
        <v>27</v>
      </c>
      <c r="C33" s="57" t="s">
        <v>388</v>
      </c>
      <c r="D33" s="60" t="s">
        <v>386</v>
      </c>
      <c r="E33" s="61" t="s">
        <v>389</v>
      </c>
      <c r="F33" s="62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50"/>
    </row>
    <row r="34" spans="1:32" ht="32.25" customHeight="1">
      <c r="B34" s="56">
        <v>28</v>
      </c>
      <c r="C34" s="57" t="s">
        <v>390</v>
      </c>
      <c r="D34" s="60" t="s">
        <v>386</v>
      </c>
      <c r="E34" s="61" t="s">
        <v>391</v>
      </c>
      <c r="F34" s="62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50"/>
    </row>
    <row r="35" spans="1:32" ht="32.25" customHeight="1">
      <c r="B35" s="56">
        <v>29</v>
      </c>
      <c r="C35" s="57" t="s">
        <v>392</v>
      </c>
      <c r="D35" s="60" t="s">
        <v>386</v>
      </c>
      <c r="E35" s="61" t="s">
        <v>393</v>
      </c>
      <c r="F35" s="62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50"/>
    </row>
    <row r="36" spans="1:32" s="65" customFormat="1" ht="41.25" customHeight="1">
      <c r="B36" s="66">
        <v>30</v>
      </c>
      <c r="C36" s="67" t="s">
        <v>394</v>
      </c>
      <c r="D36" s="66" t="s">
        <v>395</v>
      </c>
      <c r="E36" s="69" t="s">
        <v>396</v>
      </c>
      <c r="F36" s="67"/>
      <c r="G36" s="114" t="s">
        <v>96</v>
      </c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1"/>
    </row>
    <row r="37" spans="1:32" ht="32.25" customHeight="1">
      <c r="B37" s="56">
        <v>31</v>
      </c>
      <c r="C37" s="57" t="s">
        <v>397</v>
      </c>
      <c r="D37" s="60" t="s">
        <v>395</v>
      </c>
      <c r="E37" s="61" t="s">
        <v>398</v>
      </c>
      <c r="F37" s="61" t="s">
        <v>399</v>
      </c>
      <c r="G37" s="117" t="s">
        <v>400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50"/>
    </row>
    <row r="38" spans="1:32" ht="32.25" customHeight="1">
      <c r="A38" s="65"/>
      <c r="B38" s="66">
        <v>32</v>
      </c>
      <c r="C38" s="115" t="s">
        <v>401</v>
      </c>
      <c r="D38" s="66" t="s">
        <v>395</v>
      </c>
      <c r="E38" s="115" t="s">
        <v>402</v>
      </c>
      <c r="F38" s="67"/>
      <c r="G38" s="114" t="s">
        <v>98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50"/>
    </row>
    <row r="39" spans="1:32" ht="32.25" customHeight="1">
      <c r="A39" s="65"/>
      <c r="B39" s="66">
        <v>33</v>
      </c>
      <c r="C39" s="115" t="s">
        <v>403</v>
      </c>
      <c r="D39" s="66" t="s">
        <v>395</v>
      </c>
      <c r="E39" s="115" t="s">
        <v>404</v>
      </c>
      <c r="F39" s="67"/>
      <c r="G39" s="114" t="s">
        <v>97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50"/>
    </row>
    <row r="40" spans="1:32" ht="32.25" customHeight="1">
      <c r="B40" s="56">
        <v>34</v>
      </c>
      <c r="C40" s="57" t="s">
        <v>405</v>
      </c>
      <c r="D40" s="60" t="s">
        <v>321</v>
      </c>
      <c r="E40" s="57" t="s">
        <v>406</v>
      </c>
      <c r="F40" s="62" t="s">
        <v>407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50"/>
    </row>
    <row r="41" spans="1:32" ht="16.5" customHeight="1">
      <c r="B41" s="636" t="s">
        <v>408</v>
      </c>
      <c r="C41" s="637"/>
      <c r="D41" s="637"/>
      <c r="E41" s="637"/>
      <c r="F41" s="638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50"/>
    </row>
    <row r="42" spans="1:32" ht="21.75" customHeight="1">
      <c r="B42" s="59">
        <v>35</v>
      </c>
      <c r="C42" s="57" t="s">
        <v>409</v>
      </c>
      <c r="D42" s="60" t="s">
        <v>374</v>
      </c>
      <c r="E42" s="57" t="s">
        <v>410</v>
      </c>
      <c r="F42" s="62" t="s">
        <v>411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50"/>
    </row>
    <row r="43" spans="1:32" s="65" customFormat="1" ht="21.75" customHeight="1">
      <c r="B43" s="66">
        <v>36</v>
      </c>
      <c r="C43" s="67" t="s">
        <v>412</v>
      </c>
      <c r="D43" s="66" t="s">
        <v>329</v>
      </c>
      <c r="E43" s="67" t="s">
        <v>413</v>
      </c>
      <c r="F43" s="68" t="s">
        <v>414</v>
      </c>
      <c r="G43" s="30" t="s">
        <v>380</v>
      </c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1"/>
    </row>
    <row r="44" spans="1:32" ht="21.75" customHeight="1">
      <c r="B44" s="59">
        <v>37</v>
      </c>
      <c r="C44" s="57" t="s">
        <v>415</v>
      </c>
      <c r="D44" s="60" t="s">
        <v>321</v>
      </c>
      <c r="E44" s="57" t="s">
        <v>416</v>
      </c>
      <c r="F44" s="62" t="s">
        <v>417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50"/>
    </row>
    <row r="45" spans="1:32" s="65" customFormat="1" ht="21.75" customHeight="1">
      <c r="B45" s="66">
        <v>38</v>
      </c>
      <c r="C45" s="67" t="s">
        <v>418</v>
      </c>
      <c r="D45" s="66" t="s">
        <v>419</v>
      </c>
      <c r="E45" s="67" t="s">
        <v>420</v>
      </c>
      <c r="F45" s="68"/>
      <c r="G45" s="74" t="s">
        <v>141</v>
      </c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1"/>
    </row>
    <row r="46" spans="1:32" s="65" customFormat="1" ht="21.75" customHeight="1">
      <c r="B46" s="66">
        <v>39</v>
      </c>
      <c r="C46" s="67" t="s">
        <v>421</v>
      </c>
      <c r="D46" s="66" t="s">
        <v>422</v>
      </c>
      <c r="E46" s="67" t="s">
        <v>423</v>
      </c>
      <c r="F46" s="67"/>
      <c r="G46" s="74" t="s">
        <v>142</v>
      </c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1"/>
    </row>
    <row r="47" spans="1:32" ht="21.75" customHeight="1">
      <c r="B47" s="59">
        <v>40</v>
      </c>
      <c r="C47" s="57" t="s">
        <v>424</v>
      </c>
      <c r="D47" s="60" t="s">
        <v>386</v>
      </c>
      <c r="E47" s="57" t="s">
        <v>425</v>
      </c>
      <c r="F47" s="62" t="s">
        <v>426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50"/>
    </row>
    <row r="48" spans="1:32" ht="21.75" customHeight="1">
      <c r="B48" s="59">
        <v>41</v>
      </c>
      <c r="C48" s="57" t="s">
        <v>427</v>
      </c>
      <c r="D48" s="60" t="s">
        <v>386</v>
      </c>
      <c r="E48" s="57" t="s">
        <v>428</v>
      </c>
      <c r="F48" s="57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50"/>
    </row>
    <row r="49" spans="1:32" ht="21.75" customHeight="1">
      <c r="B49" s="59">
        <v>42</v>
      </c>
      <c r="C49" s="57" t="s">
        <v>429</v>
      </c>
      <c r="D49" s="60" t="s">
        <v>386</v>
      </c>
      <c r="E49" s="57" t="s">
        <v>430</v>
      </c>
      <c r="F49" s="57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50"/>
    </row>
    <row r="50" spans="1:32" ht="21.75" customHeight="1">
      <c r="B50" s="59">
        <v>43</v>
      </c>
      <c r="C50" s="57" t="s">
        <v>431</v>
      </c>
      <c r="D50" s="60" t="s">
        <v>386</v>
      </c>
      <c r="E50" s="57" t="s">
        <v>432</v>
      </c>
      <c r="F50" s="57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50"/>
    </row>
    <row r="51" spans="1:32" s="65" customFormat="1" ht="80.25" customHeight="1">
      <c r="B51" s="66">
        <v>44</v>
      </c>
      <c r="C51" s="67" t="s">
        <v>433</v>
      </c>
      <c r="D51" s="66" t="s">
        <v>395</v>
      </c>
      <c r="E51" s="68" t="s">
        <v>434</v>
      </c>
      <c r="F51" s="69" t="s">
        <v>435</v>
      </c>
      <c r="G51" s="74" t="s">
        <v>164</v>
      </c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1"/>
    </row>
    <row r="52" spans="1:32" ht="21.75" customHeight="1">
      <c r="B52" s="59">
        <v>45</v>
      </c>
      <c r="C52" s="57" t="s">
        <v>436</v>
      </c>
      <c r="D52" s="60" t="s">
        <v>395</v>
      </c>
      <c r="E52" s="62" t="s">
        <v>437</v>
      </c>
      <c r="F52" s="62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50"/>
    </row>
    <row r="53" spans="1:32" ht="21.75" customHeight="1">
      <c r="B53" s="59">
        <v>46</v>
      </c>
      <c r="C53" s="57" t="s">
        <v>438</v>
      </c>
      <c r="D53" s="60" t="s">
        <v>395</v>
      </c>
      <c r="E53" s="62" t="s">
        <v>439</v>
      </c>
      <c r="F53" s="62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50"/>
    </row>
    <row r="54" spans="1:32" ht="21.75" customHeight="1">
      <c r="B54" s="59">
        <v>47</v>
      </c>
      <c r="C54" s="62" t="s">
        <v>440</v>
      </c>
      <c r="D54" s="60" t="s">
        <v>395</v>
      </c>
      <c r="E54" s="62" t="s">
        <v>441</v>
      </c>
      <c r="F54" s="62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50"/>
    </row>
    <row r="55" spans="1:32" ht="21.75" customHeight="1">
      <c r="B55" s="59">
        <v>48</v>
      </c>
      <c r="C55" s="62" t="s">
        <v>442</v>
      </c>
      <c r="D55" s="60" t="s">
        <v>395</v>
      </c>
      <c r="E55" s="57" t="s">
        <v>443</v>
      </c>
      <c r="F55" s="62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50"/>
    </row>
    <row r="56" spans="1:32" ht="21.75" customHeight="1">
      <c r="B56" s="59">
        <v>49</v>
      </c>
      <c r="C56" s="62" t="s">
        <v>444</v>
      </c>
      <c r="D56" s="60" t="s">
        <v>395</v>
      </c>
      <c r="E56" s="57" t="s">
        <v>445</v>
      </c>
      <c r="F56" s="62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50"/>
    </row>
    <row r="57" spans="1:32" ht="21.75" customHeight="1">
      <c r="B57" s="59">
        <v>50</v>
      </c>
      <c r="C57" s="57" t="s">
        <v>446</v>
      </c>
      <c r="D57" s="60" t="s">
        <v>395</v>
      </c>
      <c r="E57" s="57" t="s">
        <v>447</v>
      </c>
      <c r="F57" s="57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50"/>
    </row>
    <row r="58" spans="1:32" ht="21.75" customHeight="1">
      <c r="B58" s="59">
        <v>51</v>
      </c>
      <c r="C58" s="57" t="s">
        <v>448</v>
      </c>
      <c r="D58" s="60" t="s">
        <v>395</v>
      </c>
      <c r="E58" s="62" t="s">
        <v>449</v>
      </c>
      <c r="F58" s="57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50"/>
    </row>
    <row r="59" spans="1:32" s="65" customFormat="1" ht="66.75" customHeight="1">
      <c r="B59" s="645">
        <v>52</v>
      </c>
      <c r="C59" s="645" t="s">
        <v>450</v>
      </c>
      <c r="D59" s="645" t="s">
        <v>395</v>
      </c>
      <c r="E59" s="647" t="s">
        <v>451</v>
      </c>
      <c r="F59" s="649" t="s">
        <v>452</v>
      </c>
      <c r="G59" s="74" t="s">
        <v>453</v>
      </c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1"/>
    </row>
    <row r="60" spans="1:32" s="65" customFormat="1" ht="66.75" customHeight="1">
      <c r="B60" s="646"/>
      <c r="C60" s="646"/>
      <c r="D60" s="646"/>
      <c r="E60" s="648"/>
      <c r="F60" s="650"/>
      <c r="G60" s="74" t="s">
        <v>174</v>
      </c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1"/>
    </row>
    <row r="61" spans="1:32" ht="21.75" customHeight="1">
      <c r="A61" s="65"/>
      <c r="B61" s="66">
        <v>53</v>
      </c>
      <c r="C61" s="67" t="s">
        <v>454</v>
      </c>
      <c r="D61" s="66" t="s">
        <v>395</v>
      </c>
      <c r="E61" s="67" t="s">
        <v>455</v>
      </c>
      <c r="F61" s="67"/>
      <c r="G61" s="114" t="s">
        <v>98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50"/>
    </row>
    <row r="62" spans="1:32" ht="21.75" customHeight="1">
      <c r="A62" s="49"/>
      <c r="B62" s="59">
        <v>54</v>
      </c>
      <c r="C62" s="57" t="s">
        <v>456</v>
      </c>
      <c r="D62" s="60" t="s">
        <v>395</v>
      </c>
      <c r="E62" s="57" t="s">
        <v>457</v>
      </c>
      <c r="F62" s="57"/>
      <c r="G62" s="116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50"/>
    </row>
    <row r="63" spans="1:32" ht="21.75" customHeight="1">
      <c r="A63" s="49"/>
      <c r="B63" s="59">
        <v>55</v>
      </c>
      <c r="C63" s="57" t="s">
        <v>458</v>
      </c>
      <c r="D63" s="60" t="s">
        <v>395</v>
      </c>
      <c r="E63" s="57" t="s">
        <v>459</v>
      </c>
      <c r="F63" s="57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50"/>
    </row>
    <row r="64" spans="1:32" ht="21.75" customHeight="1">
      <c r="A64" s="49"/>
      <c r="B64" s="59">
        <v>56</v>
      </c>
      <c r="C64" s="57" t="s">
        <v>460</v>
      </c>
      <c r="D64" s="60" t="s">
        <v>395</v>
      </c>
      <c r="E64" s="57" t="s">
        <v>461</v>
      </c>
      <c r="F64" s="57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50"/>
    </row>
    <row r="65" spans="1:32" ht="21.75" customHeight="1">
      <c r="A65" s="70"/>
      <c r="B65" s="66">
        <v>57</v>
      </c>
      <c r="C65" s="67" t="s">
        <v>462</v>
      </c>
      <c r="D65" s="66" t="s">
        <v>395</v>
      </c>
      <c r="E65" s="115" t="s">
        <v>463</v>
      </c>
      <c r="F65" s="67"/>
      <c r="G65" s="114" t="s">
        <v>97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50"/>
    </row>
    <row r="66" spans="1:32" ht="21.75" customHeight="1">
      <c r="A66" s="49"/>
      <c r="B66" s="59">
        <v>58</v>
      </c>
      <c r="C66" s="57" t="s">
        <v>464</v>
      </c>
      <c r="D66" s="60" t="s">
        <v>321</v>
      </c>
      <c r="E66" s="57" t="s">
        <v>465</v>
      </c>
      <c r="F66" s="62" t="s">
        <v>466</v>
      </c>
      <c r="G66" s="116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50"/>
    </row>
    <row r="67" spans="1:32" ht="21.75" customHeight="1">
      <c r="A67" s="49"/>
      <c r="B67" s="59">
        <v>59</v>
      </c>
      <c r="C67" s="57" t="s">
        <v>467</v>
      </c>
      <c r="D67" s="60" t="s">
        <v>395</v>
      </c>
      <c r="E67" s="63" t="s">
        <v>468</v>
      </c>
      <c r="F67" s="57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50"/>
    </row>
    <row r="68" spans="1:32" ht="21.75" customHeight="1">
      <c r="A68" s="49"/>
      <c r="B68" s="59">
        <v>60</v>
      </c>
      <c r="C68" s="57" t="s">
        <v>469</v>
      </c>
      <c r="D68" s="60" t="s">
        <v>419</v>
      </c>
      <c r="E68" s="61" t="s">
        <v>470</v>
      </c>
      <c r="F68" s="57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50"/>
    </row>
    <row r="69" spans="1:32" ht="21.75" customHeight="1">
      <c r="A69" s="49"/>
      <c r="B69" s="59">
        <v>61</v>
      </c>
      <c r="C69" s="57" t="s">
        <v>471</v>
      </c>
      <c r="D69" s="60" t="s">
        <v>395</v>
      </c>
      <c r="E69" s="57" t="s">
        <v>472</v>
      </c>
      <c r="F69" s="6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50"/>
    </row>
    <row r="70" spans="1:32" ht="21.75" customHeight="1">
      <c r="A70" s="49"/>
      <c r="B70" s="59">
        <v>62</v>
      </c>
      <c r="C70" s="57" t="s">
        <v>473</v>
      </c>
      <c r="D70" s="60" t="s">
        <v>419</v>
      </c>
      <c r="E70" s="61" t="s">
        <v>474</v>
      </c>
      <c r="F70" s="57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50"/>
    </row>
    <row r="71" spans="1:32" ht="20.25" customHeight="1">
      <c r="A71" s="49"/>
      <c r="B71" s="636" t="s">
        <v>475</v>
      </c>
      <c r="C71" s="637"/>
      <c r="D71" s="637"/>
      <c r="E71" s="637"/>
      <c r="F71" s="638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50"/>
    </row>
    <row r="72" spans="1:32" ht="90.75">
      <c r="A72" s="49"/>
      <c r="B72" s="56">
        <v>63</v>
      </c>
      <c r="C72" s="57" t="s">
        <v>476</v>
      </c>
      <c r="D72" s="60" t="s">
        <v>477</v>
      </c>
      <c r="E72" s="61" t="s">
        <v>478</v>
      </c>
      <c r="F72" s="62" t="s">
        <v>479</v>
      </c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50"/>
    </row>
    <row r="73" spans="1:32" ht="79.5">
      <c r="A73" s="49"/>
      <c r="B73" s="56">
        <v>64</v>
      </c>
      <c r="C73" s="57" t="s">
        <v>480</v>
      </c>
      <c r="D73" s="60" t="s">
        <v>477</v>
      </c>
      <c r="E73" s="61" t="s">
        <v>481</v>
      </c>
      <c r="F73" s="62" t="s">
        <v>482</v>
      </c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50"/>
    </row>
    <row r="74" spans="1:32" ht="28.5" customHeight="1">
      <c r="A74" s="49"/>
      <c r="B74" s="56">
        <v>65</v>
      </c>
      <c r="C74" s="57" t="s">
        <v>483</v>
      </c>
      <c r="D74" s="60" t="s">
        <v>321</v>
      </c>
      <c r="E74" s="57" t="s">
        <v>484</v>
      </c>
      <c r="F74" s="57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50"/>
    </row>
    <row r="75" spans="1:32" ht="28.5" customHeight="1">
      <c r="A75" s="49"/>
      <c r="B75" s="56">
        <v>66</v>
      </c>
      <c r="C75" s="57" t="s">
        <v>485</v>
      </c>
      <c r="D75" s="60" t="s">
        <v>477</v>
      </c>
      <c r="E75" s="62" t="s">
        <v>486</v>
      </c>
      <c r="F75" s="60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50"/>
    </row>
    <row r="76" spans="1:32" ht="19.5" customHeight="1">
      <c r="B76" s="52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50"/>
    </row>
    <row r="78" spans="1:32"/>
  </sheetData>
  <sheetProtection algorithmName="SHA-512" hashValue="8Yi18vlSxwfJ864C9fhYhOWUi9PcVLwsZUC/nEwc8hZJxkiONsi4Cnk1Wo0GuS3MwGBOArHjbhzgP+PhXtD5Qg==" saltValue="Odm4Qitb+Prhaddo79eG8Q==" spinCount="100000" sheet="1" selectLockedCells="1"/>
  <mergeCells count="12">
    <mergeCell ref="A1:F1"/>
    <mergeCell ref="B71:F71"/>
    <mergeCell ref="B3:F3"/>
    <mergeCell ref="B10:F10"/>
    <mergeCell ref="B23:F23"/>
    <mergeCell ref="B28:F28"/>
    <mergeCell ref="B41:F41"/>
    <mergeCell ref="B59:B60"/>
    <mergeCell ref="C59:C60"/>
    <mergeCell ref="D59:D60"/>
    <mergeCell ref="E59:E60"/>
    <mergeCell ref="F59:F60"/>
  </mergeCells>
  <pageMargins left="0.70866141732283472" right="0.70866141732283472" top="0.74803149606299213" bottom="0.74803149606299213" header="0.31496062992125984" footer="0.31496062992125984"/>
  <pageSetup paperSize="9" scale="19" fitToHeight="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5">
    <tabColor rgb="FFFF0000"/>
  </sheetPr>
  <dimension ref="A1:AB96"/>
  <sheetViews>
    <sheetView zoomScaleNormal="100" workbookViewId="0">
      <selection activeCell="H9" sqref="H9"/>
    </sheetView>
  </sheetViews>
  <sheetFormatPr defaultColWidth="9.140625" defaultRowHeight="15"/>
  <cols>
    <col min="1" max="1" width="9.140625" style="4"/>
    <col min="2" max="2" width="11.42578125" style="4" customWidth="1"/>
    <col min="3" max="3" width="13.140625" style="4" bestFit="1" customWidth="1"/>
    <col min="4" max="4" width="14.28515625" style="4" bestFit="1" customWidth="1"/>
    <col min="5" max="5" width="15.28515625" style="4" bestFit="1" customWidth="1"/>
    <col min="6" max="6" width="10.42578125" style="4" bestFit="1" customWidth="1"/>
    <col min="7" max="7" width="9.85546875" style="4" bestFit="1" customWidth="1"/>
    <col min="8" max="8" width="11.28515625" style="4" bestFit="1" customWidth="1"/>
    <col min="9" max="9" width="11.140625" style="4" bestFit="1" customWidth="1"/>
    <col min="10" max="10" width="25.7109375" style="4" bestFit="1" customWidth="1"/>
    <col min="11" max="11" width="15" style="4" bestFit="1" customWidth="1"/>
    <col min="12" max="12" width="10" style="4" bestFit="1" customWidth="1"/>
    <col min="13" max="13" width="16" style="4" customWidth="1"/>
    <col min="14" max="14" width="16.85546875" style="4" customWidth="1"/>
    <col min="15" max="15" width="18.85546875" style="4" customWidth="1"/>
    <col min="16" max="16" width="9.140625" style="4"/>
    <col min="17" max="17" width="9.140625" style="21"/>
    <col min="18" max="23" width="9.140625" style="4"/>
    <col min="24" max="24" width="9.85546875" style="4" bestFit="1" customWidth="1"/>
    <col min="25" max="27" width="9.140625" style="4"/>
    <col min="28" max="28" width="34.28515625" style="4" bestFit="1" customWidth="1"/>
    <col min="29" max="16384" width="9.140625" style="4"/>
  </cols>
  <sheetData>
    <row r="1" spans="1:28" ht="30">
      <c r="A1" s="652" t="s">
        <v>195</v>
      </c>
      <c r="B1" s="652"/>
      <c r="C1" s="652"/>
      <c r="D1" s="652"/>
      <c r="E1" s="652"/>
      <c r="F1" s="652"/>
      <c r="G1" s="652"/>
      <c r="H1" s="652"/>
      <c r="I1" s="652"/>
      <c r="J1" s="652" t="s">
        <v>487</v>
      </c>
      <c r="K1" s="652"/>
      <c r="L1" s="652"/>
      <c r="M1" s="652"/>
      <c r="N1" s="652"/>
      <c r="O1" s="435" t="s">
        <v>488</v>
      </c>
    </row>
    <row r="2" spans="1:28" s="5" customFormat="1" ht="36" customHeight="1">
      <c r="A2" s="16" t="s">
        <v>489</v>
      </c>
      <c r="B2" s="14" t="s">
        <v>490</v>
      </c>
      <c r="C2" s="14" t="s">
        <v>94</v>
      </c>
      <c r="D2" s="15" t="s">
        <v>491</v>
      </c>
      <c r="E2" s="17" t="s">
        <v>109</v>
      </c>
      <c r="F2" s="17" t="s">
        <v>111</v>
      </c>
      <c r="G2" s="17" t="s">
        <v>112</v>
      </c>
      <c r="H2" s="17" t="s">
        <v>113</v>
      </c>
      <c r="I2" s="17" t="s">
        <v>114</v>
      </c>
      <c r="J2" s="11">
        <v>2025</v>
      </c>
      <c r="K2" s="2" t="s">
        <v>492</v>
      </c>
      <c r="L2" s="2" t="s">
        <v>493</v>
      </c>
      <c r="M2" s="2" t="s">
        <v>494</v>
      </c>
      <c r="N2" s="2" t="s">
        <v>495</v>
      </c>
      <c r="O2" s="436">
        <v>4666</v>
      </c>
      <c r="P2" s="5" t="s">
        <v>496</v>
      </c>
      <c r="Q2" s="144" t="str">
        <f>CALCULATOR!C32</f>
        <v>Plan A</v>
      </c>
      <c r="R2">
        <f>VLOOKUP($Q$2,$Q$4:$S$6,2,0)</f>
        <v>0.11617063987263899</v>
      </c>
      <c r="S2">
        <f>VLOOKUP($Q$2,$Q$4:$S$6,3,0)</f>
        <v>4.81443589905943</v>
      </c>
      <c r="V2" s="145" t="s">
        <v>497</v>
      </c>
      <c r="W2" s="4"/>
      <c r="X2" s="4"/>
      <c r="Y2" s="4"/>
      <c r="AA2" s="5" t="s">
        <v>498</v>
      </c>
      <c r="AB2" s="5" t="s">
        <v>499</v>
      </c>
    </row>
    <row r="3" spans="1:28">
      <c r="B3" s="3" t="s">
        <v>121</v>
      </c>
      <c r="C3" s="6">
        <v>1</v>
      </c>
      <c r="D3" s="7"/>
      <c r="E3" s="8">
        <v>0.16930000000000001</v>
      </c>
      <c r="F3" s="9">
        <v>300</v>
      </c>
      <c r="G3" s="9">
        <v>200</v>
      </c>
      <c r="H3" s="9">
        <v>300</v>
      </c>
      <c r="I3" s="9">
        <v>367</v>
      </c>
      <c r="J3" s="13" t="s">
        <v>268</v>
      </c>
      <c r="K3" s="10">
        <v>21</v>
      </c>
      <c r="L3" s="10">
        <v>168</v>
      </c>
      <c r="M3" s="12">
        <f t="shared" ref="M3:M8" si="0">$O$2/L3</f>
        <v>27.773809523809526</v>
      </c>
      <c r="N3" s="12">
        <f>M3*0.2</f>
        <v>5.5547619047619055</v>
      </c>
      <c r="O3" s="651" t="s">
        <v>500</v>
      </c>
      <c r="Q3" s="140"/>
      <c r="R3"/>
      <c r="S3"/>
      <c r="V3" s="13" t="s">
        <v>268</v>
      </c>
      <c r="W3" s="4" t="e">
        <f ca="1">OFFSET(#REF!,7,MATCH(V3,#REF!,0)+3)</f>
        <v>#REF!</v>
      </c>
      <c r="X3" t="e">
        <f ca="1">VLOOKUP($W3,$Q$4:$S$6,2,FALSE)</f>
        <v>#REF!</v>
      </c>
      <c r="Y3" t="e">
        <f ca="1">VLOOKUP($W3,$Q$4:$S$6,3,FALSE)</f>
        <v>#REF!</v>
      </c>
      <c r="AA3" s="140">
        <v>108001</v>
      </c>
      <c r="AB3" s="140" t="s">
        <v>501</v>
      </c>
    </row>
    <row r="4" spans="1:28">
      <c r="B4" s="3" t="s">
        <v>129</v>
      </c>
      <c r="C4" s="6">
        <v>0.75</v>
      </c>
      <c r="D4" s="7"/>
      <c r="E4" s="8"/>
      <c r="F4" s="9">
        <v>300</v>
      </c>
      <c r="G4" s="9"/>
      <c r="H4" s="9">
        <v>250</v>
      </c>
      <c r="I4" s="9"/>
      <c r="J4" s="13" t="s">
        <v>269</v>
      </c>
      <c r="K4" s="10">
        <v>20</v>
      </c>
      <c r="L4" s="10">
        <v>160</v>
      </c>
      <c r="M4" s="12">
        <f t="shared" si="0"/>
        <v>29.162500000000001</v>
      </c>
      <c r="N4" s="12">
        <f t="shared" ref="N4:N14" si="1">M4*0.2</f>
        <v>5.8325000000000005</v>
      </c>
      <c r="O4" s="651"/>
      <c r="Q4" s="140" t="s">
        <v>177</v>
      </c>
      <c r="R4">
        <v>0.11617063987263899</v>
      </c>
      <c r="S4">
        <v>4.81443589905943</v>
      </c>
      <c r="V4" s="13" t="s">
        <v>269</v>
      </c>
      <c r="W4" s="4" t="e">
        <f ca="1">OFFSET(#REF!,7,MATCH(V4,#REF!,0)+3)</f>
        <v>#REF!</v>
      </c>
      <c r="X4" t="e">
        <f t="shared" ref="X4:X14" ca="1" si="2">VLOOKUP(W4,$Q$4:$S$6,2,FALSE)</f>
        <v>#REF!</v>
      </c>
      <c r="Y4" t="e">
        <f t="shared" ref="Y4:Y14" ca="1" si="3">VLOOKUP($W4,$Q$4:$S$6,3,FALSE)</f>
        <v>#REF!</v>
      </c>
      <c r="AA4" s="140">
        <v>108002</v>
      </c>
      <c r="AB4" s="140" t="s">
        <v>502</v>
      </c>
    </row>
    <row r="5" spans="1:28">
      <c r="B5" s="3" t="s">
        <v>134</v>
      </c>
      <c r="C5" s="6">
        <v>0.5</v>
      </c>
      <c r="D5" s="7"/>
      <c r="E5" s="8"/>
      <c r="F5" s="9">
        <v>350</v>
      </c>
      <c r="G5" s="9"/>
      <c r="H5" s="9">
        <v>200</v>
      </c>
      <c r="I5" s="9"/>
      <c r="J5" s="13" t="s">
        <v>271</v>
      </c>
      <c r="K5" s="10">
        <v>21</v>
      </c>
      <c r="L5" s="10">
        <v>168</v>
      </c>
      <c r="M5" s="12">
        <f t="shared" si="0"/>
        <v>27.773809523809526</v>
      </c>
      <c r="N5" s="12">
        <f t="shared" si="1"/>
        <v>5.5547619047619055</v>
      </c>
      <c r="O5" s="436">
        <v>4666</v>
      </c>
      <c r="Q5" s="140" t="s">
        <v>503</v>
      </c>
      <c r="R5">
        <v>0.11890050677443649</v>
      </c>
      <c r="S5">
        <v>5.88330063507492</v>
      </c>
      <c r="V5" s="13" t="s">
        <v>271</v>
      </c>
      <c r="W5" s="4" t="e">
        <f ca="1">OFFSET(#REF!,7,MATCH(V5,#REF!,0)+3)</f>
        <v>#REF!</v>
      </c>
      <c r="X5" t="e">
        <f t="shared" ca="1" si="2"/>
        <v>#REF!</v>
      </c>
      <c r="Y5" t="e">
        <f t="shared" ca="1" si="3"/>
        <v>#REF!</v>
      </c>
      <c r="AA5" s="140">
        <v>108003</v>
      </c>
      <c r="AB5" s="140" t="s">
        <v>504</v>
      </c>
    </row>
    <row r="6" spans="1:28">
      <c r="B6" s="3" t="s">
        <v>263</v>
      </c>
      <c r="C6" s="6">
        <v>0.25</v>
      </c>
      <c r="D6" s="7"/>
      <c r="E6" s="8"/>
      <c r="F6" s="9">
        <v>350</v>
      </c>
      <c r="G6" s="9"/>
      <c r="H6" s="9">
        <v>200</v>
      </c>
      <c r="I6" s="9"/>
      <c r="J6" s="13" t="s">
        <v>272</v>
      </c>
      <c r="K6" s="10">
        <v>21</v>
      </c>
      <c r="L6" s="10">
        <v>168</v>
      </c>
      <c r="M6" s="12">
        <f t="shared" si="0"/>
        <v>27.773809523809526</v>
      </c>
      <c r="N6" s="12">
        <f t="shared" si="1"/>
        <v>5.5547619047619055</v>
      </c>
      <c r="Q6" s="140" t="s">
        <v>505</v>
      </c>
      <c r="R6">
        <v>7.3029330953797267E-2</v>
      </c>
      <c r="S6">
        <v>8.087213737190913</v>
      </c>
      <c r="V6" s="13" t="s">
        <v>272</v>
      </c>
      <c r="W6" s="4" t="e">
        <f ca="1">OFFSET(#REF!,7,MATCH(V6,#REF!,0)+3)</f>
        <v>#REF!</v>
      </c>
      <c r="X6" t="e">
        <f t="shared" ca="1" si="2"/>
        <v>#REF!</v>
      </c>
      <c r="Y6" t="e">
        <f t="shared" ca="1" si="3"/>
        <v>#REF!</v>
      </c>
      <c r="AA6" s="140">
        <v>108004</v>
      </c>
      <c r="AB6" s="140" t="s">
        <v>506</v>
      </c>
    </row>
    <row r="7" spans="1:28">
      <c r="B7" s="3" t="s">
        <v>136</v>
      </c>
      <c r="C7" s="7"/>
      <c r="D7" s="7"/>
      <c r="E7" s="8"/>
      <c r="F7" s="9">
        <v>350</v>
      </c>
      <c r="G7" s="9"/>
      <c r="H7" s="9">
        <v>200</v>
      </c>
      <c r="I7" s="9"/>
      <c r="J7" s="13" t="s">
        <v>274</v>
      </c>
      <c r="K7" s="10">
        <v>20</v>
      </c>
      <c r="L7" s="10">
        <v>160</v>
      </c>
      <c r="M7" s="12">
        <f t="shared" si="0"/>
        <v>29.162500000000001</v>
      </c>
      <c r="N7" s="12">
        <f t="shared" si="1"/>
        <v>5.8325000000000005</v>
      </c>
      <c r="V7" s="13" t="s">
        <v>274</v>
      </c>
      <c r="W7" s="4" t="e">
        <f ca="1">OFFSET(#REF!,7,MATCH(V7,#REF!,0)+3)</f>
        <v>#REF!</v>
      </c>
      <c r="X7" t="e">
        <f t="shared" ca="1" si="2"/>
        <v>#REF!</v>
      </c>
      <c r="Y7" t="e">
        <f t="shared" ca="1" si="3"/>
        <v>#REF!</v>
      </c>
      <c r="AA7" s="140">
        <v>108013</v>
      </c>
      <c r="AB7" s="140" t="s">
        <v>507</v>
      </c>
    </row>
    <row r="8" spans="1:28">
      <c r="B8" s="652" t="s">
        <v>508</v>
      </c>
      <c r="C8" s="652"/>
      <c r="D8" s="652"/>
      <c r="E8" s="652"/>
      <c r="F8" s="652"/>
      <c r="G8" s="652"/>
      <c r="H8" s="652"/>
      <c r="I8" s="652"/>
      <c r="J8" s="13" t="s">
        <v>276</v>
      </c>
      <c r="K8" s="10">
        <v>20</v>
      </c>
      <c r="L8" s="10">
        <v>160</v>
      </c>
      <c r="M8" s="12">
        <f t="shared" si="0"/>
        <v>29.162500000000001</v>
      </c>
      <c r="N8" s="12">
        <f t="shared" si="1"/>
        <v>5.8325000000000005</v>
      </c>
      <c r="V8" s="13" t="s">
        <v>276</v>
      </c>
      <c r="W8" s="4" t="e">
        <f ca="1">OFFSET(#REF!,7,MATCH(V8,#REF!,0)+3)</f>
        <v>#REF!</v>
      </c>
      <c r="X8" t="e">
        <f t="shared" ca="1" si="2"/>
        <v>#REF!</v>
      </c>
      <c r="Y8" t="e">
        <f t="shared" ca="1" si="3"/>
        <v>#REF!</v>
      </c>
      <c r="AA8" s="140">
        <v>108017</v>
      </c>
      <c r="AB8" s="140" t="s">
        <v>509</v>
      </c>
    </row>
    <row r="9" spans="1:28">
      <c r="B9" s="10" t="s">
        <v>166</v>
      </c>
      <c r="E9" s="8">
        <v>0.16930000000000001</v>
      </c>
      <c r="F9" s="9">
        <v>0.85</v>
      </c>
      <c r="G9" s="9">
        <v>200</v>
      </c>
      <c r="J9" s="13" t="s">
        <v>277</v>
      </c>
      <c r="K9" s="10">
        <v>23</v>
      </c>
      <c r="L9" s="10">
        <v>184</v>
      </c>
      <c r="M9" s="12">
        <f t="shared" ref="M9:M14" si="4">$O$5/L9</f>
        <v>25.358695652173914</v>
      </c>
      <c r="N9" s="12">
        <f t="shared" si="1"/>
        <v>5.071739130434783</v>
      </c>
      <c r="P9" s="145" t="s">
        <v>100</v>
      </c>
      <c r="V9" s="13" t="s">
        <v>277</v>
      </c>
      <c r="W9" s="4" t="e">
        <f ca="1">OFFSET(#REF!,7,MATCH(V9,#REF!,0)+3)</f>
        <v>#REF!</v>
      </c>
      <c r="X9" t="e">
        <f t="shared" ca="1" si="2"/>
        <v>#REF!</v>
      </c>
      <c r="Y9" t="e">
        <f t="shared" ca="1" si="3"/>
        <v>#REF!</v>
      </c>
      <c r="AA9" s="140">
        <v>108023</v>
      </c>
      <c r="AB9" s="140" t="s">
        <v>510</v>
      </c>
    </row>
    <row r="10" spans="1:28">
      <c r="B10" s="10" t="s">
        <v>169</v>
      </c>
      <c r="E10" s="18"/>
      <c r="F10" s="19"/>
      <c r="J10" s="13" t="s">
        <v>278</v>
      </c>
      <c r="K10" s="10">
        <v>20</v>
      </c>
      <c r="L10" s="10">
        <v>160</v>
      </c>
      <c r="M10" s="12">
        <f t="shared" si="4"/>
        <v>29.162500000000001</v>
      </c>
      <c r="N10" s="12">
        <f t="shared" si="1"/>
        <v>5.8325000000000005</v>
      </c>
      <c r="P10" s="4" t="s">
        <v>511</v>
      </c>
      <c r="V10" s="13" t="s">
        <v>278</v>
      </c>
      <c r="W10" s="4" t="e">
        <f ca="1">OFFSET(#REF!,7,MATCH(V10,#REF!,0)+3)</f>
        <v>#REF!</v>
      </c>
      <c r="X10" t="e">
        <f t="shared" ca="1" si="2"/>
        <v>#REF!</v>
      </c>
      <c r="Y10" t="e">
        <f t="shared" ca="1" si="3"/>
        <v>#REF!</v>
      </c>
      <c r="AA10" s="140">
        <v>108025</v>
      </c>
      <c r="AB10" s="140" t="s">
        <v>512</v>
      </c>
    </row>
    <row r="11" spans="1:28">
      <c r="B11" s="10" t="s">
        <v>513</v>
      </c>
      <c r="E11" s="18"/>
      <c r="F11" s="19"/>
      <c r="J11" s="13" t="s">
        <v>132</v>
      </c>
      <c r="K11" s="10">
        <v>22</v>
      </c>
      <c r="L11" s="10">
        <v>176</v>
      </c>
      <c r="M11" s="12">
        <f t="shared" si="4"/>
        <v>26.511363636363637</v>
      </c>
      <c r="N11" s="12">
        <f t="shared" si="1"/>
        <v>5.3022727272727277</v>
      </c>
      <c r="V11" s="13" t="s">
        <v>132</v>
      </c>
      <c r="W11" s="4" t="e">
        <f ca="1">OFFSET(#REF!,7,MATCH(V11,#REF!,0)+3)</f>
        <v>#REF!</v>
      </c>
      <c r="X11" t="e">
        <f t="shared" ca="1" si="2"/>
        <v>#REF!</v>
      </c>
      <c r="Y11" t="e">
        <f t="shared" ca="1" si="3"/>
        <v>#REF!</v>
      </c>
      <c r="AA11" s="140">
        <v>108026</v>
      </c>
      <c r="AB11" s="140" t="s">
        <v>514</v>
      </c>
    </row>
    <row r="12" spans="1:28">
      <c r="B12" s="10"/>
      <c r="E12" s="18"/>
      <c r="F12" s="19"/>
      <c r="J12" s="13" t="s">
        <v>279</v>
      </c>
      <c r="K12" s="10">
        <v>23</v>
      </c>
      <c r="L12" s="10">
        <v>184</v>
      </c>
      <c r="M12" s="12">
        <f t="shared" si="4"/>
        <v>25.358695652173914</v>
      </c>
      <c r="N12" s="12">
        <f t="shared" si="1"/>
        <v>5.071739130434783</v>
      </c>
      <c r="V12" s="13" t="s">
        <v>279</v>
      </c>
      <c r="W12" s="4" t="e">
        <f ca="1">OFFSET(#REF!,7,MATCH(V12,#REF!,0)+3)</f>
        <v>#REF!</v>
      </c>
      <c r="X12" t="e">
        <f t="shared" ca="1" si="2"/>
        <v>#REF!</v>
      </c>
      <c r="Y12" t="e">
        <f t="shared" ca="1" si="3"/>
        <v>#REF!</v>
      </c>
      <c r="AA12" s="140">
        <v>108029</v>
      </c>
      <c r="AB12" s="140" t="s">
        <v>515</v>
      </c>
    </row>
    <row r="13" spans="1:28">
      <c r="J13" s="13" t="s">
        <v>281</v>
      </c>
      <c r="K13" s="10">
        <v>18</v>
      </c>
      <c r="L13" s="10">
        <v>144</v>
      </c>
      <c r="M13" s="12">
        <f t="shared" si="4"/>
        <v>32.402777777777779</v>
      </c>
      <c r="N13" s="12">
        <f t="shared" si="1"/>
        <v>6.4805555555555561</v>
      </c>
      <c r="V13" s="13" t="s">
        <v>281</v>
      </c>
      <c r="W13" s="4" t="e">
        <f ca="1">OFFSET(#REF!,7,MATCH(V13,#REF!,0)+3)</f>
        <v>#REF!</v>
      </c>
      <c r="X13" t="e">
        <f t="shared" ca="1" si="2"/>
        <v>#REF!</v>
      </c>
      <c r="Y13" t="e">
        <f t="shared" ca="1" si="3"/>
        <v>#REF!</v>
      </c>
      <c r="AA13" s="140">
        <v>108036</v>
      </c>
      <c r="AB13" s="140" t="s">
        <v>516</v>
      </c>
    </row>
    <row r="14" spans="1:28">
      <c r="J14" s="13" t="s">
        <v>286</v>
      </c>
      <c r="K14" s="10">
        <v>20</v>
      </c>
      <c r="L14" s="10">
        <v>160</v>
      </c>
      <c r="M14" s="12">
        <f t="shared" si="4"/>
        <v>29.162500000000001</v>
      </c>
      <c r="N14" s="12">
        <f t="shared" si="1"/>
        <v>5.8325000000000005</v>
      </c>
      <c r="V14" s="13" t="s">
        <v>286</v>
      </c>
      <c r="W14" s="4" t="e">
        <f ca="1">OFFSET(#REF!,7,MATCH(V14,#REF!,0)+3)</f>
        <v>#REF!</v>
      </c>
      <c r="X14" t="e">
        <f t="shared" ca="1" si="2"/>
        <v>#REF!</v>
      </c>
      <c r="Y14" t="e">
        <f t="shared" ca="1" si="3"/>
        <v>#REF!</v>
      </c>
      <c r="AA14" s="140">
        <v>108039</v>
      </c>
      <c r="AB14" s="140" t="s">
        <v>517</v>
      </c>
    </row>
    <row r="15" spans="1:28">
      <c r="L15" s="4" t="s">
        <v>518</v>
      </c>
      <c r="M15" s="437">
        <f>SUM(M3:M14)/12</f>
        <v>28.230455107493153</v>
      </c>
      <c r="N15" s="437">
        <f>M15*0.2</f>
        <v>5.6460910214986306</v>
      </c>
      <c r="AA15" s="140">
        <v>108040</v>
      </c>
      <c r="AB15" s="140" t="s">
        <v>519</v>
      </c>
    </row>
    <row r="16" spans="1:28">
      <c r="B16" s="656" t="s">
        <v>520</v>
      </c>
      <c r="C16" s="656"/>
      <c r="D16" s="4" t="s">
        <v>521</v>
      </c>
      <c r="E16"/>
      <c r="F16"/>
      <c r="J16"/>
      <c r="K16"/>
      <c r="L16"/>
      <c r="M16"/>
      <c r="N16"/>
      <c r="AA16" s="140">
        <v>108045</v>
      </c>
      <c r="AB16" s="140" t="s">
        <v>522</v>
      </c>
    </row>
    <row r="17" spans="2:28" ht="30.75" thickBot="1">
      <c r="B17" s="7" t="s">
        <v>288</v>
      </c>
      <c r="C17" s="7">
        <v>3</v>
      </c>
      <c r="D17" s="7" t="s">
        <v>299</v>
      </c>
      <c r="E17">
        <v>4</v>
      </c>
      <c r="F17"/>
      <c r="J17"/>
      <c r="K17"/>
      <c r="L17" s="103" t="s">
        <v>523</v>
      </c>
      <c r="M17" s="104" t="s">
        <v>524</v>
      </c>
      <c r="N17" s="105" t="s">
        <v>525</v>
      </c>
      <c r="AA17" s="140">
        <v>108047</v>
      </c>
      <c r="AB17" s="140" t="s">
        <v>526</v>
      </c>
    </row>
    <row r="18" spans="2:28" ht="15.75" thickBot="1">
      <c r="B18" s="7" t="s">
        <v>289</v>
      </c>
      <c r="C18" s="7">
        <f>C17+2</f>
        <v>5</v>
      </c>
      <c r="D18" s="7" t="s">
        <v>288</v>
      </c>
      <c r="E18">
        <v>6</v>
      </c>
      <c r="F18"/>
      <c r="J18" s="653" t="s">
        <v>527</v>
      </c>
      <c r="K18" s="106" t="s">
        <v>528</v>
      </c>
      <c r="L18" s="107">
        <v>9.7600000000000006E-2</v>
      </c>
      <c r="M18" s="107">
        <v>9.7600000000000006E-2</v>
      </c>
      <c r="N18" s="107">
        <v>9.7600000000000006E-2</v>
      </c>
      <c r="AA18" s="140">
        <v>108050</v>
      </c>
      <c r="AB18" s="140" t="s">
        <v>529</v>
      </c>
    </row>
    <row r="19" spans="2:28" ht="15.75" thickBot="1">
      <c r="B19" s="7" t="s">
        <v>290</v>
      </c>
      <c r="C19" s="7">
        <f t="shared" ref="C19:C28" si="5">C18+2</f>
        <v>7</v>
      </c>
      <c r="D19" s="7" t="s">
        <v>289</v>
      </c>
      <c r="E19">
        <v>8</v>
      </c>
      <c r="F19"/>
      <c r="J19" s="654"/>
      <c r="K19" s="106" t="s">
        <v>530</v>
      </c>
      <c r="L19" s="107">
        <v>1.4999999999999999E-2</v>
      </c>
      <c r="M19" s="108">
        <v>6.5000000000000002E-2</v>
      </c>
      <c r="N19" s="108">
        <v>6.5000000000000002E-2</v>
      </c>
      <c r="AA19" s="21">
        <v>108051</v>
      </c>
      <c r="AB19" s="21" t="s">
        <v>531</v>
      </c>
    </row>
    <row r="20" spans="2:28" ht="15.75" thickBot="1">
      <c r="B20" s="7" t="s">
        <v>291</v>
      </c>
      <c r="C20" s="7">
        <f t="shared" si="5"/>
        <v>9</v>
      </c>
      <c r="D20" s="7" t="s">
        <v>290</v>
      </c>
      <c r="E20">
        <v>10</v>
      </c>
      <c r="F20"/>
      <c r="J20" s="655"/>
      <c r="K20" s="106" t="s">
        <v>532</v>
      </c>
      <c r="L20" s="107">
        <v>2.4500000000000001E-2</v>
      </c>
      <c r="M20" s="109"/>
      <c r="N20" s="109"/>
      <c r="AA20" s="140">
        <v>108053</v>
      </c>
      <c r="AB20" s="140" t="s">
        <v>533</v>
      </c>
    </row>
    <row r="21" spans="2:28" ht="15.75" thickBot="1">
      <c r="B21" s="7" t="s">
        <v>292</v>
      </c>
      <c r="C21" s="7">
        <f t="shared" si="5"/>
        <v>11</v>
      </c>
      <c r="D21" s="7" t="s">
        <v>291</v>
      </c>
      <c r="E21">
        <v>12</v>
      </c>
      <c r="F21"/>
      <c r="J21"/>
      <c r="K21"/>
      <c r="L21" s="110"/>
      <c r="M21" s="110"/>
      <c r="N21" s="110"/>
      <c r="AA21" s="140">
        <v>108054</v>
      </c>
      <c r="AB21" s="140" t="s">
        <v>534</v>
      </c>
    </row>
    <row r="22" spans="2:28" ht="15.75" thickBot="1">
      <c r="B22" s="7" t="s">
        <v>293</v>
      </c>
      <c r="C22" s="7">
        <f t="shared" si="5"/>
        <v>13</v>
      </c>
      <c r="D22" s="7" t="s">
        <v>292</v>
      </c>
      <c r="E22">
        <v>14</v>
      </c>
      <c r="F22"/>
      <c r="J22" s="106" t="s">
        <v>535</v>
      </c>
      <c r="K22" s="106" t="s">
        <v>536</v>
      </c>
      <c r="L22" s="109"/>
      <c r="M22" s="108">
        <v>6.7000000000000002E-3</v>
      </c>
      <c r="N22" s="108">
        <v>6.7000000000000002E-3</v>
      </c>
      <c r="AA22" s="140">
        <v>108055</v>
      </c>
      <c r="AB22" s="140" t="s">
        <v>537</v>
      </c>
    </row>
    <row r="23" spans="2:28" ht="15.75" thickBot="1">
      <c r="B23" s="7" t="s">
        <v>294</v>
      </c>
      <c r="C23" s="7">
        <f t="shared" si="5"/>
        <v>15</v>
      </c>
      <c r="D23" s="7" t="s">
        <v>293</v>
      </c>
      <c r="E23">
        <v>16</v>
      </c>
      <c r="F23"/>
      <c r="J23"/>
      <c r="K23"/>
      <c r="L23" s="110"/>
      <c r="M23" s="110"/>
      <c r="N23" s="110"/>
      <c r="AA23" s="140">
        <v>108056</v>
      </c>
      <c r="AB23" s="140" t="s">
        <v>538</v>
      </c>
    </row>
    <row r="24" spans="2:28" ht="15.75" thickBot="1">
      <c r="B24" s="7" t="s">
        <v>295</v>
      </c>
      <c r="C24" s="7">
        <f t="shared" si="5"/>
        <v>17</v>
      </c>
      <c r="D24" s="7" t="s">
        <v>294</v>
      </c>
      <c r="E24">
        <v>18</v>
      </c>
      <c r="F24"/>
      <c r="J24" s="106" t="s">
        <v>539</v>
      </c>
      <c r="K24" s="106" t="s">
        <v>540</v>
      </c>
      <c r="L24" s="107">
        <v>0.09</v>
      </c>
      <c r="M24" s="109"/>
      <c r="N24" s="109"/>
      <c r="AA24" s="140">
        <v>108058</v>
      </c>
      <c r="AB24" s="140" t="s">
        <v>541</v>
      </c>
    </row>
    <row r="25" spans="2:28" ht="15.75" thickBot="1">
      <c r="B25" s="7" t="s">
        <v>296</v>
      </c>
      <c r="C25" s="7">
        <f t="shared" si="5"/>
        <v>19</v>
      </c>
      <c r="D25" s="7" t="s">
        <v>295</v>
      </c>
      <c r="E25">
        <v>20</v>
      </c>
      <c r="F25"/>
      <c r="J25"/>
      <c r="K25"/>
      <c r="L25" s="110"/>
      <c r="M25" s="110"/>
      <c r="N25" s="110"/>
      <c r="AA25" s="140">
        <v>108060</v>
      </c>
      <c r="AB25" s="140" t="s">
        <v>542</v>
      </c>
    </row>
    <row r="26" spans="2:28" ht="15.75" thickBot="1">
      <c r="B26" s="7" t="s">
        <v>297</v>
      </c>
      <c r="C26" s="7">
        <f t="shared" si="5"/>
        <v>21</v>
      </c>
      <c r="D26" s="7" t="s">
        <v>296</v>
      </c>
      <c r="E26">
        <v>22</v>
      </c>
      <c r="F26"/>
      <c r="J26" s="106" t="s">
        <v>543</v>
      </c>
      <c r="K26" s="106"/>
      <c r="L26" s="109"/>
      <c r="M26" s="107">
        <v>2.4500000000000001E-2</v>
      </c>
      <c r="N26" s="107">
        <v>2.4500000000000001E-2</v>
      </c>
      <c r="AA26" s="140">
        <v>108061</v>
      </c>
      <c r="AB26" s="140" t="s">
        <v>544</v>
      </c>
    </row>
    <row r="27" spans="2:28" ht="15.75" thickBot="1">
      <c r="B27" s="7" t="s">
        <v>298</v>
      </c>
      <c r="C27" s="7">
        <f t="shared" si="5"/>
        <v>23</v>
      </c>
      <c r="D27" s="7" t="s">
        <v>297</v>
      </c>
      <c r="E27">
        <v>24</v>
      </c>
      <c r="F27"/>
      <c r="J27"/>
      <c r="K27"/>
      <c r="L27"/>
      <c r="M27"/>
      <c r="N27"/>
      <c r="AA27" s="140">
        <v>108063</v>
      </c>
      <c r="AB27" s="140" t="s">
        <v>545</v>
      </c>
    </row>
    <row r="28" spans="2:28" ht="30.75" thickBot="1">
      <c r="B28" s="7" t="s">
        <v>299</v>
      </c>
      <c r="C28" s="7">
        <f t="shared" si="5"/>
        <v>25</v>
      </c>
      <c r="D28" s="7" t="s">
        <v>298</v>
      </c>
      <c r="E28">
        <v>26</v>
      </c>
      <c r="F28"/>
      <c r="J28" s="111" t="s">
        <v>546</v>
      </c>
      <c r="K28" s="106"/>
      <c r="L28" s="106"/>
      <c r="M28" s="107">
        <v>1E-3</v>
      </c>
      <c r="N28" s="107">
        <v>1E-3</v>
      </c>
      <c r="AA28" s="140">
        <v>108064</v>
      </c>
      <c r="AB28" s="140" t="s">
        <v>547</v>
      </c>
    </row>
    <row r="29" spans="2:28">
      <c r="J29"/>
      <c r="K29"/>
      <c r="L29"/>
      <c r="M29" s="112">
        <f>SUM(M18:M28)</f>
        <v>0.19480000000000003</v>
      </c>
      <c r="N29" s="112">
        <f>SUM(N18:N28)</f>
        <v>0.19480000000000003</v>
      </c>
      <c r="AA29" s="140">
        <v>108065</v>
      </c>
      <c r="AB29" s="140" t="s">
        <v>548</v>
      </c>
    </row>
    <row r="30" spans="2:28">
      <c r="AA30" s="140">
        <v>108067</v>
      </c>
      <c r="AB30" s="140" t="s">
        <v>549</v>
      </c>
    </row>
    <row r="31" spans="2:28">
      <c r="AA31" s="140">
        <v>108068</v>
      </c>
      <c r="AB31" s="140" t="s">
        <v>550</v>
      </c>
    </row>
    <row r="32" spans="2:28">
      <c r="AA32" s="140">
        <v>108069</v>
      </c>
      <c r="AB32" s="140" t="s">
        <v>551</v>
      </c>
    </row>
    <row r="33" spans="27:28">
      <c r="AA33" s="140">
        <v>108070</v>
      </c>
      <c r="AB33" s="140" t="s">
        <v>552</v>
      </c>
    </row>
    <row r="34" spans="27:28">
      <c r="AA34" s="140">
        <v>108074</v>
      </c>
      <c r="AB34" s="140" t="s">
        <v>553</v>
      </c>
    </row>
    <row r="35" spans="27:28">
      <c r="AA35" s="140">
        <v>108075</v>
      </c>
      <c r="AB35" s="140" t="s">
        <v>554</v>
      </c>
    </row>
    <row r="36" spans="27:28">
      <c r="AA36" s="140">
        <v>108080</v>
      </c>
      <c r="AB36" s="140" t="s">
        <v>555</v>
      </c>
    </row>
    <row r="37" spans="27:28">
      <c r="AA37" s="140">
        <v>108081</v>
      </c>
      <c r="AB37" s="140" t="s">
        <v>556</v>
      </c>
    </row>
    <row r="38" spans="27:28">
      <c r="AA38" s="140">
        <v>108083</v>
      </c>
      <c r="AB38" s="140" t="s">
        <v>557</v>
      </c>
    </row>
    <row r="39" spans="27:28">
      <c r="AA39" s="140">
        <v>108084</v>
      </c>
      <c r="AB39" s="140" t="s">
        <v>558</v>
      </c>
    </row>
    <row r="40" spans="27:28">
      <c r="AA40" s="140">
        <v>108085</v>
      </c>
      <c r="AB40" s="140" t="s">
        <v>559</v>
      </c>
    </row>
    <row r="41" spans="27:28">
      <c r="AA41" s="140">
        <v>108088</v>
      </c>
      <c r="AB41" s="140" t="s">
        <v>560</v>
      </c>
    </row>
    <row r="42" spans="27:28">
      <c r="AA42" s="140">
        <v>108089</v>
      </c>
      <c r="AB42" s="140" t="s">
        <v>561</v>
      </c>
    </row>
    <row r="43" spans="27:28">
      <c r="AA43" s="140">
        <v>108091</v>
      </c>
      <c r="AB43" s="140" t="s">
        <v>562</v>
      </c>
    </row>
    <row r="44" spans="27:28">
      <c r="AA44" s="140">
        <v>108092</v>
      </c>
      <c r="AB44" s="140" t="s">
        <v>563</v>
      </c>
    </row>
    <row r="45" spans="27:28">
      <c r="AA45" s="140">
        <v>108093</v>
      </c>
      <c r="AB45" s="140" t="s">
        <v>564</v>
      </c>
    </row>
    <row r="46" spans="27:28">
      <c r="AA46" s="140">
        <v>108094</v>
      </c>
      <c r="AB46" s="140" t="s">
        <v>565</v>
      </c>
    </row>
    <row r="47" spans="27:28">
      <c r="AA47" s="140">
        <v>108096</v>
      </c>
      <c r="AB47" s="140" t="s">
        <v>566</v>
      </c>
    </row>
    <row r="48" spans="27:28">
      <c r="AA48" s="140">
        <v>108097</v>
      </c>
      <c r="AB48" s="140" t="s">
        <v>567</v>
      </c>
    </row>
    <row r="49" spans="27:28">
      <c r="AA49" s="140">
        <v>108098</v>
      </c>
      <c r="AB49" s="140" t="s">
        <v>568</v>
      </c>
    </row>
    <row r="50" spans="27:28">
      <c r="AA50" s="140">
        <v>108101</v>
      </c>
      <c r="AB50" s="140" t="s">
        <v>569</v>
      </c>
    </row>
    <row r="51" spans="27:28">
      <c r="AA51" s="140">
        <v>108102</v>
      </c>
      <c r="AB51" s="140" t="s">
        <v>570</v>
      </c>
    </row>
    <row r="52" spans="27:28">
      <c r="AA52" s="140">
        <v>108103</v>
      </c>
      <c r="AB52" s="140" t="s">
        <v>571</v>
      </c>
    </row>
    <row r="53" spans="27:28">
      <c r="AA53" s="140">
        <v>108105</v>
      </c>
      <c r="AB53" s="140" t="s">
        <v>572</v>
      </c>
    </row>
    <row r="54" spans="27:28">
      <c r="AA54" s="140">
        <v>108106</v>
      </c>
      <c r="AB54" s="140" t="s">
        <v>573</v>
      </c>
    </row>
    <row r="55" spans="27:28">
      <c r="AA55" s="140">
        <v>108107</v>
      </c>
      <c r="AB55" s="140" t="s">
        <v>574</v>
      </c>
    </row>
    <row r="56" spans="27:28">
      <c r="AA56" s="140">
        <v>108109</v>
      </c>
      <c r="AB56" s="140" t="s">
        <v>575</v>
      </c>
    </row>
    <row r="57" spans="27:28">
      <c r="AA57" s="140">
        <v>108110</v>
      </c>
      <c r="AB57" s="140" t="s">
        <v>576</v>
      </c>
    </row>
    <row r="58" spans="27:28">
      <c r="AA58" s="140">
        <v>108111</v>
      </c>
      <c r="AB58" s="140" t="s">
        <v>577</v>
      </c>
    </row>
    <row r="59" spans="27:28">
      <c r="AA59" s="140">
        <v>108112</v>
      </c>
      <c r="AB59" s="140" t="s">
        <v>578</v>
      </c>
    </row>
    <row r="60" spans="27:28">
      <c r="AA60" s="140">
        <v>108113</v>
      </c>
      <c r="AB60" s="140" t="s">
        <v>579</v>
      </c>
    </row>
    <row r="61" spans="27:28">
      <c r="AA61" s="140">
        <v>108115</v>
      </c>
      <c r="AB61" s="140" t="s">
        <v>580</v>
      </c>
    </row>
    <row r="62" spans="27:28">
      <c r="AA62" s="140">
        <v>108116</v>
      </c>
      <c r="AB62" s="140" t="s">
        <v>581</v>
      </c>
    </row>
    <row r="63" spans="27:28">
      <c r="AA63" s="140">
        <v>108117</v>
      </c>
      <c r="AB63" s="140" t="s">
        <v>582</v>
      </c>
    </row>
    <row r="64" spans="27:28">
      <c r="AA64" s="140">
        <v>108118</v>
      </c>
      <c r="AB64" s="140" t="s">
        <v>583</v>
      </c>
    </row>
    <row r="65" spans="27:28">
      <c r="AA65" s="140">
        <v>108119</v>
      </c>
      <c r="AB65" s="140" t="s">
        <v>584</v>
      </c>
    </row>
    <row r="66" spans="27:28">
      <c r="AA66" s="140">
        <v>108120</v>
      </c>
      <c r="AB66" s="140" t="s">
        <v>585</v>
      </c>
    </row>
    <row r="67" spans="27:28">
      <c r="AA67" s="140">
        <v>108121</v>
      </c>
      <c r="AB67" s="140" t="s">
        <v>586</v>
      </c>
    </row>
    <row r="68" spans="27:28">
      <c r="AA68" s="140">
        <v>108128</v>
      </c>
      <c r="AB68" s="140" t="s">
        <v>587</v>
      </c>
    </row>
    <row r="69" spans="27:28">
      <c r="AA69" s="140">
        <v>108131</v>
      </c>
      <c r="AB69" s="140" t="s">
        <v>588</v>
      </c>
    </row>
    <row r="70" spans="27:28">
      <c r="AA70" s="140">
        <v>108132</v>
      </c>
      <c r="AB70" s="140" t="s">
        <v>589</v>
      </c>
    </row>
    <row r="71" spans="27:28">
      <c r="AA71" s="140">
        <v>108133</v>
      </c>
      <c r="AB71" s="140" t="s">
        <v>590</v>
      </c>
    </row>
    <row r="72" spans="27:28">
      <c r="AA72" s="140">
        <v>108136</v>
      </c>
      <c r="AB72" s="140" t="s">
        <v>591</v>
      </c>
    </row>
    <row r="73" spans="27:28">
      <c r="AA73" s="140">
        <v>108137</v>
      </c>
      <c r="AB73" s="140" t="s">
        <v>592</v>
      </c>
    </row>
    <row r="74" spans="27:28">
      <c r="AA74" s="140">
        <v>108141</v>
      </c>
      <c r="AB74" s="140"/>
    </row>
    <row r="75" spans="27:28">
      <c r="AA75" s="21">
        <v>108144</v>
      </c>
      <c r="AB75" s="21" t="s">
        <v>593</v>
      </c>
    </row>
    <row r="76" spans="27:28">
      <c r="AA76" s="21">
        <v>108145</v>
      </c>
      <c r="AB76" s="21" t="s">
        <v>594</v>
      </c>
    </row>
    <row r="77" spans="27:28">
      <c r="AA77" s="21">
        <v>108146</v>
      </c>
      <c r="AB77" s="21" t="s">
        <v>595</v>
      </c>
    </row>
    <row r="78" spans="27:28">
      <c r="AA78" s="21">
        <v>108148</v>
      </c>
      <c r="AB78" s="21" t="s">
        <v>596</v>
      </c>
    </row>
    <row r="79" spans="27:28">
      <c r="AA79" s="21">
        <v>108149</v>
      </c>
      <c r="AB79" s="21" t="s">
        <v>597</v>
      </c>
    </row>
    <row r="80" spans="27:28">
      <c r="AA80" s="21">
        <v>108150</v>
      </c>
      <c r="AB80" s="21" t="s">
        <v>598</v>
      </c>
    </row>
    <row r="81" spans="27:28">
      <c r="AA81" s="21">
        <v>108151</v>
      </c>
      <c r="AB81" s="21" t="s">
        <v>599</v>
      </c>
    </row>
    <row r="82" spans="27:28">
      <c r="AA82" s="21">
        <v>108152</v>
      </c>
      <c r="AB82" s="21" t="s">
        <v>600</v>
      </c>
    </row>
    <row r="83" spans="27:28">
      <c r="AA83" s="21">
        <v>108153</v>
      </c>
      <c r="AB83" s="21" t="s">
        <v>601</v>
      </c>
    </row>
    <row r="84" spans="27:28">
      <c r="AA84" s="21">
        <v>108155</v>
      </c>
      <c r="AB84" s="21" t="s">
        <v>602</v>
      </c>
    </row>
    <row r="85" spans="27:28">
      <c r="AA85" s="21">
        <v>108156</v>
      </c>
      <c r="AB85" s="21" t="s">
        <v>603</v>
      </c>
    </row>
    <row r="86" spans="27:28">
      <c r="AA86" s="21">
        <v>108157</v>
      </c>
      <c r="AB86" s="21" t="s">
        <v>604</v>
      </c>
    </row>
    <row r="87" spans="27:28">
      <c r="AA87" s="21">
        <v>108158</v>
      </c>
      <c r="AB87" s="21" t="s">
        <v>605</v>
      </c>
    </row>
    <row r="88" spans="27:28">
      <c r="AA88" s="21">
        <v>108160</v>
      </c>
      <c r="AB88" s="21" t="s">
        <v>606</v>
      </c>
    </row>
    <row r="89" spans="27:28">
      <c r="AA89" s="21">
        <v>108161</v>
      </c>
      <c r="AB89" s="21" t="s">
        <v>607</v>
      </c>
    </row>
    <row r="90" spans="27:28">
      <c r="AA90" s="21">
        <v>108163</v>
      </c>
      <c r="AB90" s="21" t="s">
        <v>608</v>
      </c>
    </row>
    <row r="91" spans="27:28">
      <c r="AA91" s="21">
        <v>108164</v>
      </c>
      <c r="AB91" s="21" t="s">
        <v>609</v>
      </c>
    </row>
    <row r="92" spans="27:28">
      <c r="AA92" s="21">
        <v>108165</v>
      </c>
      <c r="AB92" s="21" t="s">
        <v>610</v>
      </c>
    </row>
    <row r="93" spans="27:28">
      <c r="AA93" s="21">
        <v>108166</v>
      </c>
      <c r="AB93" s="21" t="s">
        <v>611</v>
      </c>
    </row>
    <row r="94" spans="27:28">
      <c r="AA94" s="21">
        <v>108169</v>
      </c>
      <c r="AB94" s="21" t="s">
        <v>612</v>
      </c>
    </row>
    <row r="95" spans="27:28">
      <c r="AA95" s="21">
        <v>108170</v>
      </c>
      <c r="AB95" s="21" t="s">
        <v>613</v>
      </c>
    </row>
    <row r="96" spans="27:28">
      <c r="AA96" s="21">
        <v>108171</v>
      </c>
      <c r="AB96" s="21" t="s">
        <v>614</v>
      </c>
    </row>
  </sheetData>
  <sortState xmlns:xlrd2="http://schemas.microsoft.com/office/spreadsheetml/2017/richdata2" ref="AA3:AB75">
    <sortCondition ref="AA3:AA75"/>
  </sortState>
  <mergeCells count="6">
    <mergeCell ref="O3:O4"/>
    <mergeCell ref="A1:I1"/>
    <mergeCell ref="B8:I8"/>
    <mergeCell ref="J1:N1"/>
    <mergeCell ref="J18:J20"/>
    <mergeCell ref="B16:C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468C9CFCAF9F4B9B5B721F7F3F19A5" ma:contentTypeVersion="19" ma:contentTypeDescription="Create a new document." ma:contentTypeScope="" ma:versionID="b327bfeb1dbb00f322d6e1bddc3df191">
  <xsd:schema xmlns:xsd="http://www.w3.org/2001/XMLSchema" xmlns:xs="http://www.w3.org/2001/XMLSchema" xmlns:p="http://schemas.microsoft.com/office/2006/metadata/properties" xmlns:ns2="fd3d9e7e-96a6-49b0-b84c-48e53f1654bf" xmlns:ns3="49de8025-38a4-43f4-8ec1-7c16af1d3a56" xmlns:ns4="624666c2-dd3c-4134-891a-0ef3365400b1" targetNamespace="http://schemas.microsoft.com/office/2006/metadata/properties" ma:root="true" ma:fieldsID="b4bd08a8cecebaa781b6560807a935d5" ns2:_="" ns3:_="" ns4:_="">
    <xsd:import namespace="fd3d9e7e-96a6-49b0-b84c-48e53f1654bf"/>
    <xsd:import namespace="49de8025-38a4-43f4-8ec1-7c16af1d3a56"/>
    <xsd:import namespace="624666c2-dd3c-4134-891a-0ef336540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Wrzesien" minOccurs="0"/>
                <xsd:element ref="ns2:wrzesien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d9e7e-96a6-49b0-b84c-48e53f165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3ff6daa-0916-4f6e-8903-ed42441947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Wrzesien" ma:index="24" nillable="true" ma:displayName="Wrzesien" ma:format="Dropdown" ma:internalName="Wrzesien">
      <xsd:simpleType>
        <xsd:restriction base="dms:Text">
          <xsd:maxLength value="255"/>
        </xsd:restriction>
      </xsd:simpleType>
    </xsd:element>
    <xsd:element name="wrzesien0" ma:index="25" nillable="true" ma:displayName="wrzesien" ma:format="Dropdown" ma:internalName="wrzesien0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de8025-38a4-43f4-8ec1-7c16af1d3a5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666c2-dd3c-4134-891a-0ef3365400b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e869cc3-03b1-407f-941c-bb52ea68a6f5}" ma:internalName="TaxCatchAll" ma:showField="CatchAllData" ma:web="49de8025-38a4-43f4-8ec1-7c16af1d3a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3d9e7e-96a6-49b0-b84c-48e53f1654bf">
      <Terms xmlns="http://schemas.microsoft.com/office/infopath/2007/PartnerControls"/>
    </lcf76f155ced4ddcb4097134ff3c332f>
    <Wrzesien xmlns="fd3d9e7e-96a6-49b0-b84c-48e53f1654bf" xsi:nil="true"/>
    <wrzesien0 xmlns="fd3d9e7e-96a6-49b0-b84c-48e53f1654bf" xsi:nil="true"/>
    <TaxCatchAll xmlns="624666c2-dd3c-4134-891a-0ef3365400b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CAF5FF-7F57-44C7-BF36-2E4CE755EFA6}"/>
</file>

<file path=customXml/itemProps2.xml><?xml version="1.0" encoding="utf-8"?>
<ds:datastoreItem xmlns:ds="http://schemas.openxmlformats.org/officeDocument/2006/customXml" ds:itemID="{E9BC8778-6BA0-4023-ABA1-FD6044108164}"/>
</file>

<file path=customXml/itemProps3.xml><?xml version="1.0" encoding="utf-8"?>
<ds:datastoreItem xmlns:ds="http://schemas.openxmlformats.org/officeDocument/2006/customXml" ds:itemID="{B4FAEB88-2B53-4EC2-A419-3AA0326531F5}"/>
</file>

<file path=customXml/itemProps4.xml><?xml version="1.0" encoding="utf-8"?>
<ds:datastoreItem xmlns:ds="http://schemas.openxmlformats.org/officeDocument/2006/customXml" ds:itemID="{FAA3955B-377D-49B6-ABD2-7A09ABA4FF02}"/>
</file>

<file path=docMetadata/LabelInfo.xml><?xml version="1.0" encoding="utf-8"?>
<clbl:labelList xmlns:clbl="http://schemas.microsoft.com/office/2020/mipLabelMetadata">
  <clbl:label id="{4914a111-b226-4fc7-ad6c-b6ad3019fd31}" enabled="1" method="Standard" siteId="{0d0536cd-2abd-411b-a46e-b436075efea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Piotr Gajewski</dc:creator>
  <cp:keywords/>
  <dc:description/>
  <cp:lastModifiedBy>Apel, Dawid</cp:lastModifiedBy>
  <cp:revision>1</cp:revision>
  <dcterms:created xsi:type="dcterms:W3CDTF">2018-03-15T15:50:01Z</dcterms:created>
  <dcterms:modified xsi:type="dcterms:W3CDTF">2026-08-04T08:30:45Z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SBX PL - COL Calculator - master_beta_v2.xlsx</vt:lpwstr>
  </property>
  <property fmtid="{D5CDD505-2E9C-101B-9397-08002B2CF9AE}" pid="3" name="ContentTypeId">
    <vt:lpwstr>0x01010082468C9CFCAF9F4B9B5B721F7F3F19A5</vt:lpwstr>
  </property>
  <property fmtid="{D5CDD505-2E9C-101B-9397-08002B2CF9AE}" pid="4" name="MediaServiceImageTags">
    <vt:lpwstr/>
  </property>
</Properties>
</file>