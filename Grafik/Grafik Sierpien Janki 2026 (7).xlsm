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502" codeName="{00000000-0000-0000-0000-000000000000}"/>
  <workbookPr filterPrivacy="1" updateLinks="always" codeName="Ten_skoroszyt" defaultThemeVersion="124226"/>
  <xr:revisionPtr revIDLastSave="123" documentId="8_{2C9F4D57-B9B8-453F-9734-A9C92F17B9C3}" xr6:coauthVersionLast="47" xr6:coauthVersionMax="47" xr10:uidLastSave="{30E96383-77C3-4F32-AFD4-A7A6F202F551}"/>
  <bookViews>
    <workbookView xWindow="0" yWindow="660" windowWidth="29400" windowHeight="18460" firstSheet="1" activeTab="1" xr2:uid="{00000000-000D-0000-FFFF-FFFF00000000}"/>
  </bookViews>
  <sheets>
    <sheet name="Instr" sheetId="14" r:id="rId1"/>
    <sheet name="Schedule" sheetId="1" r:id="rId2"/>
    <sheet name="Schedules" sheetId="12" r:id="rId3"/>
    <sheet name="Calendar" sheetId="10" state="hidden" r:id="rId4"/>
    <sheet name="T" sheetId="7" state="hidden" r:id="rId5"/>
    <sheet name="Employees" sheetId="17" state="hidden" r:id="rId6"/>
    <sheet name="V" sheetId="3" state="hidden" r:id="rId7"/>
    <sheet name="Lists" sheetId="6" state="hidden" r:id="rId8"/>
    <sheet name="YK" sheetId="4" state="hidden" r:id="rId9"/>
    <sheet name="TOR" sheetId="23" r:id="rId10"/>
    <sheet name="Admin" sheetId="5" r:id="rId11"/>
  </sheets>
  <definedNames>
    <definedName name="_xlnm._FilterDatabase" localSheetId="1" hidden="1">Schedule!$A$1:$AW$25</definedName>
    <definedName name="ADT">#REF!</definedName>
    <definedName name="dayjob">Lists!$K$1:$K$7</definedName>
    <definedName name="employes">Employees!$A$1:$A$40</definedName>
    <definedName name="EnabledEmpl">Employees!$C$1:$C$20</definedName>
    <definedName name="februaryday">Lists!$W$1:$W$2</definedName>
    <definedName name="jesno">Lists!$Q$1:$Q$2</definedName>
    <definedName name="languages">Lists!$C$1:$C$6</definedName>
    <definedName name="manager">Lists!$J$1:$J$12</definedName>
    <definedName name="managers">Lists!$J$1:$J$12</definedName>
    <definedName name="months">Lists!$F$1:$F$12</definedName>
    <definedName name="months_cal">Calendar!$G$35:$G$69</definedName>
    <definedName name="NCtask">Lists!$O$34:$O$73</definedName>
    <definedName name="period">#REF!</definedName>
    <definedName name="pozycja">#REF!</definedName>
    <definedName name="_xlnm.Print_Area" localSheetId="1">Schedule!$A$1:$AW$75</definedName>
    <definedName name="shfts">Admin!$F$3:$F$45</definedName>
    <definedName name="years">Lists!$A$1:$A$102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6" i="12" l="1"/>
  <c r="J126" i="12"/>
  <c r="C143" i="12"/>
  <c r="J143" i="12"/>
  <c r="J5" i="5"/>
  <c r="J6" i="5"/>
  <c r="D5" i="10"/>
  <c r="J7" i="5"/>
  <c r="D6" i="10"/>
  <c r="J8" i="5"/>
  <c r="D7" i="10"/>
  <c r="J9" i="5"/>
  <c r="L9" i="5"/>
  <c r="F8" i="10"/>
  <c r="W16" i="23"/>
  <c r="J10" i="5"/>
  <c r="D9" i="10"/>
  <c r="J11" i="5"/>
  <c r="D10" i="10"/>
  <c r="J12" i="5"/>
  <c r="L12" i="5"/>
  <c r="F11" i="10"/>
  <c r="W29" i="23"/>
  <c r="J13" i="5"/>
  <c r="J14" i="5"/>
  <c r="L14" i="5"/>
  <c r="F13" i="10"/>
  <c r="P42" i="23"/>
  <c r="J15" i="5"/>
  <c r="D14" i="10"/>
  <c r="J4" i="5"/>
  <c r="L4" i="5"/>
  <c r="F3" i="10"/>
  <c r="I3" i="23"/>
  <c r="L5" i="5"/>
  <c r="F4" i="10"/>
  <c r="P3" i="23"/>
  <c r="L8" i="5"/>
  <c r="F7" i="10"/>
  <c r="P16" i="23"/>
  <c r="L10" i="5"/>
  <c r="F9" i="10"/>
  <c r="I29" i="23"/>
  <c r="L11" i="5"/>
  <c r="F10" i="10"/>
  <c r="P29" i="23"/>
  <c r="L13" i="5"/>
  <c r="B17" i="4"/>
  <c r="H80" i="1"/>
  <c r="C80" i="1"/>
  <c r="H79" i="1"/>
  <c r="C79" i="1"/>
  <c r="H78" i="1"/>
  <c r="C78" i="1"/>
  <c r="H77" i="1"/>
  <c r="C77" i="1"/>
  <c r="H76" i="1"/>
  <c r="C76" i="1"/>
  <c r="C75" i="1"/>
  <c r="C71" i="1"/>
  <c r="H71" i="1"/>
  <c r="C72" i="1"/>
  <c r="H72" i="1"/>
  <c r="C73" i="1"/>
  <c r="H73" i="1"/>
  <c r="C74" i="1"/>
  <c r="H74" i="1"/>
  <c r="H75" i="1"/>
  <c r="O40" i="6"/>
  <c r="N40" i="6"/>
  <c r="O39" i="6"/>
  <c r="N39" i="6"/>
  <c r="O38" i="6"/>
  <c r="N38" i="6"/>
  <c r="O37" i="6"/>
  <c r="N37" i="6"/>
  <c r="O36" i="6"/>
  <c r="N36" i="6"/>
  <c r="T50" i="1"/>
  <c r="P38" i="6"/>
  <c r="S38" i="6"/>
  <c r="T33" i="1"/>
  <c r="P21" i="6"/>
  <c r="S21" i="6"/>
  <c r="T52" i="1"/>
  <c r="P40" i="6"/>
  <c r="S40" i="6"/>
  <c r="T51" i="1"/>
  <c r="P39" i="6"/>
  <c r="S39" i="6"/>
  <c r="T49" i="1"/>
  <c r="P37" i="6"/>
  <c r="S37" i="6"/>
  <c r="T48" i="1"/>
  <c r="P36" i="6"/>
  <c r="S36" i="6"/>
  <c r="T47" i="1"/>
  <c r="P35" i="6"/>
  <c r="S35" i="6"/>
  <c r="Q52" i="1"/>
  <c r="M52" i="1"/>
  <c r="Q51" i="1"/>
  <c r="M51" i="1"/>
  <c r="Q50" i="1"/>
  <c r="M50" i="1"/>
  <c r="Q49" i="1"/>
  <c r="M49" i="1"/>
  <c r="Q48" i="1"/>
  <c r="M48" i="1"/>
  <c r="M33" i="1"/>
  <c r="H52" i="1"/>
  <c r="C52" i="1"/>
  <c r="H51" i="1"/>
  <c r="C51" i="1"/>
  <c r="H50" i="1"/>
  <c r="C50" i="1"/>
  <c r="H49" i="1"/>
  <c r="C49" i="1"/>
  <c r="H48" i="1"/>
  <c r="C48" i="1"/>
  <c r="C47" i="1"/>
  <c r="C60" i="1"/>
  <c r="O16" i="6"/>
  <c r="O17" i="6"/>
  <c r="O18" i="6"/>
  <c r="O19" i="6"/>
  <c r="O20" i="6"/>
  <c r="O15" i="6"/>
  <c r="N16" i="6"/>
  <c r="N17" i="6"/>
  <c r="N18" i="6"/>
  <c r="N19" i="6"/>
  <c r="N20" i="6"/>
  <c r="O21" i="6"/>
  <c r="H61" i="1"/>
  <c r="H47" i="1"/>
  <c r="H60" i="1"/>
  <c r="C61" i="1"/>
  <c r="C62" i="1"/>
  <c r="C63" i="1"/>
  <c r="C64" i="1"/>
  <c r="C65" i="1"/>
  <c r="C66" i="1"/>
  <c r="C67" i="1"/>
  <c r="C68" i="1"/>
  <c r="C69" i="1"/>
  <c r="C70" i="1"/>
  <c r="C81" i="1"/>
  <c r="H62" i="1"/>
  <c r="H63" i="1"/>
  <c r="H64" i="1"/>
  <c r="H65" i="1"/>
  <c r="H66" i="1"/>
  <c r="H67" i="1"/>
  <c r="H68" i="1"/>
  <c r="H69" i="1"/>
  <c r="H70" i="1"/>
  <c r="Q47" i="1"/>
  <c r="M47" i="1"/>
  <c r="Q46" i="1"/>
  <c r="M46" i="1"/>
  <c r="Q45" i="1"/>
  <c r="M45" i="1"/>
  <c r="Q44" i="1"/>
  <c r="M44" i="1"/>
  <c r="Q43" i="1"/>
  <c r="M43" i="1"/>
  <c r="Q42" i="1"/>
  <c r="M42" i="1"/>
  <c r="Q41" i="1"/>
  <c r="M41" i="1"/>
  <c r="Q40" i="1"/>
  <c r="M40" i="1"/>
  <c r="Q39" i="1"/>
  <c r="M39" i="1"/>
  <c r="Q38" i="1"/>
  <c r="M38" i="1"/>
  <c r="Q37" i="1"/>
  <c r="M37" i="1"/>
  <c r="Q36" i="1"/>
  <c r="M36" i="1"/>
  <c r="Q35" i="1"/>
  <c r="M35" i="1"/>
  <c r="Q34" i="1"/>
  <c r="M34" i="1"/>
  <c r="Q33" i="1"/>
  <c r="H33" i="1"/>
  <c r="H46" i="1"/>
  <c r="H59" i="1"/>
  <c r="H45" i="1"/>
  <c r="H58" i="1"/>
  <c r="H44" i="1"/>
  <c r="H57" i="1"/>
  <c r="H43" i="1"/>
  <c r="H56" i="1"/>
  <c r="H42" i="1"/>
  <c r="H55" i="1"/>
  <c r="H41" i="1"/>
  <c r="H54" i="1"/>
  <c r="H40" i="1"/>
  <c r="H39" i="1"/>
  <c r="H38" i="1"/>
  <c r="H37" i="1"/>
  <c r="H36" i="1"/>
  <c r="H35" i="1"/>
  <c r="H34" i="1"/>
  <c r="C46" i="1"/>
  <c r="C59" i="1"/>
  <c r="C45" i="1"/>
  <c r="C58" i="1"/>
  <c r="C44" i="1"/>
  <c r="C57" i="1"/>
  <c r="C43" i="1"/>
  <c r="C56" i="1"/>
  <c r="C42" i="1"/>
  <c r="C55" i="1"/>
  <c r="C41" i="1"/>
  <c r="C54" i="1"/>
  <c r="C40" i="1"/>
  <c r="C39" i="1"/>
  <c r="C38" i="1"/>
  <c r="C37" i="1"/>
  <c r="C36" i="1"/>
  <c r="C35" i="1"/>
  <c r="C34" i="1"/>
  <c r="C33" i="1"/>
  <c r="P43" i="6"/>
  <c r="S43" i="6"/>
  <c r="P42" i="6"/>
  <c r="S42" i="6"/>
  <c r="P41" i="6"/>
  <c r="S41" i="6"/>
  <c r="O2" i="6"/>
  <c r="O3" i="6"/>
  <c r="AU2" i="12"/>
  <c r="AU147" i="12"/>
  <c r="O4" i="6"/>
  <c r="AV2" i="12"/>
  <c r="O5" i="6"/>
  <c r="AW2" i="12"/>
  <c r="O6" i="6"/>
  <c r="AX2" i="12"/>
  <c r="O7" i="6"/>
  <c r="AY2" i="12"/>
  <c r="O8" i="6"/>
  <c r="AZ2" i="12"/>
  <c r="O9" i="6"/>
  <c r="BA2" i="12"/>
  <c r="BA68" i="12"/>
  <c r="O10" i="6"/>
  <c r="BB2" i="12"/>
  <c r="O11" i="6"/>
  <c r="O12" i="6"/>
  <c r="O13" i="6"/>
  <c r="O14" i="6"/>
  <c r="O22" i="6"/>
  <c r="O23" i="6"/>
  <c r="O24" i="6"/>
  <c r="O25" i="6"/>
  <c r="BC2" i="12"/>
  <c r="O26" i="6"/>
  <c r="BD2" i="12"/>
  <c r="O27" i="6"/>
  <c r="BE2" i="12"/>
  <c r="O28" i="6"/>
  <c r="BF2" i="12"/>
  <c r="O29" i="6"/>
  <c r="BG2" i="12"/>
  <c r="BG68" i="12"/>
  <c r="O30" i="6"/>
  <c r="BH2" i="12"/>
  <c r="O31" i="6"/>
  <c r="BI2" i="12"/>
  <c r="O32" i="6"/>
  <c r="O33" i="6"/>
  <c r="BK2" i="12"/>
  <c r="BK146" i="12"/>
  <c r="O34" i="6"/>
  <c r="BL2" i="12"/>
  <c r="O35" i="6"/>
  <c r="BM2" i="12"/>
  <c r="O41" i="6"/>
  <c r="O42" i="6"/>
  <c r="BO2" i="12"/>
  <c r="BO61" i="12"/>
  <c r="O43" i="6"/>
  <c r="N2" i="6"/>
  <c r="N3" i="6"/>
  <c r="N4" i="6"/>
  <c r="N5" i="6"/>
  <c r="N6" i="6"/>
  <c r="N7" i="6"/>
  <c r="N8" i="6"/>
  <c r="N9" i="6"/>
  <c r="N10" i="6"/>
  <c r="N11" i="6"/>
  <c r="N12" i="6"/>
  <c r="N13" i="6"/>
  <c r="N14" i="6"/>
  <c r="N15" i="6"/>
  <c r="N21" i="6"/>
  <c r="N22" i="6"/>
  <c r="N23" i="6"/>
  <c r="N24" i="6"/>
  <c r="N25" i="6"/>
  <c r="N26" i="6"/>
  <c r="N27" i="6"/>
  <c r="N28" i="6"/>
  <c r="N29" i="6"/>
  <c r="N30" i="6"/>
  <c r="N31" i="6"/>
  <c r="N32" i="6"/>
  <c r="N33" i="6"/>
  <c r="N34" i="6"/>
  <c r="N35" i="6"/>
  <c r="N41" i="6"/>
  <c r="N42" i="6"/>
  <c r="N43" i="6"/>
  <c r="D36" i="10"/>
  <c r="D37" i="10"/>
  <c r="D38" i="10"/>
  <c r="D39" i="10"/>
  <c r="D40" i="10"/>
  <c r="D41" i="10"/>
  <c r="D42" i="10"/>
  <c r="D43" i="10"/>
  <c r="D44" i="10"/>
  <c r="D45" i="10"/>
  <c r="D46" i="10"/>
  <c r="D47" i="10"/>
  <c r="D48" i="10"/>
  <c r="D49" i="10"/>
  <c r="D50" i="10"/>
  <c r="D51" i="10"/>
  <c r="D52" i="10"/>
  <c r="D53" i="10"/>
  <c r="D54" i="10"/>
  <c r="D55" i="10"/>
  <c r="D56" i="10"/>
  <c r="D57" i="10"/>
  <c r="D58" i="10"/>
  <c r="D59" i="10"/>
  <c r="D60" i="10"/>
  <c r="D61" i="10"/>
  <c r="D62" i="10"/>
  <c r="D63" i="10"/>
  <c r="D64" i="10"/>
  <c r="D65" i="10"/>
  <c r="D66" i="10"/>
  <c r="D67" i="10"/>
  <c r="D68" i="10"/>
  <c r="D69" i="10"/>
  <c r="B36" i="10"/>
  <c r="G36" i="10"/>
  <c r="B37" i="10"/>
  <c r="G37" i="10"/>
  <c r="B38" i="10"/>
  <c r="B39" i="10"/>
  <c r="I23" i="4"/>
  <c r="J23" i="4"/>
  <c r="B40" i="10"/>
  <c r="G40" i="10"/>
  <c r="B41" i="10"/>
  <c r="I25" i="4"/>
  <c r="J25" i="4"/>
  <c r="B42" i="10"/>
  <c r="I26" i="4"/>
  <c r="J26" i="4"/>
  <c r="B43" i="10"/>
  <c r="G43" i="10"/>
  <c r="B44" i="10"/>
  <c r="G44" i="10"/>
  <c r="B45" i="10"/>
  <c r="I29" i="4"/>
  <c r="J29" i="4"/>
  <c r="B46" i="10"/>
  <c r="G46" i="10"/>
  <c r="B47" i="10"/>
  <c r="G47" i="10"/>
  <c r="B48" i="10"/>
  <c r="G48" i="10"/>
  <c r="B49" i="10"/>
  <c r="G49" i="10"/>
  <c r="I33" i="4"/>
  <c r="J33" i="4"/>
  <c r="B50" i="10"/>
  <c r="I34" i="4"/>
  <c r="J34" i="4"/>
  <c r="B51" i="10"/>
  <c r="I35" i="4"/>
  <c r="J35" i="4"/>
  <c r="B52" i="10"/>
  <c r="I36" i="4"/>
  <c r="J36" i="4"/>
  <c r="B53" i="10"/>
  <c r="G53" i="10"/>
  <c r="B54" i="10"/>
  <c r="G54" i="10"/>
  <c r="I38" i="4"/>
  <c r="J38" i="4"/>
  <c r="B55" i="10"/>
  <c r="G55" i="10"/>
  <c r="B56" i="10"/>
  <c r="G56" i="10"/>
  <c r="B57" i="10"/>
  <c r="I41" i="4"/>
  <c r="J41" i="4"/>
  <c r="B58" i="10"/>
  <c r="G58" i="10"/>
  <c r="B59" i="10"/>
  <c r="B60" i="10"/>
  <c r="G60" i="10"/>
  <c r="B61" i="10"/>
  <c r="I45" i="4"/>
  <c r="J45" i="4"/>
  <c r="G61" i="10"/>
  <c r="B62" i="10"/>
  <c r="I46" i="4"/>
  <c r="J46" i="4"/>
  <c r="B63" i="10"/>
  <c r="G63" i="10"/>
  <c r="B64" i="10"/>
  <c r="B65" i="10"/>
  <c r="G65" i="10"/>
  <c r="B66" i="10"/>
  <c r="G66" i="10"/>
  <c r="I50" i="4"/>
  <c r="J50" i="4"/>
  <c r="B67" i="10"/>
  <c r="I51" i="4"/>
  <c r="J51" i="4"/>
  <c r="B68" i="10"/>
  <c r="B69" i="10"/>
  <c r="G69" i="10"/>
  <c r="D35" i="10"/>
  <c r="B35" i="10"/>
  <c r="I19" i="4"/>
  <c r="J19" i="4"/>
  <c r="G35" i="10"/>
  <c r="D20" i="10"/>
  <c r="D21" i="10"/>
  <c r="D22" i="10"/>
  <c r="D23" i="10"/>
  <c r="D24" i="10"/>
  <c r="D25" i="10"/>
  <c r="D26" i="10"/>
  <c r="D27" i="10"/>
  <c r="D28" i="10"/>
  <c r="D29" i="10"/>
  <c r="D30" i="10"/>
  <c r="D31" i="10"/>
  <c r="B20" i="10"/>
  <c r="I4" i="4"/>
  <c r="J4" i="4"/>
  <c r="B21" i="10"/>
  <c r="I5" i="4"/>
  <c r="J5" i="4"/>
  <c r="B22" i="10"/>
  <c r="I6" i="4"/>
  <c r="J6" i="4"/>
  <c r="B23" i="10"/>
  <c r="B24" i="10"/>
  <c r="B25" i="10"/>
  <c r="I9" i="4"/>
  <c r="J9" i="4"/>
  <c r="B26" i="10"/>
  <c r="I10" i="4"/>
  <c r="J10" i="4"/>
  <c r="B27" i="10"/>
  <c r="I11" i="4"/>
  <c r="J11" i="4"/>
  <c r="B28" i="10"/>
  <c r="I12" i="4"/>
  <c r="J12" i="4"/>
  <c r="B29" i="10"/>
  <c r="I13" i="4"/>
  <c r="J13" i="4"/>
  <c r="B30" i="10"/>
  <c r="B31" i="10"/>
  <c r="I15" i="4"/>
  <c r="J15" i="4"/>
  <c r="D19" i="10"/>
  <c r="B19" i="10"/>
  <c r="I3" i="4"/>
  <c r="J3" i="4"/>
  <c r="C4" i="10"/>
  <c r="D4" i="10"/>
  <c r="E4" i="10"/>
  <c r="C5" i="10"/>
  <c r="E5" i="10"/>
  <c r="C6" i="10"/>
  <c r="E6" i="10"/>
  <c r="C7" i="10"/>
  <c r="E7" i="10"/>
  <c r="C8" i="10"/>
  <c r="E8" i="10"/>
  <c r="C9" i="10"/>
  <c r="E9" i="10"/>
  <c r="C10" i="10"/>
  <c r="E10" i="10"/>
  <c r="C11" i="10"/>
  <c r="E11" i="10"/>
  <c r="C12" i="10"/>
  <c r="D12" i="10"/>
  <c r="E12" i="10"/>
  <c r="F12" i="10"/>
  <c r="I42" i="23"/>
  <c r="C13" i="10"/>
  <c r="E13" i="10"/>
  <c r="C14" i="10"/>
  <c r="E14" i="10"/>
  <c r="E3" i="10"/>
  <c r="C3" i="10"/>
  <c r="T6" i="23"/>
  <c r="W6" i="23"/>
  <c r="AA6" i="23"/>
  <c r="V6" i="23"/>
  <c r="T7" i="23"/>
  <c r="V7" i="23"/>
  <c r="T8" i="23"/>
  <c r="V8" i="23"/>
  <c r="T9" i="23"/>
  <c r="V9" i="23"/>
  <c r="M6" i="23"/>
  <c r="O6" i="23"/>
  <c r="P6" i="23"/>
  <c r="M7" i="23"/>
  <c r="P7" i="23"/>
  <c r="Z7" i="23"/>
  <c r="O7" i="23"/>
  <c r="M8" i="23"/>
  <c r="O8" i="23"/>
  <c r="P8" i="23"/>
  <c r="M9" i="23"/>
  <c r="O9" i="23"/>
  <c r="P9" i="23"/>
  <c r="Z9" i="23"/>
  <c r="F6" i="23"/>
  <c r="H6" i="23"/>
  <c r="F7" i="23"/>
  <c r="H7" i="23"/>
  <c r="I7" i="23"/>
  <c r="Y7" i="23"/>
  <c r="F8" i="23"/>
  <c r="H8" i="23"/>
  <c r="I8" i="23"/>
  <c r="Y8" i="23"/>
  <c r="F9" i="23"/>
  <c r="H9" i="23"/>
  <c r="T19" i="23"/>
  <c r="V19" i="23"/>
  <c r="T20" i="23"/>
  <c r="W20" i="23"/>
  <c r="AA20" i="23"/>
  <c r="AB20" i="23"/>
  <c r="AC20" i="23"/>
  <c r="V20" i="23"/>
  <c r="T21" i="23"/>
  <c r="V21" i="23"/>
  <c r="W21" i="23"/>
  <c r="AA21" i="23"/>
  <c r="AB21" i="23"/>
  <c r="AC21" i="23"/>
  <c r="T22" i="23"/>
  <c r="V22" i="23"/>
  <c r="W22" i="23"/>
  <c r="M19" i="23"/>
  <c r="O19" i="23"/>
  <c r="M20" i="23"/>
  <c r="P20" i="23"/>
  <c r="Z20" i="23"/>
  <c r="O20" i="23"/>
  <c r="M21" i="23"/>
  <c r="P21" i="23"/>
  <c r="Z21" i="23"/>
  <c r="O21" i="23"/>
  <c r="M22" i="23"/>
  <c r="O22" i="23"/>
  <c r="M23" i="23"/>
  <c r="O23" i="23"/>
  <c r="F19" i="23"/>
  <c r="H19" i="23"/>
  <c r="I19" i="23"/>
  <c r="F20" i="23"/>
  <c r="H20" i="23"/>
  <c r="I20" i="23"/>
  <c r="F21" i="23"/>
  <c r="H21" i="23"/>
  <c r="I21" i="23"/>
  <c r="Y21" i="23"/>
  <c r="F22" i="23"/>
  <c r="H22" i="23"/>
  <c r="I22" i="23"/>
  <c r="Y22" i="23"/>
  <c r="F23" i="23"/>
  <c r="H23" i="23"/>
  <c r="F32" i="23"/>
  <c r="F33" i="23"/>
  <c r="H33" i="23"/>
  <c r="I33" i="23"/>
  <c r="F34" i="23"/>
  <c r="H34" i="23"/>
  <c r="I34" i="23"/>
  <c r="F35" i="23"/>
  <c r="H35" i="23"/>
  <c r="I35" i="23"/>
  <c r="M33" i="23"/>
  <c r="O33" i="23"/>
  <c r="M34" i="23"/>
  <c r="O34" i="23"/>
  <c r="T33" i="23"/>
  <c r="V33" i="23"/>
  <c r="T34" i="23"/>
  <c r="V34" i="23"/>
  <c r="W34" i="23"/>
  <c r="T45" i="23"/>
  <c r="V45" i="23"/>
  <c r="T46" i="23"/>
  <c r="V46" i="23"/>
  <c r="M45" i="23"/>
  <c r="O45" i="23"/>
  <c r="P45" i="23"/>
  <c r="M46" i="23"/>
  <c r="O46" i="23"/>
  <c r="P46" i="23"/>
  <c r="M47" i="23"/>
  <c r="O47" i="23"/>
  <c r="P47" i="23"/>
  <c r="H45" i="23"/>
  <c r="H46" i="23"/>
  <c r="F45" i="23"/>
  <c r="I45" i="23"/>
  <c r="F46" i="23"/>
  <c r="C17" i="4"/>
  <c r="L6" i="6"/>
  <c r="L7" i="6"/>
  <c r="F51" i="23"/>
  <c r="F37" i="23"/>
  <c r="F38" i="23"/>
  <c r="F39" i="23"/>
  <c r="F40" i="23"/>
  <c r="V50" i="23"/>
  <c r="V51" i="23"/>
  <c r="T50" i="23"/>
  <c r="T51" i="23"/>
  <c r="T52" i="23"/>
  <c r="O50" i="23"/>
  <c r="O51" i="23"/>
  <c r="M50" i="23"/>
  <c r="M51" i="23"/>
  <c r="H50" i="23"/>
  <c r="H51" i="23"/>
  <c r="F50" i="23"/>
  <c r="I50" i="23"/>
  <c r="V37" i="23"/>
  <c r="V38" i="23"/>
  <c r="T37" i="23"/>
  <c r="W37" i="23"/>
  <c r="T38" i="23"/>
  <c r="O37" i="23"/>
  <c r="O38" i="23"/>
  <c r="M37" i="23"/>
  <c r="M38" i="23"/>
  <c r="H37" i="23"/>
  <c r="I37" i="23"/>
  <c r="H38" i="23"/>
  <c r="F36" i="23"/>
  <c r="BJ8" i="12"/>
  <c r="H83" i="1"/>
  <c r="C83" i="1"/>
  <c r="H82" i="1"/>
  <c r="C82" i="1"/>
  <c r="H81" i="1"/>
  <c r="AP18" i="1"/>
  <c r="V53" i="23"/>
  <c r="V52" i="23"/>
  <c r="V49" i="23"/>
  <c r="V48" i="23"/>
  <c r="V47" i="23"/>
  <c r="V44" i="23"/>
  <c r="V40" i="23"/>
  <c r="V39" i="23"/>
  <c r="V36" i="23"/>
  <c r="V35" i="23"/>
  <c r="V32" i="23"/>
  <c r="V31" i="23"/>
  <c r="V27" i="23"/>
  <c r="V26" i="23"/>
  <c r="V25" i="23"/>
  <c r="V24" i="23"/>
  <c r="V23" i="23"/>
  <c r="V18" i="23"/>
  <c r="V14" i="23"/>
  <c r="V13" i="23"/>
  <c r="V12" i="23"/>
  <c r="V11" i="23"/>
  <c r="V10" i="23"/>
  <c r="V5" i="23"/>
  <c r="O14" i="23"/>
  <c r="O13" i="23"/>
  <c r="O12" i="23"/>
  <c r="O10" i="23"/>
  <c r="O5" i="23"/>
  <c r="O27" i="23"/>
  <c r="O26" i="23"/>
  <c r="O25" i="23"/>
  <c r="O24" i="23"/>
  <c r="O18" i="23"/>
  <c r="O40" i="23"/>
  <c r="O39" i="23"/>
  <c r="O36" i="23"/>
  <c r="O35" i="23"/>
  <c r="O32" i="23"/>
  <c r="O31" i="23"/>
  <c r="O53" i="23"/>
  <c r="O52" i="23"/>
  <c r="O49" i="23"/>
  <c r="O48" i="23"/>
  <c r="O44" i="23"/>
  <c r="H53" i="23"/>
  <c r="H52" i="23"/>
  <c r="H49" i="23"/>
  <c r="H48" i="23"/>
  <c r="H47" i="23"/>
  <c r="H44" i="23"/>
  <c r="H40" i="23"/>
  <c r="H39" i="23"/>
  <c r="I39" i="23"/>
  <c r="H36" i="23"/>
  <c r="H32" i="23"/>
  <c r="H31" i="23"/>
  <c r="H27" i="23"/>
  <c r="H26" i="23"/>
  <c r="H25" i="23"/>
  <c r="H24" i="23"/>
  <c r="H18" i="23"/>
  <c r="I18" i="23"/>
  <c r="Y18" i="23"/>
  <c r="H14" i="23"/>
  <c r="H13" i="23"/>
  <c r="H12" i="23"/>
  <c r="H11" i="23"/>
  <c r="H10" i="23"/>
  <c r="H5" i="23"/>
  <c r="T14" i="23"/>
  <c r="W14" i="23"/>
  <c r="T13" i="23"/>
  <c r="W13" i="23"/>
  <c r="T12" i="23"/>
  <c r="T11" i="23"/>
  <c r="W11" i="23"/>
  <c r="T10" i="23"/>
  <c r="W10" i="23"/>
  <c r="T5" i="23"/>
  <c r="W5" i="23"/>
  <c r="AA5" i="23"/>
  <c r="T27" i="23"/>
  <c r="T26" i="23"/>
  <c r="W26" i="23"/>
  <c r="T25" i="23"/>
  <c r="W25" i="23"/>
  <c r="AA25" i="23"/>
  <c r="AB25" i="23"/>
  <c r="AC25" i="23"/>
  <c r="T24" i="23"/>
  <c r="W24" i="23"/>
  <c r="AA24" i="23"/>
  <c r="AB24" i="23"/>
  <c r="AC24" i="23"/>
  <c r="T23" i="23"/>
  <c r="W23" i="23"/>
  <c r="AA23" i="23"/>
  <c r="AB23" i="23"/>
  <c r="AC23" i="23"/>
  <c r="T18" i="23"/>
  <c r="W18" i="23"/>
  <c r="AA18" i="23"/>
  <c r="AB18" i="23"/>
  <c r="AC18" i="23"/>
  <c r="T40" i="23"/>
  <c r="W40" i="23"/>
  <c r="T39" i="23"/>
  <c r="T36" i="23"/>
  <c r="W36" i="23"/>
  <c r="T35" i="23"/>
  <c r="W35" i="23"/>
  <c r="T32" i="23"/>
  <c r="T31" i="23"/>
  <c r="W31" i="23"/>
  <c r="T53" i="23"/>
  <c r="T49" i="23"/>
  <c r="W49" i="23"/>
  <c r="T48" i="23"/>
  <c r="T47" i="23"/>
  <c r="W47" i="23"/>
  <c r="T44" i="23"/>
  <c r="F53" i="23"/>
  <c r="F52" i="23"/>
  <c r="I52" i="23"/>
  <c r="F49" i="23"/>
  <c r="I49" i="23"/>
  <c r="F48" i="23"/>
  <c r="I48" i="23"/>
  <c r="F47" i="23"/>
  <c r="F44" i="23"/>
  <c r="F31" i="23"/>
  <c r="F27" i="23"/>
  <c r="F26" i="23"/>
  <c r="F25" i="23"/>
  <c r="I25" i="23"/>
  <c r="F24" i="23"/>
  <c r="F18" i="23"/>
  <c r="F14" i="23"/>
  <c r="I14" i="23"/>
  <c r="F13" i="23"/>
  <c r="F12" i="23"/>
  <c r="I12" i="23"/>
  <c r="F11" i="23"/>
  <c r="I11" i="23"/>
  <c r="F10" i="23"/>
  <c r="I10" i="23"/>
  <c r="F5" i="23"/>
  <c r="M53" i="23"/>
  <c r="M52" i="23"/>
  <c r="M49" i="23"/>
  <c r="P49" i="23"/>
  <c r="M48" i="23"/>
  <c r="P48" i="23"/>
  <c r="M44" i="23"/>
  <c r="P44" i="23"/>
  <c r="M40" i="23"/>
  <c r="M39" i="23"/>
  <c r="M36" i="23"/>
  <c r="M35" i="23"/>
  <c r="P35" i="23"/>
  <c r="M32" i="23"/>
  <c r="P32" i="23"/>
  <c r="M31" i="23"/>
  <c r="P31" i="23"/>
  <c r="M27" i="23"/>
  <c r="M26" i="23"/>
  <c r="P26" i="23"/>
  <c r="Z26" i="23"/>
  <c r="M25" i="23"/>
  <c r="P25" i="23"/>
  <c r="Z25" i="23"/>
  <c r="M24" i="23"/>
  <c r="P24" i="23"/>
  <c r="M18" i="23"/>
  <c r="P18" i="23"/>
  <c r="Z18" i="23"/>
  <c r="M14" i="23"/>
  <c r="M13" i="23"/>
  <c r="M12" i="23"/>
  <c r="M10" i="23"/>
  <c r="P10" i="23"/>
  <c r="M5" i="23"/>
  <c r="O11" i="23"/>
  <c r="M11" i="23"/>
  <c r="U3" i="3"/>
  <c r="B3" i="3"/>
  <c r="AL3" i="3"/>
  <c r="L5" i="6"/>
  <c r="C12" i="1"/>
  <c r="D1" i="4"/>
  <c r="AC13" i="23"/>
  <c r="AC51" i="23"/>
  <c r="AC26" i="23"/>
  <c r="AC12" i="23"/>
  <c r="AC52" i="23"/>
  <c r="AC40" i="23"/>
  <c r="AC39" i="23"/>
  <c r="AC53" i="23"/>
  <c r="AC27" i="23"/>
  <c r="AC14" i="23"/>
  <c r="G38" i="10"/>
  <c r="G41" i="10"/>
  <c r="G42" i="10"/>
  <c r="G52" i="10"/>
  <c r="G68" i="10"/>
  <c r="I52" i="4"/>
  <c r="J52" i="4"/>
  <c r="A1" i="7"/>
  <c r="O1" i="6"/>
  <c r="AS2" i="12"/>
  <c r="AS188" i="12"/>
  <c r="BN2" i="12"/>
  <c r="BN8" i="12"/>
  <c r="BP2" i="12"/>
  <c r="BP131" i="12"/>
  <c r="G2" i="4"/>
  <c r="D4" i="4"/>
  <c r="G3" i="4"/>
  <c r="D3" i="4"/>
  <c r="D21" i="4"/>
  <c r="E21" i="4"/>
  <c r="B21" i="4"/>
  <c r="C21" i="4"/>
  <c r="E12" i="3"/>
  <c r="F12" i="3"/>
  <c r="G12" i="3"/>
  <c r="H12" i="3"/>
  <c r="I12" i="3"/>
  <c r="J12" i="3"/>
  <c r="K12" i="3"/>
  <c r="L12" i="3"/>
  <c r="M12" i="3"/>
  <c r="N12" i="3"/>
  <c r="O12" i="3"/>
  <c r="P12" i="3"/>
  <c r="Q12" i="3"/>
  <c r="R12" i="3"/>
  <c r="S12" i="3"/>
  <c r="T12" i="3"/>
  <c r="U12" i="3"/>
  <c r="V12" i="3"/>
  <c r="W12" i="3"/>
  <c r="X12" i="3"/>
  <c r="Y12" i="3"/>
  <c r="Z12" i="3"/>
  <c r="AA12" i="3"/>
  <c r="AB12" i="3"/>
  <c r="AC12" i="3"/>
  <c r="AD12" i="3"/>
  <c r="AE12" i="3"/>
  <c r="AF12" i="3"/>
  <c r="AG12" i="3"/>
  <c r="AH12" i="3"/>
  <c r="AI12" i="3"/>
  <c r="B12" i="3"/>
  <c r="AL12" i="3"/>
  <c r="E11" i="3"/>
  <c r="F11" i="3"/>
  <c r="G11" i="3"/>
  <c r="H11" i="3"/>
  <c r="I11" i="3"/>
  <c r="J11" i="3"/>
  <c r="K11" i="3"/>
  <c r="L11" i="3"/>
  <c r="M11" i="3"/>
  <c r="N11" i="3"/>
  <c r="O11" i="3"/>
  <c r="P11" i="3"/>
  <c r="Q11" i="3"/>
  <c r="R11" i="3"/>
  <c r="S11" i="3"/>
  <c r="T11" i="3"/>
  <c r="U11" i="3"/>
  <c r="V11" i="3"/>
  <c r="W11" i="3"/>
  <c r="X11" i="3"/>
  <c r="Y11" i="3"/>
  <c r="Z11" i="3"/>
  <c r="AA11" i="3"/>
  <c r="AB11" i="3"/>
  <c r="AC11" i="3"/>
  <c r="AD11" i="3"/>
  <c r="AE11" i="3"/>
  <c r="AF11" i="3"/>
  <c r="AG11" i="3"/>
  <c r="AH11" i="3"/>
  <c r="AI11" i="3"/>
  <c r="B11" i="3"/>
  <c r="AL11" i="3"/>
  <c r="E10" i="3"/>
  <c r="F10" i="3"/>
  <c r="G10" i="3"/>
  <c r="H10" i="3"/>
  <c r="I10" i="3"/>
  <c r="J10" i="3"/>
  <c r="K10" i="3"/>
  <c r="L10" i="3"/>
  <c r="M10" i="3"/>
  <c r="N10" i="3"/>
  <c r="O10" i="3"/>
  <c r="P10" i="3"/>
  <c r="Q10" i="3"/>
  <c r="R10" i="3"/>
  <c r="S10" i="3"/>
  <c r="T10" i="3"/>
  <c r="U10" i="3"/>
  <c r="V10" i="3"/>
  <c r="W10" i="3"/>
  <c r="X10" i="3"/>
  <c r="Y10" i="3"/>
  <c r="Z10" i="3"/>
  <c r="AA10" i="3"/>
  <c r="AB10" i="3"/>
  <c r="AC10" i="3"/>
  <c r="AD10" i="3"/>
  <c r="AE10" i="3"/>
  <c r="AF10" i="3"/>
  <c r="AG10" i="3"/>
  <c r="AH10" i="3"/>
  <c r="AI10" i="3"/>
  <c r="B10" i="3"/>
  <c r="AL10" i="3"/>
  <c r="E9" i="3"/>
  <c r="F9" i="3"/>
  <c r="G9" i="3"/>
  <c r="H9" i="3"/>
  <c r="I9" i="3"/>
  <c r="J9" i="3"/>
  <c r="K9" i="3"/>
  <c r="L9" i="3"/>
  <c r="M9" i="3"/>
  <c r="N9" i="3"/>
  <c r="O9" i="3"/>
  <c r="P9" i="3"/>
  <c r="Q9" i="3"/>
  <c r="R9" i="3"/>
  <c r="S9" i="3"/>
  <c r="T9" i="3"/>
  <c r="U9" i="3"/>
  <c r="V9" i="3"/>
  <c r="W9" i="3"/>
  <c r="X9" i="3"/>
  <c r="Y9" i="3"/>
  <c r="Z9" i="3"/>
  <c r="AA9" i="3"/>
  <c r="AB9" i="3"/>
  <c r="AC9" i="3"/>
  <c r="AD9" i="3"/>
  <c r="AE9" i="3"/>
  <c r="AF9" i="3"/>
  <c r="AG9" i="3"/>
  <c r="AH9" i="3"/>
  <c r="AI9" i="3"/>
  <c r="B9" i="3"/>
  <c r="AL9" i="3"/>
  <c r="E8" i="3"/>
  <c r="F8" i="3"/>
  <c r="G8" i="3"/>
  <c r="H8" i="3"/>
  <c r="I8" i="3"/>
  <c r="J8" i="3"/>
  <c r="K8" i="3"/>
  <c r="L8" i="3"/>
  <c r="M8" i="3"/>
  <c r="N8" i="3"/>
  <c r="O8" i="3"/>
  <c r="P8" i="3"/>
  <c r="Q8" i="3"/>
  <c r="R8" i="3"/>
  <c r="S8" i="3"/>
  <c r="T8" i="3"/>
  <c r="U8" i="3"/>
  <c r="V8" i="3"/>
  <c r="W8" i="3"/>
  <c r="X8" i="3"/>
  <c r="Y8" i="3"/>
  <c r="Z8" i="3"/>
  <c r="AA8" i="3"/>
  <c r="AB8" i="3"/>
  <c r="AC8" i="3"/>
  <c r="AD8" i="3"/>
  <c r="AE8" i="3"/>
  <c r="AF8" i="3"/>
  <c r="AG8" i="3"/>
  <c r="AH8" i="3"/>
  <c r="AI8" i="3"/>
  <c r="B8" i="3"/>
  <c r="AL8" i="3"/>
  <c r="E7" i="3"/>
  <c r="F7" i="3"/>
  <c r="G7" i="3"/>
  <c r="H7" i="3"/>
  <c r="I7" i="3"/>
  <c r="J7" i="3"/>
  <c r="K7" i="3"/>
  <c r="L7" i="3"/>
  <c r="M7" i="3"/>
  <c r="N7" i="3"/>
  <c r="O7" i="3"/>
  <c r="P7" i="3"/>
  <c r="Q7" i="3"/>
  <c r="R7" i="3"/>
  <c r="S7" i="3"/>
  <c r="T7" i="3"/>
  <c r="U7" i="3"/>
  <c r="V7" i="3"/>
  <c r="W7" i="3"/>
  <c r="X7" i="3"/>
  <c r="Y7" i="3"/>
  <c r="Z7" i="3"/>
  <c r="AA7" i="3"/>
  <c r="AB7" i="3"/>
  <c r="AC7" i="3"/>
  <c r="AD7" i="3"/>
  <c r="AE7" i="3"/>
  <c r="AF7" i="3"/>
  <c r="AG7" i="3"/>
  <c r="AH7" i="3"/>
  <c r="AI7" i="3"/>
  <c r="B7" i="3"/>
  <c r="AL7" i="3"/>
  <c r="E6" i="3"/>
  <c r="F6" i="3"/>
  <c r="G6" i="3"/>
  <c r="H6" i="3"/>
  <c r="I6" i="3"/>
  <c r="J6" i="3"/>
  <c r="K6" i="3"/>
  <c r="L6" i="3"/>
  <c r="M6" i="3"/>
  <c r="N6" i="3"/>
  <c r="O6" i="3"/>
  <c r="P6" i="3"/>
  <c r="Q6" i="3"/>
  <c r="R6" i="3"/>
  <c r="S6" i="3"/>
  <c r="T6" i="3"/>
  <c r="U6" i="3"/>
  <c r="V6" i="3"/>
  <c r="W6" i="3"/>
  <c r="X6" i="3"/>
  <c r="Y6" i="3"/>
  <c r="Z6" i="3"/>
  <c r="AA6" i="3"/>
  <c r="AB6" i="3"/>
  <c r="AC6" i="3"/>
  <c r="AD6" i="3"/>
  <c r="AE6" i="3"/>
  <c r="AF6" i="3"/>
  <c r="AG6" i="3"/>
  <c r="AH6" i="3"/>
  <c r="AI6" i="3"/>
  <c r="B6" i="3"/>
  <c r="AL6" i="3"/>
  <c r="E5" i="3"/>
  <c r="F5" i="3"/>
  <c r="G5" i="3"/>
  <c r="H5" i="3"/>
  <c r="I5" i="3"/>
  <c r="J5" i="3"/>
  <c r="K5" i="3"/>
  <c r="L5" i="3"/>
  <c r="M5" i="3"/>
  <c r="N5" i="3"/>
  <c r="O5" i="3"/>
  <c r="P5" i="3"/>
  <c r="Q5" i="3"/>
  <c r="R5" i="3"/>
  <c r="S5" i="3"/>
  <c r="T5" i="3"/>
  <c r="U5" i="3"/>
  <c r="V5" i="3"/>
  <c r="W5" i="3"/>
  <c r="X5" i="3"/>
  <c r="Y5" i="3"/>
  <c r="Z5" i="3"/>
  <c r="AA5" i="3"/>
  <c r="AB5" i="3"/>
  <c r="AC5" i="3"/>
  <c r="AD5" i="3"/>
  <c r="AE5" i="3"/>
  <c r="AF5" i="3"/>
  <c r="AG5" i="3"/>
  <c r="AH5" i="3"/>
  <c r="AI5" i="3"/>
  <c r="B5" i="3"/>
  <c r="AL5" i="3"/>
  <c r="J4" i="3"/>
  <c r="E4" i="3"/>
  <c r="F4" i="3"/>
  <c r="G4" i="3"/>
  <c r="H4" i="3"/>
  <c r="I4" i="3"/>
  <c r="K4" i="3"/>
  <c r="L4" i="3"/>
  <c r="M4" i="3"/>
  <c r="N4" i="3"/>
  <c r="O4" i="3"/>
  <c r="P4" i="3"/>
  <c r="Q4" i="3"/>
  <c r="R4" i="3"/>
  <c r="S4" i="3"/>
  <c r="T4" i="3"/>
  <c r="U4" i="3"/>
  <c r="V4" i="3"/>
  <c r="W4" i="3"/>
  <c r="X4" i="3"/>
  <c r="Y4" i="3"/>
  <c r="Z4" i="3"/>
  <c r="AA4" i="3"/>
  <c r="AB4" i="3"/>
  <c r="AC4" i="3"/>
  <c r="AD4" i="3"/>
  <c r="AE4" i="3"/>
  <c r="AF4" i="3"/>
  <c r="AG4" i="3"/>
  <c r="AH4" i="3"/>
  <c r="AI4" i="3"/>
  <c r="B4" i="3"/>
  <c r="AL4" i="3"/>
  <c r="E3" i="3"/>
  <c r="F3" i="3"/>
  <c r="G3" i="3"/>
  <c r="H3" i="3"/>
  <c r="I3" i="3"/>
  <c r="J3" i="3"/>
  <c r="K3" i="3"/>
  <c r="L3" i="3"/>
  <c r="M3" i="3"/>
  <c r="N3" i="3"/>
  <c r="O3" i="3"/>
  <c r="P3" i="3"/>
  <c r="Q3" i="3"/>
  <c r="R3" i="3"/>
  <c r="S3" i="3"/>
  <c r="T3" i="3"/>
  <c r="V3" i="3"/>
  <c r="W3" i="3"/>
  <c r="X3" i="3"/>
  <c r="Y3" i="3"/>
  <c r="Z3" i="3"/>
  <c r="AA3" i="3"/>
  <c r="AB3" i="3"/>
  <c r="AC3" i="3"/>
  <c r="AD3" i="3"/>
  <c r="AE3" i="3"/>
  <c r="AF3" i="3"/>
  <c r="AG3" i="3"/>
  <c r="AH3" i="3"/>
  <c r="AI3" i="3"/>
  <c r="B6" i="1"/>
  <c r="D4" i="3"/>
  <c r="D5" i="3"/>
  <c r="D6" i="3"/>
  <c r="D7" i="3"/>
  <c r="D8" i="3"/>
  <c r="D9" i="3"/>
  <c r="D10" i="3"/>
  <c r="D11" i="3"/>
  <c r="D12" i="3"/>
  <c r="D3" i="3"/>
  <c r="C4" i="3"/>
  <c r="C5" i="3"/>
  <c r="C6" i="3"/>
  <c r="C7" i="3"/>
  <c r="C8" i="3"/>
  <c r="C9" i="3"/>
  <c r="C10" i="3"/>
  <c r="C11" i="3"/>
  <c r="C12" i="3"/>
  <c r="C3" i="3"/>
  <c r="I7" i="4"/>
  <c r="J7" i="4"/>
  <c r="I8" i="4"/>
  <c r="J8" i="4"/>
  <c r="I14" i="4"/>
  <c r="J14" i="4"/>
  <c r="I16" i="4"/>
  <c r="J16" i="4"/>
  <c r="I17" i="4"/>
  <c r="J17" i="4"/>
  <c r="I20" i="4"/>
  <c r="J20" i="4"/>
  <c r="I22" i="4"/>
  <c r="J22" i="4"/>
  <c r="I28" i="4"/>
  <c r="J28" i="4"/>
  <c r="I37" i="4"/>
  <c r="J37" i="4"/>
  <c r="I40" i="4"/>
  <c r="J40" i="4"/>
  <c r="I42" i="4"/>
  <c r="J42" i="4"/>
  <c r="I49" i="4"/>
  <c r="J49" i="4"/>
  <c r="M5" i="12"/>
  <c r="A23" i="3"/>
  <c r="A24" i="3"/>
  <c r="A25" i="3"/>
  <c r="A17" i="3"/>
  <c r="A18" i="3"/>
  <c r="A19" i="3"/>
  <c r="A20" i="3"/>
  <c r="A21" i="3"/>
  <c r="A22" i="3"/>
  <c r="A16" i="3"/>
  <c r="N1" i="6"/>
  <c r="D18" i="4"/>
  <c r="E18" i="4"/>
  <c r="D19" i="4"/>
  <c r="E19" i="4"/>
  <c r="D20" i="4"/>
  <c r="E20" i="4"/>
  <c r="D22" i="4"/>
  <c r="E22" i="4"/>
  <c r="D23" i="4"/>
  <c r="E23" i="4"/>
  <c r="D24" i="4"/>
  <c r="E24" i="4"/>
  <c r="D25" i="4"/>
  <c r="E25" i="4"/>
  <c r="D26" i="4"/>
  <c r="E26" i="4"/>
  <c r="D27" i="4"/>
  <c r="E27" i="4"/>
  <c r="D28" i="4"/>
  <c r="E28" i="4"/>
  <c r="D29" i="4"/>
  <c r="E29" i="4"/>
  <c r="D30" i="4"/>
  <c r="E30" i="4"/>
  <c r="D31" i="4"/>
  <c r="E31" i="4"/>
  <c r="D32" i="4"/>
  <c r="E32" i="4"/>
  <c r="D33" i="4"/>
  <c r="E33" i="4"/>
  <c r="D34" i="4"/>
  <c r="E34" i="4"/>
  <c r="D35" i="4"/>
  <c r="E35" i="4"/>
  <c r="D36" i="4"/>
  <c r="E36" i="4"/>
  <c r="D37" i="4"/>
  <c r="E37" i="4"/>
  <c r="D38" i="4"/>
  <c r="E38" i="4"/>
  <c r="D39" i="4"/>
  <c r="E39" i="4"/>
  <c r="D40" i="4"/>
  <c r="E40" i="4"/>
  <c r="D41" i="4"/>
  <c r="E41" i="4"/>
  <c r="D42" i="4"/>
  <c r="E42" i="4"/>
  <c r="D43" i="4"/>
  <c r="E43" i="4"/>
  <c r="D44" i="4"/>
  <c r="E44" i="4"/>
  <c r="D45" i="4"/>
  <c r="E45" i="4"/>
  <c r="D46" i="4"/>
  <c r="E46" i="4"/>
  <c r="D47" i="4"/>
  <c r="E47" i="4"/>
  <c r="D48" i="4"/>
  <c r="E48" i="4"/>
  <c r="D49" i="4"/>
  <c r="E49" i="4"/>
  <c r="D50" i="4"/>
  <c r="E50" i="4"/>
  <c r="D51" i="4"/>
  <c r="E51" i="4"/>
  <c r="D52" i="4"/>
  <c r="E52" i="4"/>
  <c r="D53" i="4"/>
  <c r="E53" i="4"/>
  <c r="D54" i="4"/>
  <c r="E54" i="4"/>
  <c r="D55" i="4"/>
  <c r="E55" i="4"/>
  <c r="D56" i="4"/>
  <c r="E56" i="4"/>
  <c r="D57" i="4"/>
  <c r="E57" i="4"/>
  <c r="D58" i="4"/>
  <c r="E58" i="4"/>
  <c r="D59" i="4"/>
  <c r="E59" i="4"/>
  <c r="D60" i="4"/>
  <c r="E60" i="4"/>
  <c r="D61" i="4"/>
  <c r="E61" i="4"/>
  <c r="D62" i="4"/>
  <c r="E62" i="4"/>
  <c r="D63" i="4"/>
  <c r="E63" i="4"/>
  <c r="D64" i="4"/>
  <c r="E64" i="4"/>
  <c r="D65" i="4"/>
  <c r="E65" i="4"/>
  <c r="D66" i="4"/>
  <c r="E66" i="4"/>
  <c r="D67" i="4"/>
  <c r="E67" i="4"/>
  <c r="D68" i="4"/>
  <c r="E68" i="4"/>
  <c r="D69" i="4"/>
  <c r="E69" i="4"/>
  <c r="D70" i="4"/>
  <c r="E70" i="4"/>
  <c r="D71" i="4"/>
  <c r="E71" i="4"/>
  <c r="D72" i="4"/>
  <c r="E72" i="4"/>
  <c r="D73" i="4"/>
  <c r="E73" i="4"/>
  <c r="D74" i="4"/>
  <c r="E74" i="4"/>
  <c r="D75" i="4"/>
  <c r="E75" i="4"/>
  <c r="D76" i="4"/>
  <c r="E76" i="4"/>
  <c r="D77" i="4"/>
  <c r="E77" i="4"/>
  <c r="D78" i="4"/>
  <c r="E78" i="4"/>
  <c r="D79" i="4"/>
  <c r="E79" i="4"/>
  <c r="D80" i="4"/>
  <c r="E80" i="4"/>
  <c r="D81" i="4"/>
  <c r="E81" i="4"/>
  <c r="D82" i="4"/>
  <c r="E82" i="4"/>
  <c r="D83" i="4"/>
  <c r="E83" i="4"/>
  <c r="D84" i="4"/>
  <c r="E84" i="4"/>
  <c r="D85" i="4"/>
  <c r="E85" i="4"/>
  <c r="D86" i="4"/>
  <c r="E86" i="4"/>
  <c r="D87" i="4"/>
  <c r="E87" i="4"/>
  <c r="D88" i="4"/>
  <c r="E88" i="4"/>
  <c r="D89" i="4"/>
  <c r="E89" i="4"/>
  <c r="D90" i="4"/>
  <c r="E90" i="4"/>
  <c r="D91" i="4"/>
  <c r="E91" i="4"/>
  <c r="D92" i="4"/>
  <c r="E92" i="4"/>
  <c r="D93" i="4"/>
  <c r="E93" i="4"/>
  <c r="D94" i="4"/>
  <c r="E94" i="4"/>
  <c r="D95" i="4"/>
  <c r="E95" i="4"/>
  <c r="D96" i="4"/>
  <c r="E96" i="4"/>
  <c r="D97" i="4"/>
  <c r="E97" i="4"/>
  <c r="D98" i="4"/>
  <c r="E98" i="4"/>
  <c r="D99" i="4"/>
  <c r="E99" i="4"/>
  <c r="D100" i="4"/>
  <c r="E100" i="4"/>
  <c r="D101" i="4"/>
  <c r="E101" i="4"/>
  <c r="D102" i="4"/>
  <c r="E102" i="4"/>
  <c r="D103" i="4"/>
  <c r="E103" i="4"/>
  <c r="D104" i="4"/>
  <c r="E104" i="4"/>
  <c r="D105" i="4"/>
  <c r="E105" i="4"/>
  <c r="F105" i="4"/>
  <c r="D106" i="4"/>
  <c r="E106" i="4"/>
  <c r="D107" i="4"/>
  <c r="E107" i="4"/>
  <c r="D108" i="4"/>
  <c r="E108" i="4"/>
  <c r="D109" i="4"/>
  <c r="E109" i="4"/>
  <c r="D110" i="4"/>
  <c r="E110" i="4"/>
  <c r="D111" i="4"/>
  <c r="E111" i="4"/>
  <c r="D112" i="4"/>
  <c r="E112" i="4"/>
  <c r="D113" i="4"/>
  <c r="E113" i="4"/>
  <c r="D114" i="4"/>
  <c r="E114" i="4"/>
  <c r="D115" i="4"/>
  <c r="E115" i="4"/>
  <c r="D116" i="4"/>
  <c r="E116" i="4"/>
  <c r="D117" i="4"/>
  <c r="E117" i="4"/>
  <c r="D118" i="4"/>
  <c r="E118" i="4"/>
  <c r="D17" i="4"/>
  <c r="E17" i="4"/>
  <c r="B22" i="4"/>
  <c r="C22" i="4"/>
  <c r="B23" i="4"/>
  <c r="C23" i="4"/>
  <c r="B24" i="4"/>
  <c r="C24" i="4"/>
  <c r="B25" i="4"/>
  <c r="C25" i="4"/>
  <c r="B26" i="4"/>
  <c r="C26" i="4"/>
  <c r="B27" i="4"/>
  <c r="C27" i="4"/>
  <c r="B28" i="4"/>
  <c r="C28" i="4"/>
  <c r="B29" i="4"/>
  <c r="C29" i="4"/>
  <c r="B30" i="4"/>
  <c r="C30" i="4"/>
  <c r="B31" i="4"/>
  <c r="C31" i="4"/>
  <c r="B32" i="4"/>
  <c r="C32" i="4"/>
  <c r="B33" i="4"/>
  <c r="C33" i="4"/>
  <c r="B34" i="4"/>
  <c r="C34" i="4"/>
  <c r="B35" i="4"/>
  <c r="C35" i="4"/>
  <c r="B36" i="4"/>
  <c r="C36" i="4"/>
  <c r="B37" i="4"/>
  <c r="C37" i="4"/>
  <c r="F37" i="4"/>
  <c r="B38" i="4"/>
  <c r="C38" i="4"/>
  <c r="B39" i="4"/>
  <c r="C39" i="4"/>
  <c r="B40" i="4"/>
  <c r="C40" i="4"/>
  <c r="B41" i="4"/>
  <c r="C41" i="4"/>
  <c r="B42" i="4"/>
  <c r="C42" i="4"/>
  <c r="B43" i="4"/>
  <c r="C43" i="4"/>
  <c r="B44" i="4"/>
  <c r="C44" i="4"/>
  <c r="B45" i="4"/>
  <c r="C45" i="4"/>
  <c r="B46" i="4"/>
  <c r="C46" i="4"/>
  <c r="B47" i="4"/>
  <c r="C47" i="4"/>
  <c r="B48" i="4"/>
  <c r="C48" i="4"/>
  <c r="B49" i="4"/>
  <c r="C49" i="4"/>
  <c r="B50" i="4"/>
  <c r="C50" i="4"/>
  <c r="B51" i="4"/>
  <c r="C51" i="4"/>
  <c r="B52" i="4"/>
  <c r="C52" i="4"/>
  <c r="F52" i="4"/>
  <c r="B53" i="4"/>
  <c r="C53" i="4"/>
  <c r="B54" i="4"/>
  <c r="C54" i="4"/>
  <c r="B55" i="4"/>
  <c r="C55" i="4"/>
  <c r="B56" i="4"/>
  <c r="C56" i="4"/>
  <c r="B57" i="4"/>
  <c r="C57" i="4"/>
  <c r="B58" i="4"/>
  <c r="C58" i="4"/>
  <c r="B59" i="4"/>
  <c r="C59" i="4"/>
  <c r="B60" i="4"/>
  <c r="C60" i="4"/>
  <c r="B61" i="4"/>
  <c r="C61" i="4"/>
  <c r="F61" i="4"/>
  <c r="B62" i="4"/>
  <c r="C62" i="4"/>
  <c r="B63" i="4"/>
  <c r="C63" i="4"/>
  <c r="B64" i="4"/>
  <c r="C64" i="4"/>
  <c r="B65" i="4"/>
  <c r="C65" i="4"/>
  <c r="B66" i="4"/>
  <c r="C66" i="4"/>
  <c r="B67" i="4"/>
  <c r="C67" i="4"/>
  <c r="B68" i="4"/>
  <c r="C68" i="4"/>
  <c r="F68" i="4"/>
  <c r="B69" i="4"/>
  <c r="C69" i="4"/>
  <c r="B70" i="4"/>
  <c r="C70" i="4"/>
  <c r="B71" i="4"/>
  <c r="C71" i="4"/>
  <c r="B72" i="4"/>
  <c r="C72" i="4"/>
  <c r="B73" i="4"/>
  <c r="C73" i="4"/>
  <c r="F73" i="4"/>
  <c r="B74" i="4"/>
  <c r="C74" i="4"/>
  <c r="B75" i="4"/>
  <c r="C75" i="4"/>
  <c r="B76" i="4"/>
  <c r="C76" i="4"/>
  <c r="F76" i="4"/>
  <c r="B77" i="4"/>
  <c r="C77" i="4"/>
  <c r="B78" i="4"/>
  <c r="C78" i="4"/>
  <c r="B79" i="4"/>
  <c r="C79" i="4"/>
  <c r="B80" i="4"/>
  <c r="C80" i="4"/>
  <c r="B81" i="4"/>
  <c r="C81" i="4"/>
  <c r="B82" i="4"/>
  <c r="C82" i="4"/>
  <c r="B83" i="4"/>
  <c r="C83" i="4"/>
  <c r="B84" i="4"/>
  <c r="C84" i="4"/>
  <c r="B85" i="4"/>
  <c r="C85" i="4"/>
  <c r="B86" i="4"/>
  <c r="C86" i="4"/>
  <c r="B87" i="4"/>
  <c r="C87" i="4"/>
  <c r="B88" i="4"/>
  <c r="C88" i="4"/>
  <c r="B89" i="4"/>
  <c r="C89" i="4"/>
  <c r="B90" i="4"/>
  <c r="C90" i="4"/>
  <c r="B91" i="4"/>
  <c r="C91" i="4"/>
  <c r="B92" i="4"/>
  <c r="C92" i="4"/>
  <c r="B93" i="4"/>
  <c r="C93" i="4"/>
  <c r="B94" i="4"/>
  <c r="C94" i="4"/>
  <c r="B95" i="4"/>
  <c r="C95" i="4"/>
  <c r="B96" i="4"/>
  <c r="C96" i="4"/>
  <c r="B97" i="4"/>
  <c r="C97" i="4"/>
  <c r="B98" i="4"/>
  <c r="C98" i="4"/>
  <c r="B99" i="4"/>
  <c r="C99" i="4"/>
  <c r="B100" i="4"/>
  <c r="C100" i="4"/>
  <c r="B101" i="4"/>
  <c r="C101" i="4"/>
  <c r="F101" i="4"/>
  <c r="B102" i="4"/>
  <c r="C102" i="4"/>
  <c r="B103" i="4"/>
  <c r="C103" i="4"/>
  <c r="B104" i="4"/>
  <c r="C104" i="4"/>
  <c r="B105" i="4"/>
  <c r="C105" i="4"/>
  <c r="B106" i="4"/>
  <c r="C106" i="4"/>
  <c r="B107" i="4"/>
  <c r="C107" i="4"/>
  <c r="B108" i="4"/>
  <c r="C108" i="4"/>
  <c r="B109" i="4"/>
  <c r="C109" i="4"/>
  <c r="B110" i="4"/>
  <c r="C110" i="4"/>
  <c r="B111" i="4"/>
  <c r="C111" i="4"/>
  <c r="B112" i="4"/>
  <c r="C112" i="4"/>
  <c r="B113" i="4"/>
  <c r="C113" i="4"/>
  <c r="B114" i="4"/>
  <c r="C114" i="4"/>
  <c r="B115" i="4"/>
  <c r="C115" i="4"/>
  <c r="B116" i="4"/>
  <c r="C116" i="4"/>
  <c r="B117" i="4"/>
  <c r="C117" i="4"/>
  <c r="B118" i="4"/>
  <c r="C118" i="4"/>
  <c r="B18" i="4"/>
  <c r="C18" i="4"/>
  <c r="F18" i="4"/>
  <c r="B19" i="4"/>
  <c r="C19" i="4"/>
  <c r="B20" i="4"/>
  <c r="C20" i="4"/>
  <c r="BP68" i="12"/>
  <c r="BN51" i="12"/>
  <c r="BN35" i="12"/>
  <c r="BN151" i="12"/>
  <c r="BN203" i="12"/>
  <c r="BN30" i="12"/>
  <c r="BN167" i="12"/>
  <c r="BN186" i="12"/>
  <c r="BN94" i="12"/>
  <c r="BN12" i="12"/>
  <c r="BN148" i="12"/>
  <c r="BN32" i="12"/>
  <c r="BN196" i="12"/>
  <c r="BN97" i="12"/>
  <c r="BP169" i="12"/>
  <c r="BN199" i="12"/>
  <c r="BN183" i="12"/>
  <c r="BN128" i="12"/>
  <c r="BN100" i="12"/>
  <c r="BN84" i="12"/>
  <c r="BN47" i="12"/>
  <c r="BN26" i="12"/>
  <c r="BN171" i="12"/>
  <c r="BN164" i="12"/>
  <c r="BN135" i="12"/>
  <c r="BN79" i="12"/>
  <c r="BN63" i="12"/>
  <c r="BN46" i="12"/>
  <c r="BN11" i="12"/>
  <c r="BN169" i="12"/>
  <c r="BN162" i="12"/>
  <c r="BN133" i="12"/>
  <c r="BN118" i="12"/>
  <c r="BN61" i="12"/>
  <c r="BN44" i="12"/>
  <c r="BN201" i="12"/>
  <c r="BN185" i="12"/>
  <c r="BN130" i="12"/>
  <c r="BN102" i="12"/>
  <c r="BN86" i="12"/>
  <c r="BN49" i="12"/>
  <c r="BN28" i="12"/>
  <c r="BQ2" i="12"/>
  <c r="AT2" i="12"/>
  <c r="BJ9" i="12"/>
  <c r="BJ10" i="12"/>
  <c r="BJ28" i="12"/>
  <c r="BJ35" i="12"/>
  <c r="BJ32" i="12"/>
  <c r="BJ51" i="12"/>
  <c r="BJ77" i="12"/>
  <c r="BJ69" i="12"/>
  <c r="BJ95" i="12"/>
  <c r="BJ114" i="12"/>
  <c r="BJ85" i="12"/>
  <c r="BJ111" i="12"/>
  <c r="BJ129" i="12"/>
  <c r="BJ148" i="12"/>
  <c r="BJ132" i="12"/>
  <c r="BJ151" i="12"/>
  <c r="BJ168" i="12"/>
  <c r="BJ187" i="12"/>
  <c r="BJ163" i="12"/>
  <c r="BJ184" i="12"/>
  <c r="BJ203" i="12"/>
  <c r="BJ11" i="12"/>
  <c r="BJ16" i="12"/>
  <c r="BJ45" i="12"/>
  <c r="BJ63" i="12"/>
  <c r="BJ79" i="12"/>
  <c r="BJ154" i="12"/>
  <c r="BJ181" i="12"/>
  <c r="BJ12" i="12"/>
  <c r="BJ30" i="12"/>
  <c r="BJ44" i="12"/>
  <c r="BJ34" i="12"/>
  <c r="BJ60" i="12"/>
  <c r="BJ52" i="12"/>
  <c r="BJ78" i="12"/>
  <c r="BJ97" i="12"/>
  <c r="BS12" i="12"/>
  <c r="BJ116" i="12"/>
  <c r="BJ94" i="12"/>
  <c r="BJ113" i="12"/>
  <c r="BS11" i="12"/>
  <c r="BJ131" i="12"/>
  <c r="BJ150" i="12"/>
  <c r="BJ134" i="12"/>
  <c r="BJ153" i="12"/>
  <c r="BJ170" i="12"/>
  <c r="BJ196" i="12"/>
  <c r="BJ167" i="12"/>
  <c r="BJ186" i="12"/>
  <c r="BJ205" i="12"/>
  <c r="BJ48" i="12"/>
  <c r="BJ101" i="12"/>
  <c r="BJ135" i="12"/>
  <c r="BJ164" i="12"/>
  <c r="BJ197" i="12"/>
  <c r="BJ14" i="12"/>
  <c r="BJ18" i="12"/>
  <c r="BJ46" i="12"/>
  <c r="BJ43" i="12"/>
  <c r="BJ62" i="12"/>
  <c r="BJ61" i="12"/>
  <c r="BJ80" i="12"/>
  <c r="BJ99" i="12"/>
  <c r="BJ118" i="12"/>
  <c r="BJ96" i="12"/>
  <c r="BJ115" i="12"/>
  <c r="BJ133" i="12"/>
  <c r="BJ152" i="12"/>
  <c r="BJ136" i="12"/>
  <c r="BJ162" i="12"/>
  <c r="BJ179" i="12"/>
  <c r="BJ198" i="12"/>
  <c r="BJ169" i="12"/>
  <c r="BJ188" i="12"/>
  <c r="BJ13" i="12"/>
  <c r="BJ17" i="12"/>
  <c r="BJ29" i="12"/>
  <c r="BJ50" i="12"/>
  <c r="BJ47" i="12"/>
  <c r="BJ66" i="12"/>
  <c r="BJ65" i="12"/>
  <c r="BJ84" i="12"/>
  <c r="BJ103" i="12"/>
  <c r="BJ81" i="12"/>
  <c r="BS13" i="12"/>
  <c r="BJ100" i="12"/>
  <c r="BJ119" i="12"/>
  <c r="BJ137" i="12"/>
  <c r="BJ128" i="12"/>
  <c r="BJ147" i="12"/>
  <c r="BJ166" i="12"/>
  <c r="BJ183" i="12"/>
  <c r="BJ202" i="12"/>
  <c r="BJ180" i="12"/>
  <c r="BJ199" i="12"/>
  <c r="BJ27" i="12"/>
  <c r="BJ82" i="12"/>
  <c r="BJ98" i="12"/>
  <c r="BJ145" i="12"/>
  <c r="BJ171" i="12"/>
  <c r="BJ15" i="12"/>
  <c r="BJ26" i="12"/>
  <c r="BJ33" i="12"/>
  <c r="BJ31" i="12"/>
  <c r="BJ49" i="12"/>
  <c r="BJ68" i="12"/>
  <c r="BJ67" i="12"/>
  <c r="BJ86" i="12"/>
  <c r="BJ112" i="12"/>
  <c r="BJ83" i="12"/>
  <c r="BJ102" i="12"/>
  <c r="BJ120" i="12"/>
  <c r="BJ146" i="12"/>
  <c r="BJ130" i="12"/>
  <c r="BJ149" i="12"/>
  <c r="BJ165" i="12"/>
  <c r="BJ185" i="12"/>
  <c r="BJ204" i="12"/>
  <c r="BJ182" i="12"/>
  <c r="BJ201" i="12"/>
  <c r="BS14" i="12"/>
  <c r="BJ64" i="12"/>
  <c r="BJ117" i="12"/>
  <c r="BJ200" i="12"/>
  <c r="AT13" i="12"/>
  <c r="T44" i="1"/>
  <c r="P32" i="6"/>
  <c r="S32" i="6"/>
  <c r="T45" i="1"/>
  <c r="P33" i="6"/>
  <c r="S33" i="6"/>
  <c r="T43" i="1"/>
  <c r="P31" i="6"/>
  <c r="S31" i="6"/>
  <c r="T41" i="1"/>
  <c r="P29" i="6"/>
  <c r="S29" i="6"/>
  <c r="T39" i="1"/>
  <c r="P27" i="6"/>
  <c r="S27" i="6"/>
  <c r="T37" i="1"/>
  <c r="P25" i="6"/>
  <c r="S25" i="6"/>
  <c r="T35" i="1"/>
  <c r="P23" i="6"/>
  <c r="S23" i="6"/>
  <c r="T46" i="1"/>
  <c r="P34" i="6"/>
  <c r="S34" i="6"/>
  <c r="T42" i="1"/>
  <c r="P30" i="6"/>
  <c r="S30" i="6"/>
  <c r="T40" i="1"/>
  <c r="P28" i="6"/>
  <c r="S28" i="6"/>
  <c r="T38" i="1"/>
  <c r="P26" i="6"/>
  <c r="S26" i="6"/>
  <c r="T36" i="1"/>
  <c r="P24" i="6"/>
  <c r="S24" i="6"/>
  <c r="T34" i="1"/>
  <c r="P22" i="6"/>
  <c r="S22" i="6"/>
  <c r="BN68" i="12"/>
  <c r="BN120" i="12"/>
  <c r="BN204" i="12"/>
  <c r="BN43" i="12"/>
  <c r="BN96" i="12"/>
  <c r="BN179" i="12"/>
  <c r="BN17" i="12"/>
  <c r="BN82" i="12"/>
  <c r="BN154" i="12"/>
  <c r="BN197" i="12"/>
  <c r="BN66" i="12"/>
  <c r="BN119" i="12"/>
  <c r="BN202" i="12"/>
  <c r="BN16" i="12"/>
  <c r="BN205" i="12"/>
  <c r="BN168" i="12"/>
  <c r="BN150" i="12"/>
  <c r="BN187" i="12"/>
  <c r="BN33" i="12"/>
  <c r="BN116" i="12"/>
  <c r="BN15" i="12"/>
  <c r="BN67" i="12"/>
  <c r="BN146" i="12"/>
  <c r="BN182" i="12"/>
  <c r="BN62" i="12"/>
  <c r="BN115" i="12"/>
  <c r="BN198" i="12"/>
  <c r="BN27" i="12"/>
  <c r="BN101" i="12"/>
  <c r="BN145" i="12"/>
  <c r="BN13" i="12"/>
  <c r="BN65" i="12"/>
  <c r="BN137" i="12"/>
  <c r="BN180" i="12"/>
  <c r="BN60" i="12"/>
  <c r="BN10" i="12"/>
  <c r="BN184" i="12"/>
  <c r="BN170" i="12"/>
  <c r="BN129" i="12"/>
  <c r="BN114" i="12"/>
  <c r="BN153" i="12"/>
  <c r="AT180" i="12"/>
  <c r="AT128" i="12"/>
  <c r="BN31" i="12"/>
  <c r="BN112" i="12"/>
  <c r="BN149" i="12"/>
  <c r="BN14" i="12"/>
  <c r="BN80" i="12"/>
  <c r="BN152" i="12"/>
  <c r="BN188" i="12"/>
  <c r="BN45" i="12"/>
  <c r="BN98" i="12"/>
  <c r="BN181" i="12"/>
  <c r="BN29" i="12"/>
  <c r="BN103" i="12"/>
  <c r="BN147" i="12"/>
  <c r="BN113" i="12"/>
  <c r="BN69" i="12"/>
  <c r="BN34" i="12"/>
  <c r="BN52" i="12"/>
  <c r="BN95" i="12"/>
  <c r="BN111" i="12"/>
  <c r="BN77" i="12"/>
  <c r="AT64" i="12"/>
  <c r="BN50" i="12"/>
  <c r="BN83" i="12"/>
  <c r="BN165" i="12"/>
  <c r="BN18" i="12"/>
  <c r="BN99" i="12"/>
  <c r="BN136" i="12"/>
  <c r="BN9" i="12"/>
  <c r="BN64" i="12"/>
  <c r="BN117" i="12"/>
  <c r="BN200" i="12"/>
  <c r="BN48" i="12"/>
  <c r="BN81" i="12"/>
  <c r="BN166" i="12"/>
  <c r="BN134" i="12"/>
  <c r="BN85" i="12"/>
  <c r="BN78" i="12"/>
  <c r="BN131" i="12"/>
  <c r="BN132" i="12"/>
  <c r="BN163" i="12"/>
  <c r="BQ63" i="12"/>
  <c r="BQ102" i="12"/>
  <c r="AT28" i="12"/>
  <c r="BQ115" i="12"/>
  <c r="BQ149" i="12"/>
  <c r="BQ180" i="12"/>
  <c r="BQ137" i="12"/>
  <c r="BQ186" i="12"/>
  <c r="BQ14" i="12"/>
  <c r="BQ46" i="12"/>
  <c r="AT30" i="12"/>
  <c r="BQ15" i="12"/>
  <c r="BQ103" i="12"/>
  <c r="BQ148" i="12"/>
  <c r="AT43" i="12"/>
  <c r="BQ52" i="12"/>
  <c r="AT113" i="12"/>
  <c r="BQ154" i="12"/>
  <c r="BQ179" i="12"/>
  <c r="BQ30" i="12"/>
  <c r="BO68" i="12"/>
  <c r="BO111" i="12"/>
  <c r="BO48" i="12"/>
  <c r="BO35" i="12"/>
  <c r="BO9" i="12"/>
  <c r="BO130" i="12"/>
  <c r="BO80" i="12"/>
  <c r="BO30" i="12"/>
  <c r="BO201" i="12"/>
  <c r="BP79" i="12"/>
  <c r="BO149" i="12"/>
  <c r="BO150" i="12"/>
  <c r="BO34" i="12"/>
  <c r="BO134" i="12"/>
  <c r="BO95" i="12"/>
  <c r="BO137" i="12"/>
  <c r="BO52" i="12"/>
  <c r="BO179" i="12"/>
  <c r="BO147" i="12"/>
  <c r="BO97" i="12"/>
  <c r="BO46" i="12"/>
  <c r="W52" i="23"/>
  <c r="AP22" i="1"/>
  <c r="BO60" i="12"/>
  <c r="BO169" i="12"/>
  <c r="BO84" i="12"/>
  <c r="BO205" i="12"/>
  <c r="BO18" i="12"/>
  <c r="BO119" i="12"/>
  <c r="BO49" i="12"/>
  <c r="BO183" i="12"/>
  <c r="BO151" i="12"/>
  <c r="BO77" i="12"/>
  <c r="BO50" i="12"/>
  <c r="BO170" i="12"/>
  <c r="BO145" i="12"/>
  <c r="BP50" i="12"/>
  <c r="BP85" i="12"/>
  <c r="I40" i="23"/>
  <c r="P38" i="23"/>
  <c r="P50" i="23"/>
  <c r="BQ45" i="12"/>
  <c r="BQ185" i="12"/>
  <c r="BQ60" i="12"/>
  <c r="BQ9" i="12"/>
  <c r="BQ134" i="12"/>
  <c r="BQ51" i="12"/>
  <c r="BQ200" i="12"/>
  <c r="BQ133" i="12"/>
  <c r="BQ94" i="12"/>
  <c r="BQ29" i="12"/>
  <c r="BQ166" i="12"/>
  <c r="BQ82" i="12"/>
  <c r="BQ31" i="12"/>
  <c r="BQ201" i="12"/>
  <c r="BQ128" i="12"/>
  <c r="BQ67" i="12"/>
  <c r="BQ187" i="12"/>
  <c r="BQ120" i="12"/>
  <c r="BQ81" i="12"/>
  <c r="BQ16" i="12"/>
  <c r="BQ171" i="12"/>
  <c r="BQ118" i="12"/>
  <c r="BQ197" i="12"/>
  <c r="BQ188" i="12"/>
  <c r="BQ112" i="12"/>
  <c r="BQ61" i="12"/>
  <c r="BQ181" i="12"/>
  <c r="BQ151" i="12"/>
  <c r="BQ68" i="12"/>
  <c r="BQ11" i="12"/>
  <c r="BQ150" i="12"/>
  <c r="BQ111" i="12"/>
  <c r="BQ32" i="12"/>
  <c r="BQ182" i="12"/>
  <c r="BQ99" i="12"/>
  <c r="BQ48" i="12"/>
  <c r="BQ168" i="12"/>
  <c r="BQ145" i="12"/>
  <c r="BQ62" i="12"/>
  <c r="BQ10" i="12"/>
  <c r="BQ117" i="12"/>
  <c r="BQ204" i="12"/>
  <c r="BQ79" i="12"/>
  <c r="BQ114" i="12"/>
  <c r="BQ169" i="12"/>
  <c r="BQ86" i="12"/>
  <c r="BQ35" i="12"/>
  <c r="BQ205" i="12"/>
  <c r="BQ132" i="12"/>
  <c r="BQ78" i="12"/>
  <c r="BQ198" i="12"/>
  <c r="BQ131" i="12"/>
  <c r="BQ85" i="12"/>
  <c r="BQ27" i="12"/>
  <c r="BQ162" i="12"/>
  <c r="BQ80" i="12"/>
  <c r="BQ49" i="12"/>
  <c r="BQ199" i="12"/>
  <c r="BQ116" i="12"/>
  <c r="BQ65" i="12"/>
  <c r="BQ8" i="12"/>
  <c r="BQ163" i="12"/>
  <c r="BQ98" i="12"/>
  <c r="BQ164" i="12"/>
  <c r="BQ202" i="12"/>
  <c r="BQ135" i="12"/>
  <c r="BQ96" i="12"/>
  <c r="BQ17" i="12"/>
  <c r="BQ167" i="12"/>
  <c r="BQ84" i="12"/>
  <c r="BQ33" i="12"/>
  <c r="BQ203" i="12"/>
  <c r="BQ130" i="12"/>
  <c r="BQ69" i="12"/>
  <c r="BQ196" i="12"/>
  <c r="BQ129" i="12"/>
  <c r="BQ83" i="12"/>
  <c r="BQ18" i="12"/>
  <c r="BQ165" i="12"/>
  <c r="BQ119" i="12"/>
  <c r="BQ47" i="12"/>
  <c r="P12" i="23"/>
  <c r="BQ95" i="12"/>
  <c r="BQ26" i="12"/>
  <c r="BQ136" i="12"/>
  <c r="BQ183" i="12"/>
  <c r="BQ153" i="12"/>
  <c r="BQ77" i="12"/>
  <c r="BQ13" i="12"/>
  <c r="BQ152" i="12"/>
  <c r="BQ113" i="12"/>
  <c r="BQ34" i="12"/>
  <c r="BQ184" i="12"/>
  <c r="BQ101" i="12"/>
  <c r="BQ50" i="12"/>
  <c r="BQ170" i="12"/>
  <c r="BQ147" i="12"/>
  <c r="BQ64" i="12"/>
  <c r="BQ12" i="12"/>
  <c r="BQ146" i="12"/>
  <c r="BQ100" i="12"/>
  <c r="BP134" i="12"/>
  <c r="BP132" i="12"/>
  <c r="BP47" i="12"/>
  <c r="BP118" i="12"/>
  <c r="BP168" i="12"/>
  <c r="BP166" i="12"/>
  <c r="BP9" i="12"/>
  <c r="BP184" i="12"/>
  <c r="BP32" i="12"/>
  <c r="BP145" i="12"/>
  <c r="BP15" i="12"/>
  <c r="BP165" i="12"/>
  <c r="BP66" i="12"/>
  <c r="BP96" i="12"/>
  <c r="P13" i="23"/>
  <c r="W12" i="23"/>
  <c r="I26" i="23"/>
  <c r="I13" i="23"/>
  <c r="I51" i="23"/>
  <c r="Y51" i="23"/>
  <c r="F28" i="4"/>
  <c r="P39" i="23"/>
  <c r="I53" i="23"/>
  <c r="W27" i="23"/>
  <c r="W38" i="23"/>
  <c r="P52" i="23"/>
  <c r="AS179" i="12"/>
  <c r="AS186" i="12"/>
  <c r="AS95" i="12"/>
  <c r="AS84" i="12"/>
  <c r="AS29" i="12"/>
  <c r="AS100" i="12"/>
  <c r="AS49" i="12"/>
  <c r="AS165" i="12"/>
  <c r="AS114" i="12"/>
  <c r="I31" i="4"/>
  <c r="J31" i="4"/>
  <c r="I44" i="4"/>
  <c r="J44" i="4"/>
  <c r="P33" i="23"/>
  <c r="P34" i="23"/>
  <c r="I36" i="23"/>
  <c r="I32" i="23"/>
  <c r="P36" i="23"/>
  <c r="I48" i="4"/>
  <c r="J48" i="4"/>
  <c r="G64" i="10"/>
  <c r="BO101" i="12"/>
  <c r="BO26" i="12"/>
  <c r="BO83" i="12"/>
  <c r="BO17" i="12"/>
  <c r="BO182" i="12"/>
  <c r="BO103" i="12"/>
  <c r="BO62" i="12"/>
  <c r="BO181" i="12"/>
  <c r="BO164" i="12"/>
  <c r="BO86" i="12"/>
  <c r="AT199" i="12"/>
  <c r="AT78" i="12"/>
  <c r="AT47" i="12"/>
  <c r="AT149" i="12"/>
  <c r="AT102" i="12"/>
  <c r="AT50" i="12"/>
  <c r="AT18" i="12"/>
  <c r="AT119" i="12"/>
  <c r="AT34" i="12"/>
  <c r="AT150" i="12"/>
  <c r="AT27" i="12"/>
  <c r="AT62" i="12"/>
  <c r="I38" i="23"/>
  <c r="I24" i="4"/>
  <c r="J24" i="4"/>
  <c r="BO162" i="12"/>
  <c r="BO31" i="12"/>
  <c r="BO82" i="12"/>
  <c r="BO133" i="12"/>
  <c r="BO94" i="12"/>
  <c r="BO120" i="12"/>
  <c r="BO16" i="12"/>
  <c r="BO118" i="12"/>
  <c r="BO167" i="12"/>
  <c r="BO187" i="12"/>
  <c r="BO153" i="12"/>
  <c r="BO79" i="12"/>
  <c r="BO131" i="12"/>
  <c r="BO65" i="12"/>
  <c r="BO11" i="12"/>
  <c r="BO10" i="12"/>
  <c r="BO188" i="12"/>
  <c r="BO102" i="12"/>
  <c r="BO44" i="12"/>
  <c r="BO33" i="12"/>
  <c r="BO165" i="12"/>
  <c r="BO199" i="12"/>
  <c r="BO113" i="12"/>
  <c r="BO12" i="12"/>
  <c r="BO186" i="12"/>
  <c r="BO163" i="12"/>
  <c r="BO129" i="12"/>
  <c r="BO96" i="12"/>
  <c r="BO32" i="12"/>
  <c r="BO45" i="12"/>
  <c r="BO136" i="12"/>
  <c r="BO112" i="12"/>
  <c r="BO27" i="12"/>
  <c r="BO171" i="12"/>
  <c r="BO100" i="12"/>
  <c r="BO43" i="12"/>
  <c r="BO196" i="12"/>
  <c r="BO135" i="12"/>
  <c r="BO148" i="12"/>
  <c r="BO115" i="12"/>
  <c r="BO168" i="12"/>
  <c r="BO197" i="12"/>
  <c r="BO85" i="12"/>
  <c r="BO204" i="12"/>
  <c r="BO146" i="12"/>
  <c r="BO152" i="12"/>
  <c r="BO69" i="12"/>
  <c r="BO202" i="12"/>
  <c r="BO14" i="12"/>
  <c r="BO154" i="12"/>
  <c r="BO99" i="12"/>
  <c r="BO47" i="12"/>
  <c r="BO8" i="12"/>
  <c r="BO198" i="12"/>
  <c r="BO180" i="12"/>
  <c r="BO64" i="12"/>
  <c r="BO13" i="12"/>
  <c r="BO128" i="12"/>
  <c r="BO98" i="12"/>
  <c r="BO66" i="12"/>
  <c r="BO15" i="12"/>
  <c r="BO184" i="12"/>
  <c r="BO166" i="12"/>
  <c r="BO116" i="12"/>
  <c r="BO78" i="12"/>
  <c r="BO114" i="12"/>
  <c r="I32" i="4"/>
  <c r="J32" i="4"/>
  <c r="G59" i="10"/>
  <c r="I43" i="4"/>
  <c r="J43" i="4"/>
  <c r="BA80" i="12"/>
  <c r="BA30" i="12"/>
  <c r="BA186" i="12"/>
  <c r="BA169" i="12"/>
  <c r="BA136" i="12"/>
  <c r="BA129" i="12"/>
  <c r="BA114" i="12"/>
  <c r="BA179" i="12"/>
  <c r="BA198" i="12"/>
  <c r="BA86" i="12"/>
  <c r="BA26" i="12"/>
  <c r="BA102" i="12"/>
  <c r="BA32" i="12"/>
  <c r="BA196" i="12"/>
  <c r="BA188" i="12"/>
  <c r="BA8" i="12"/>
  <c r="BA48" i="12"/>
  <c r="BA119" i="12"/>
  <c r="BA64" i="12"/>
  <c r="BA29" i="12"/>
  <c r="BA101" i="12"/>
  <c r="BA12" i="12"/>
  <c r="BA47" i="12"/>
  <c r="BA115" i="12"/>
  <c r="BA148" i="12"/>
  <c r="BA18" i="12"/>
  <c r="BA203" i="12"/>
  <c r="BA9" i="12"/>
  <c r="BA62" i="12"/>
  <c r="BA131" i="12"/>
  <c r="BA17" i="12"/>
  <c r="BA165" i="12"/>
  <c r="BA97" i="12"/>
  <c r="BA147" i="12"/>
  <c r="BA164" i="12"/>
  <c r="BA180" i="12"/>
  <c r="BA167" i="12"/>
  <c r="BA154" i="12"/>
  <c r="BA145" i="12"/>
  <c r="BA49" i="12"/>
  <c r="BA117" i="12"/>
  <c r="BA130" i="12"/>
  <c r="BA95" i="12"/>
  <c r="BA134" i="12"/>
  <c r="BA81" i="12"/>
  <c r="BA11" i="12"/>
  <c r="BA197" i="12"/>
  <c r="BA183" i="12"/>
  <c r="BA162" i="12"/>
  <c r="BA46" i="12"/>
  <c r="BA184" i="12"/>
  <c r="BA67" i="12"/>
  <c r="BA135" i="12"/>
  <c r="BA44" i="12"/>
  <c r="BA166" i="12"/>
  <c r="BA199" i="12"/>
  <c r="BA168" i="12"/>
  <c r="BA111" i="12"/>
  <c r="BA27" i="12"/>
  <c r="BA151" i="12"/>
  <c r="BA60" i="12"/>
  <c r="BA34" i="12"/>
  <c r="BA35" i="12"/>
  <c r="BA100" i="12"/>
  <c r="BA78" i="12"/>
  <c r="BA10" i="12"/>
  <c r="BA45" i="12"/>
  <c r="BA152" i="12"/>
  <c r="BA99" i="12"/>
  <c r="BA150" i="12"/>
  <c r="BA118" i="12"/>
  <c r="BA149" i="12"/>
  <c r="BA185" i="12"/>
  <c r="BA171" i="12"/>
  <c r="BA94" i="12"/>
  <c r="F103" i="4"/>
  <c r="F95" i="4"/>
  <c r="F71" i="4"/>
  <c r="P40" i="23"/>
  <c r="F54" i="4"/>
  <c r="I27" i="23"/>
  <c r="P51" i="23"/>
  <c r="I31" i="23"/>
  <c r="W39" i="23"/>
  <c r="F67" i="4"/>
  <c r="F43" i="4"/>
  <c r="W51" i="23"/>
  <c r="W45" i="23"/>
  <c r="F82" i="4"/>
  <c r="F58" i="4"/>
  <c r="F50" i="4"/>
  <c r="P14" i="23"/>
  <c r="Z14" i="23"/>
  <c r="I24" i="23"/>
  <c r="AS168" i="12"/>
  <c r="AS119" i="12"/>
  <c r="AS137" i="12"/>
  <c r="AS27" i="12"/>
  <c r="AS185" i="12"/>
  <c r="AS167" i="12"/>
  <c r="AS33" i="12"/>
  <c r="AS85" i="12"/>
  <c r="AS80" i="12"/>
  <c r="AS145" i="12"/>
  <c r="AS32" i="12"/>
  <c r="AS31" i="12"/>
  <c r="AS112" i="12"/>
  <c r="F57" i="4"/>
  <c r="F30" i="4"/>
  <c r="P37" i="23"/>
  <c r="AS201" i="12"/>
  <c r="AS35" i="12"/>
  <c r="AS103" i="12"/>
  <c r="AS60" i="12"/>
  <c r="AS170" i="12"/>
  <c r="AS86" i="12"/>
  <c r="AS202" i="12"/>
  <c r="AS45" i="12"/>
  <c r="AS162" i="12"/>
  <c r="AS184" i="12"/>
  <c r="AS68" i="12"/>
  <c r="AS203" i="12"/>
  <c r="AS204" i="12"/>
  <c r="AS182" i="12"/>
  <c r="F20" i="4"/>
  <c r="F39" i="4"/>
  <c r="F27" i="4"/>
  <c r="I6" i="23"/>
  <c r="AS63" i="12"/>
  <c r="AS26" i="12"/>
  <c r="AS120" i="12"/>
  <c r="AS61" i="12"/>
  <c r="AS187" i="12"/>
  <c r="AS131" i="12"/>
  <c r="AS10" i="12"/>
  <c r="AS78" i="12"/>
  <c r="AS117" i="12"/>
  <c r="AS197" i="12"/>
  <c r="AS11" i="12"/>
  <c r="AS115" i="12"/>
  <c r="AS83" i="12"/>
  <c r="AS51" i="12"/>
  <c r="AS96" i="12"/>
  <c r="AS146" i="12"/>
  <c r="AS148" i="12"/>
  <c r="AS200" i="12"/>
  <c r="AS118" i="12"/>
  <c r="AS9" i="12"/>
  <c r="AS43" i="12"/>
  <c r="AS15" i="12"/>
  <c r="AS128" i="12"/>
  <c r="F26" i="4"/>
  <c r="BP43" i="12"/>
  <c r="BP197" i="12"/>
  <c r="BP196" i="12"/>
  <c r="BP205" i="12"/>
  <c r="BP101" i="12"/>
  <c r="BP28" i="12"/>
  <c r="BP102" i="12"/>
  <c r="BP136" i="12"/>
  <c r="BP81" i="12"/>
  <c r="BP129" i="12"/>
  <c r="BP44" i="12"/>
  <c r="BP171" i="12"/>
  <c r="BP153" i="12"/>
  <c r="BP60" i="12"/>
  <c r="BP114" i="12"/>
  <c r="BP147" i="12"/>
  <c r="BP199" i="12"/>
  <c r="BO132" i="12"/>
  <c r="BO185" i="12"/>
  <c r="BO203" i="12"/>
  <c r="BP80" i="12"/>
  <c r="F87" i="4"/>
  <c r="F81" i="4"/>
  <c r="F22" i="4"/>
  <c r="BP179" i="12"/>
  <c r="BP120" i="12"/>
  <c r="BP51" i="12"/>
  <c r="BP62" i="12"/>
  <c r="BP13" i="12"/>
  <c r="BP67" i="12"/>
  <c r="BP170" i="12"/>
  <c r="BP64" i="12"/>
  <c r="BP86" i="12"/>
  <c r="BP52" i="12"/>
  <c r="BP162" i="12"/>
  <c r="BP100" i="12"/>
  <c r="BP163" i="12"/>
  <c r="BP8" i="12"/>
  <c r="BP94" i="12"/>
  <c r="BP130" i="12"/>
  <c r="BP61" i="12"/>
  <c r="BP112" i="12"/>
  <c r="BO51" i="12"/>
  <c r="BO117" i="12"/>
  <c r="AT12" i="12"/>
  <c r="BP46" i="12"/>
  <c r="BP33" i="12"/>
  <c r="F64" i="4"/>
  <c r="F118" i="4"/>
  <c r="BP17" i="12"/>
  <c r="BP202" i="12"/>
  <c r="BP77" i="12"/>
  <c r="BP115" i="12"/>
  <c r="BP65" i="12"/>
  <c r="BP186" i="12"/>
  <c r="BP133" i="12"/>
  <c r="BP117" i="12"/>
  <c r="BP12" i="12"/>
  <c r="BP150" i="12"/>
  <c r="BP11" i="12"/>
  <c r="BP183" i="12"/>
  <c r="BP203" i="12"/>
  <c r="BP154" i="12"/>
  <c r="BP14" i="12"/>
  <c r="BP149" i="12"/>
  <c r="BP113" i="12"/>
  <c r="BP116" i="12"/>
  <c r="BP167" i="12"/>
  <c r="BP45" i="12"/>
  <c r="BP185" i="12"/>
  <c r="F63" i="4"/>
  <c r="I44" i="23"/>
  <c r="BP82" i="12"/>
  <c r="BP30" i="12"/>
  <c r="BP151" i="12"/>
  <c r="BP198" i="12"/>
  <c r="BP146" i="12"/>
  <c r="BP49" i="12"/>
  <c r="BP18" i="12"/>
  <c r="BP200" i="12"/>
  <c r="BP152" i="12"/>
  <c r="BP97" i="12"/>
  <c r="BP63" i="12"/>
  <c r="BP83" i="12"/>
  <c r="BP111" i="12"/>
  <c r="BP98" i="12"/>
  <c r="BP188" i="12"/>
  <c r="BP148" i="12"/>
  <c r="BP204" i="12"/>
  <c r="BP29" i="12"/>
  <c r="F36" i="4"/>
  <c r="P11" i="23"/>
  <c r="I47" i="23"/>
  <c r="BP119" i="12"/>
  <c r="BP34" i="12"/>
  <c r="BP95" i="12"/>
  <c r="BP27" i="12"/>
  <c r="BP180" i="12"/>
  <c r="BP78" i="12"/>
  <c r="BP99" i="12"/>
  <c r="BP48" i="12"/>
  <c r="BP201" i="12"/>
  <c r="BP31" i="12"/>
  <c r="BP137" i="12"/>
  <c r="BP35" i="12"/>
  <c r="BP187" i="12"/>
  <c r="BP103" i="12"/>
  <c r="BP181" i="12"/>
  <c r="BP16" i="12"/>
  <c r="BP164" i="12"/>
  <c r="BP128" i="12"/>
  <c r="W50" i="23"/>
  <c r="W9" i="23"/>
  <c r="P5" i="23"/>
  <c r="Z5" i="23"/>
  <c r="AT9" i="12"/>
  <c r="AT205" i="12"/>
  <c r="AT80" i="12"/>
  <c r="AT168" i="12"/>
  <c r="AT81" i="12"/>
  <c r="AT167" i="12"/>
  <c r="AT117" i="12"/>
  <c r="AT100" i="12"/>
  <c r="AT163" i="12"/>
  <c r="AT171" i="12"/>
  <c r="AS94" i="12"/>
  <c r="AT181" i="12"/>
  <c r="AT187" i="12"/>
  <c r="AT44" i="12"/>
  <c r="AT198" i="12"/>
  <c r="AT185" i="12"/>
  <c r="AT35" i="12"/>
  <c r="AT197" i="12"/>
  <c r="AT146" i="12"/>
  <c r="AT45" i="12"/>
  <c r="F97" i="4"/>
  <c r="F92" i="4"/>
  <c r="F86" i="4"/>
  <c r="F80" i="4"/>
  <c r="F55" i="4"/>
  <c r="F46" i="4"/>
  <c r="AT69" i="12"/>
  <c r="AT164" i="12"/>
  <c r="AT120" i="12"/>
  <c r="AT204" i="12"/>
  <c r="AT147" i="12"/>
  <c r="AT179" i="12"/>
  <c r="AT182" i="12"/>
  <c r="AT79" i="12"/>
  <c r="AT152" i="12"/>
  <c r="AT137" i="12"/>
  <c r="AS205" i="12"/>
  <c r="AT186" i="12"/>
  <c r="AT60" i="12"/>
  <c r="AT133" i="12"/>
  <c r="AT10" i="12"/>
  <c r="AT84" i="12"/>
  <c r="AT98" i="12"/>
  <c r="AT49" i="12"/>
  <c r="AT200" i="12"/>
  <c r="F106" i="4"/>
  <c r="F91" i="4"/>
  <c r="F85" i="4"/>
  <c r="F79" i="4"/>
  <c r="F74" i="4"/>
  <c r="F70" i="4"/>
  <c r="F34" i="4"/>
  <c r="F77" i="4"/>
  <c r="F53" i="4"/>
  <c r="F47" i="4"/>
  <c r="W53" i="23"/>
  <c r="AT17" i="12"/>
  <c r="AT153" i="12"/>
  <c r="AT116" i="12"/>
  <c r="AT136" i="12"/>
  <c r="AT77" i="12"/>
  <c r="AT61" i="12"/>
  <c r="AT68" i="12"/>
  <c r="AT134" i="12"/>
  <c r="AT103" i="12"/>
  <c r="AT162" i="12"/>
  <c r="AT169" i="12"/>
  <c r="AT154" i="12"/>
  <c r="AT14" i="12"/>
  <c r="AS69" i="12"/>
  <c r="AT170" i="12"/>
  <c r="AT86" i="12"/>
  <c r="AT196" i="12"/>
  <c r="AT183" i="12"/>
  <c r="AT118" i="12"/>
  <c r="F44" i="4"/>
  <c r="P53" i="23"/>
  <c r="AT52" i="12"/>
  <c r="AT46" i="12"/>
  <c r="AT31" i="12"/>
  <c r="AT184" i="12"/>
  <c r="AT65" i="12"/>
  <c r="AT132" i="12"/>
  <c r="AT145" i="12"/>
  <c r="AT130" i="12"/>
  <c r="AT63" i="12"/>
  <c r="AT202" i="12"/>
  <c r="AT129" i="12"/>
  <c r="AT115" i="12"/>
  <c r="AT97" i="12"/>
  <c r="AT99" i="12"/>
  <c r="AT111" i="12"/>
  <c r="AT114" i="12"/>
  <c r="AT101" i="12"/>
  <c r="AT16" i="12"/>
  <c r="F104" i="4"/>
  <c r="F100" i="4"/>
  <c r="F49" i="4"/>
  <c r="F32" i="4"/>
  <c r="F17" i="4"/>
  <c r="F21" i="4"/>
  <c r="I5" i="23"/>
  <c r="Y5" i="23"/>
  <c r="W32" i="23"/>
  <c r="AT166" i="12"/>
  <c r="AT131" i="12"/>
  <c r="AT188" i="12"/>
  <c r="AT201" i="12"/>
  <c r="AT112" i="12"/>
  <c r="AT26" i="12"/>
  <c r="AT85" i="12"/>
  <c r="AT32" i="12"/>
  <c r="AT67" i="12"/>
  <c r="AT33" i="12"/>
  <c r="AT83" i="12"/>
  <c r="AT96" i="12"/>
  <c r="AT148" i="12"/>
  <c r="AT11" i="12"/>
  <c r="AT203" i="12"/>
  <c r="AT82" i="12"/>
  <c r="AT95" i="12"/>
  <c r="AT165" i="12"/>
  <c r="AT15" i="12"/>
  <c r="AT48" i="12"/>
  <c r="AT29" i="12"/>
  <c r="AT135" i="12"/>
  <c r="AS48" i="12"/>
  <c r="F98" i="4"/>
  <c r="F56" i="4"/>
  <c r="AP17" i="1"/>
  <c r="AP15" i="1"/>
  <c r="AP23" i="1"/>
  <c r="AP21" i="1"/>
  <c r="AP19" i="1"/>
  <c r="AP24" i="1"/>
  <c r="AP20" i="1"/>
  <c r="AP16" i="1"/>
  <c r="BM187" i="12"/>
  <c r="BM43" i="12"/>
  <c r="BM67" i="12"/>
  <c r="BM116" i="12"/>
  <c r="BM182" i="12"/>
  <c r="BL8" i="12"/>
  <c r="BL27" i="12"/>
  <c r="BL63" i="12"/>
  <c r="BL98" i="12"/>
  <c r="BL145" i="12"/>
  <c r="BL171" i="12"/>
  <c r="BL29" i="12"/>
  <c r="BL65" i="12"/>
  <c r="BL100" i="12"/>
  <c r="BL147" i="12"/>
  <c r="BL180" i="12"/>
  <c r="BL31" i="12"/>
  <c r="BL67" i="12"/>
  <c r="BL102" i="12"/>
  <c r="BL149" i="12"/>
  <c r="BL182" i="12"/>
  <c r="BL33" i="12"/>
  <c r="BL69" i="12"/>
  <c r="BL111" i="12"/>
  <c r="BL151" i="12"/>
  <c r="BL184" i="12"/>
  <c r="BL35" i="12"/>
  <c r="BL78" i="12"/>
  <c r="BL113" i="12"/>
  <c r="BL153" i="12"/>
  <c r="BL186" i="12"/>
  <c r="BL44" i="12"/>
  <c r="BL80" i="12"/>
  <c r="BL115" i="12"/>
  <c r="BL162" i="12"/>
  <c r="BL188" i="12"/>
  <c r="BL46" i="12"/>
  <c r="BL82" i="12"/>
  <c r="BL117" i="12"/>
  <c r="BL164" i="12"/>
  <c r="BL197" i="12"/>
  <c r="BL48" i="12"/>
  <c r="BL84" i="12"/>
  <c r="BL120" i="12"/>
  <c r="BL166" i="12"/>
  <c r="BL199" i="12"/>
  <c r="BL50" i="12"/>
  <c r="BL86" i="12"/>
  <c r="BL129" i="12"/>
  <c r="BL163" i="12"/>
  <c r="BL201" i="12"/>
  <c r="BL32" i="12"/>
  <c r="BL95" i="12"/>
  <c r="BL131" i="12"/>
  <c r="BL167" i="12"/>
  <c r="BL203" i="12"/>
  <c r="BL34" i="12"/>
  <c r="BL97" i="12"/>
  <c r="BL133" i="12"/>
  <c r="BL168" i="12"/>
  <c r="BL205" i="12"/>
  <c r="BL43" i="12"/>
  <c r="BL99" i="12"/>
  <c r="BL135" i="12"/>
  <c r="BL170" i="12"/>
  <c r="BL9" i="12"/>
  <c r="BL11" i="12"/>
  <c r="BL45" i="12"/>
  <c r="BL101" i="12"/>
  <c r="BL137" i="12"/>
  <c r="BL179" i="12"/>
  <c r="BL13" i="12"/>
  <c r="BL47" i="12"/>
  <c r="BL103" i="12"/>
  <c r="BL146" i="12"/>
  <c r="BL181" i="12"/>
  <c r="BL15" i="12"/>
  <c r="BL49" i="12"/>
  <c r="BL112" i="12"/>
  <c r="BL148" i="12"/>
  <c r="BL183" i="12"/>
  <c r="BL10" i="12"/>
  <c r="BL51" i="12"/>
  <c r="BL114" i="12"/>
  <c r="BL150" i="12"/>
  <c r="BL185" i="12"/>
  <c r="BL12" i="12"/>
  <c r="BL60" i="12"/>
  <c r="BL116" i="12"/>
  <c r="BL152" i="12"/>
  <c r="BL187" i="12"/>
  <c r="BL14" i="12"/>
  <c r="BL62" i="12"/>
  <c r="BL118" i="12"/>
  <c r="BL154" i="12"/>
  <c r="BL196" i="12"/>
  <c r="BL17" i="12"/>
  <c r="BL64" i="12"/>
  <c r="BL79" i="12"/>
  <c r="BL119" i="12"/>
  <c r="BL198" i="12"/>
  <c r="BL26" i="12"/>
  <c r="BL66" i="12"/>
  <c r="BL81" i="12"/>
  <c r="BL128" i="12"/>
  <c r="BL200" i="12"/>
  <c r="BL28" i="12"/>
  <c r="BL68" i="12"/>
  <c r="BL83" i="12"/>
  <c r="BL130" i="12"/>
  <c r="BL202" i="12"/>
  <c r="BL30" i="12"/>
  <c r="BL77" i="12"/>
  <c r="BL85" i="12"/>
  <c r="BL132" i="12"/>
  <c r="BL204" i="12"/>
  <c r="BL16" i="12"/>
  <c r="BL52" i="12"/>
  <c r="BL94" i="12"/>
  <c r="BL134" i="12"/>
  <c r="BL165" i="12"/>
  <c r="BL18" i="12"/>
  <c r="BL61" i="12"/>
  <c r="BL96" i="12"/>
  <c r="BL136" i="12"/>
  <c r="BL169" i="12"/>
  <c r="I39" i="4"/>
  <c r="J39" i="4"/>
  <c r="I27" i="4"/>
  <c r="J27" i="4"/>
  <c r="I21" i="4"/>
  <c r="J21" i="4"/>
  <c r="G39" i="10"/>
  <c r="G51" i="10"/>
  <c r="I53" i="4"/>
  <c r="J53" i="4"/>
  <c r="G57" i="10"/>
  <c r="I47" i="4"/>
  <c r="J47" i="4"/>
  <c r="I9" i="23"/>
  <c r="BE180" i="12"/>
  <c r="BE95" i="12"/>
  <c r="BE84" i="12"/>
  <c r="BE60" i="12"/>
  <c r="BE81" i="12"/>
  <c r="BE154" i="12"/>
  <c r="BE198" i="12"/>
  <c r="BE164" i="12"/>
  <c r="BE187" i="12"/>
  <c r="BE98" i="12"/>
  <c r="BE200" i="12"/>
  <c r="BE66" i="12"/>
  <c r="BE146" i="12"/>
  <c r="BE185" i="12"/>
  <c r="BE77" i="12"/>
  <c r="BE203" i="12"/>
  <c r="BE48" i="12"/>
  <c r="BE97" i="12"/>
  <c r="BE52" i="12"/>
  <c r="BE49" i="12"/>
  <c r="BE118" i="12"/>
  <c r="BE201" i="12"/>
  <c r="BE35" i="12"/>
  <c r="BE51" i="12"/>
  <c r="BE69" i="12"/>
  <c r="BE165" i="12"/>
  <c r="BE115" i="12"/>
  <c r="BE131" i="12"/>
  <c r="BE78" i="12"/>
  <c r="BE168" i="12"/>
  <c r="BE17" i="12"/>
  <c r="BE133" i="12"/>
  <c r="BE14" i="12"/>
  <c r="BE102" i="12"/>
  <c r="BE153" i="12"/>
  <c r="BE11" i="12"/>
  <c r="BE128" i="12"/>
  <c r="BE18" i="12"/>
  <c r="BE197" i="12"/>
  <c r="BE186" i="12"/>
  <c r="BE199" i="12"/>
  <c r="BE100" i="12"/>
  <c r="BE136" i="12"/>
  <c r="BE169" i="12"/>
  <c r="BE150" i="12"/>
  <c r="BE196" i="12"/>
  <c r="BE80" i="12"/>
  <c r="BE34" i="12"/>
  <c r="BE85" i="12"/>
  <c r="BE101" i="12"/>
  <c r="BE145" i="12"/>
  <c r="BE202" i="12"/>
  <c r="BE94" i="12"/>
  <c r="BE8" i="12"/>
  <c r="BE28" i="12"/>
  <c r="BE79" i="12"/>
  <c r="BE181" i="12"/>
  <c r="BE67" i="12"/>
  <c r="BE44" i="12"/>
  <c r="BE114" i="12"/>
  <c r="BE103" i="12"/>
  <c r="BE134" i="12"/>
  <c r="BE15" i="12"/>
  <c r="BE64" i="12"/>
  <c r="BE86" i="12"/>
  <c r="BE111" i="12"/>
  <c r="BE99" i="12"/>
  <c r="BE163" i="12"/>
  <c r="BE152" i="12"/>
  <c r="BE27" i="12"/>
  <c r="BE83" i="12"/>
  <c r="BE45" i="12"/>
  <c r="BE135" i="12"/>
  <c r="BE29" i="12"/>
  <c r="BE9" i="12"/>
  <c r="BE12" i="12"/>
  <c r="BE13" i="12"/>
  <c r="BE149" i="12"/>
  <c r="BE62" i="12"/>
  <c r="BE148" i="12"/>
  <c r="BE61" i="12"/>
  <c r="BE50" i="12"/>
  <c r="BE184" i="12"/>
  <c r="BE113" i="12"/>
  <c r="BE129" i="12"/>
  <c r="BE33" i="12"/>
  <c r="BE30" i="12"/>
  <c r="BE117" i="12"/>
  <c r="BE116" i="12"/>
  <c r="BE96" i="12"/>
  <c r="BE179" i="12"/>
  <c r="BE205" i="12"/>
  <c r="BE167" i="12"/>
  <c r="BE68" i="12"/>
  <c r="BE132" i="12"/>
  <c r="BE119" i="12"/>
  <c r="BE162" i="12"/>
  <c r="BE63" i="12"/>
  <c r="BE171" i="12"/>
  <c r="BE166" i="12"/>
  <c r="BE120" i="12"/>
  <c r="BE26" i="12"/>
  <c r="BE43" i="12"/>
  <c r="BE32" i="12"/>
  <c r="BE170" i="12"/>
  <c r="BE65" i="12"/>
  <c r="BE137" i="12"/>
  <c r="BE31" i="12"/>
  <c r="BE147" i="12"/>
  <c r="BE46" i="12"/>
  <c r="BE10" i="12"/>
  <c r="BE151" i="12"/>
  <c r="BE16" i="12"/>
  <c r="BE130" i="12"/>
  <c r="BE47" i="12"/>
  <c r="BE112" i="12"/>
  <c r="BE82" i="12"/>
  <c r="BE182" i="12"/>
  <c r="BE204" i="12"/>
  <c r="BE183" i="12"/>
  <c r="BE188" i="12"/>
  <c r="BH164" i="12"/>
  <c r="BH15" i="12"/>
  <c r="BH47" i="12"/>
  <c r="BH115" i="12"/>
  <c r="BH134" i="12"/>
  <c r="BH98" i="12"/>
  <c r="BH86" i="12"/>
  <c r="BH113" i="12"/>
  <c r="BH163" i="12"/>
  <c r="BH170" i="12"/>
  <c r="BH35" i="12"/>
  <c r="BH188" i="12"/>
  <c r="BH102" i="12"/>
  <c r="BH199" i="12"/>
  <c r="BH146" i="12"/>
  <c r="BH94" i="12"/>
  <c r="BH63" i="12"/>
  <c r="BH148" i="12"/>
  <c r="BH17" i="12"/>
  <c r="BH145" i="12"/>
  <c r="BH183" i="12"/>
  <c r="BH186" i="12"/>
  <c r="BH200" i="12"/>
  <c r="BH32" i="12"/>
  <c r="BH205" i="12"/>
  <c r="BH179" i="12"/>
  <c r="BH100" i="12"/>
  <c r="BH44" i="12"/>
  <c r="BH30" i="12"/>
  <c r="BH27" i="12"/>
  <c r="BH116" i="12"/>
  <c r="BH66" i="12"/>
  <c r="BH83" i="12"/>
  <c r="BH95" i="12"/>
  <c r="BH9" i="12"/>
  <c r="BH168" i="12"/>
  <c r="BH137" i="12"/>
  <c r="BH201" i="12"/>
  <c r="BH119" i="12"/>
  <c r="BH182" i="12"/>
  <c r="BH166" i="12"/>
  <c r="BH16" i="12"/>
  <c r="BH197" i="12"/>
  <c r="BH120" i="12"/>
  <c r="BH204" i="12"/>
  <c r="BH26" i="12"/>
  <c r="BH84" i="12"/>
  <c r="BH50" i="12"/>
  <c r="BH196" i="12"/>
  <c r="BH85" i="12"/>
  <c r="BH61" i="12"/>
  <c r="BH112" i="12"/>
  <c r="BH68" i="12"/>
  <c r="BH162" i="12"/>
  <c r="BH132" i="12"/>
  <c r="BH8" i="12"/>
  <c r="BH153" i="12"/>
  <c r="BH117" i="12"/>
  <c r="BH130" i="12"/>
  <c r="BH52" i="12"/>
  <c r="BH51" i="12"/>
  <c r="BH18" i="12"/>
  <c r="BH171" i="12"/>
  <c r="BH181" i="12"/>
  <c r="BH202" i="12"/>
  <c r="BH31" i="12"/>
  <c r="BH80" i="12"/>
  <c r="BH78" i="12"/>
  <c r="BH46" i="12"/>
  <c r="BH12" i="12"/>
  <c r="BH167" i="12"/>
  <c r="BH135" i="12"/>
  <c r="BH13" i="12"/>
  <c r="BH10" i="12"/>
  <c r="BH82" i="12"/>
  <c r="BH203" i="12"/>
  <c r="BH60" i="12"/>
  <c r="BH14" i="12"/>
  <c r="BH198" i="12"/>
  <c r="BH128" i="12"/>
  <c r="BH96" i="12"/>
  <c r="BH131" i="12"/>
  <c r="BH99" i="12"/>
  <c r="BH149" i="12"/>
  <c r="BH69" i="12"/>
  <c r="BH147" i="12"/>
  <c r="BH64" i="12"/>
  <c r="BH151" i="12"/>
  <c r="BH79" i="12"/>
  <c r="BH129" i="12"/>
  <c r="BH184" i="12"/>
  <c r="BH28" i="12"/>
  <c r="BH169" i="12"/>
  <c r="BH180" i="12"/>
  <c r="BH150" i="12"/>
  <c r="BH133" i="12"/>
  <c r="BH101" i="12"/>
  <c r="BH136" i="12"/>
  <c r="BH114" i="12"/>
  <c r="BH33" i="12"/>
  <c r="BH152" i="12"/>
  <c r="BH49" i="12"/>
  <c r="BH77" i="12"/>
  <c r="BH97" i="12"/>
  <c r="BH45" i="12"/>
  <c r="BH67" i="12"/>
  <c r="BH62" i="12"/>
  <c r="BH81" i="12"/>
  <c r="BH43" i="12"/>
  <c r="BH185" i="12"/>
  <c r="BH154" i="12"/>
  <c r="BH48" i="12"/>
  <c r="BH118" i="12"/>
  <c r="BH29" i="12"/>
  <c r="BH34" i="12"/>
  <c r="BH11" i="12"/>
  <c r="BH103" i="12"/>
  <c r="BH187" i="12"/>
  <c r="BH165" i="12"/>
  <c r="BH111" i="12"/>
  <c r="BH65" i="12"/>
  <c r="F115" i="4"/>
  <c r="F109" i="4"/>
  <c r="F65" i="4"/>
  <c r="F59" i="4"/>
  <c r="F41" i="4"/>
  <c r="F24" i="4"/>
  <c r="BF13" i="12"/>
  <c r="BP26" i="12"/>
  <c r="BP10" i="12"/>
  <c r="F112" i="4"/>
  <c r="F102" i="4"/>
  <c r="F84" i="4"/>
  <c r="F62" i="4"/>
  <c r="F40" i="4"/>
  <c r="F29" i="4"/>
  <c r="F23" i="4"/>
  <c r="BF137" i="12"/>
  <c r="BF35" i="12"/>
  <c r="BP69" i="12"/>
  <c r="F94" i="4"/>
  <c r="F89" i="4"/>
  <c r="W44" i="23"/>
  <c r="BP135" i="12"/>
  <c r="BP84" i="12"/>
  <c r="BP182" i="12"/>
  <c r="F19" i="4"/>
  <c r="F88" i="4"/>
  <c r="F78" i="4"/>
  <c r="F60" i="4"/>
  <c r="F38" i="4"/>
  <c r="F33" i="4"/>
  <c r="W46" i="23"/>
  <c r="F83" i="4"/>
  <c r="F35" i="4"/>
  <c r="BF51" i="12"/>
  <c r="BF119" i="12"/>
  <c r="BF118" i="12"/>
  <c r="BF136" i="12"/>
  <c r="BF184" i="12"/>
  <c r="BF179" i="12"/>
  <c r="BF34" i="12"/>
  <c r="AS133" i="12"/>
  <c r="AS171" i="12"/>
  <c r="AS67" i="12"/>
  <c r="AS166" i="12"/>
  <c r="AS50" i="12"/>
  <c r="AS16" i="12"/>
  <c r="F111" i="4"/>
  <c r="BF185" i="12"/>
  <c r="BF14" i="12"/>
  <c r="BF182" i="12"/>
  <c r="AS113" i="12"/>
  <c r="AS77" i="12"/>
  <c r="AS164" i="12"/>
  <c r="AS98" i="12"/>
  <c r="AS64" i="12"/>
  <c r="AS111" i="12"/>
  <c r="AS199" i="12"/>
  <c r="AS18" i="12"/>
  <c r="F96" i="4"/>
  <c r="F72" i="4"/>
  <c r="F48" i="4"/>
  <c r="F110" i="4"/>
  <c r="BF52" i="12"/>
  <c r="BF132" i="12"/>
  <c r="BF163" i="12"/>
  <c r="BF17" i="12"/>
  <c r="BF65" i="12"/>
  <c r="BF45" i="12"/>
  <c r="BF66" i="12"/>
  <c r="BF149" i="12"/>
  <c r="AS153" i="12"/>
  <c r="AS8" i="12"/>
  <c r="AS47" i="12"/>
  <c r="AS44" i="12"/>
  <c r="AS28" i="12"/>
  <c r="AS46" i="12"/>
  <c r="AS136" i="12"/>
  <c r="AS196" i="12"/>
  <c r="AS154" i="12"/>
  <c r="BF46" i="12"/>
  <c r="BF85" i="12"/>
  <c r="BF148" i="12"/>
  <c r="BF128" i="12"/>
  <c r="BF31" i="12"/>
  <c r="BF83" i="12"/>
  <c r="BF196" i="12"/>
  <c r="BF79" i="12"/>
  <c r="BF32" i="12"/>
  <c r="AS14" i="12"/>
  <c r="AS102" i="12"/>
  <c r="AS99" i="12"/>
  <c r="AS130" i="12"/>
  <c r="AS79" i="12"/>
  <c r="AS12" i="12"/>
  <c r="F114" i="4"/>
  <c r="F90" i="4"/>
  <c r="F66" i="4"/>
  <c r="F42" i="4"/>
  <c r="BF162" i="12"/>
  <c r="BF94" i="12"/>
  <c r="BF197" i="12"/>
  <c r="BF102" i="12"/>
  <c r="BF165" i="12"/>
  <c r="BF28" i="12"/>
  <c r="BF166" i="12"/>
  <c r="BF152" i="12"/>
  <c r="AS198" i="12"/>
  <c r="AS152" i="12"/>
  <c r="AS150" i="12"/>
  <c r="AS163" i="12"/>
  <c r="F99" i="4"/>
  <c r="F75" i="4"/>
  <c r="F51" i="4"/>
  <c r="F113" i="4"/>
  <c r="P27" i="23"/>
  <c r="BF117" i="12"/>
  <c r="BF80" i="12"/>
  <c r="BF180" i="12"/>
  <c r="BF203" i="12"/>
  <c r="BF167" i="12"/>
  <c r="BF33" i="12"/>
  <c r="AS52" i="12"/>
  <c r="AS97" i="12"/>
  <c r="AS135" i="12"/>
  <c r="AS134" i="12"/>
  <c r="AS30" i="12"/>
  <c r="AS116" i="12"/>
  <c r="F108" i="4"/>
  <c r="W48" i="23"/>
  <c r="BF113" i="12"/>
  <c r="BF99" i="12"/>
  <c r="BF198" i="12"/>
  <c r="AS81" i="12"/>
  <c r="AS151" i="12"/>
  <c r="AS149" i="12"/>
  <c r="AS65" i="12"/>
  <c r="F117" i="4"/>
  <c r="F93" i="4"/>
  <c r="F69" i="4"/>
  <c r="F45" i="4"/>
  <c r="F107" i="4"/>
  <c r="F116" i="4"/>
  <c r="BO81" i="12"/>
  <c r="AT51" i="12"/>
  <c r="AT151" i="12"/>
  <c r="BO63" i="12"/>
  <c r="AT66" i="12"/>
  <c r="BO200" i="12"/>
  <c r="F31" i="4"/>
  <c r="H17" i="4"/>
  <c r="F25" i="4"/>
  <c r="BQ28" i="12"/>
  <c r="BQ97" i="12"/>
  <c r="BQ43" i="12"/>
  <c r="BQ44" i="12"/>
  <c r="AU32" i="12"/>
  <c r="AU182" i="12"/>
  <c r="BQ66" i="12"/>
  <c r="AS13" i="12"/>
  <c r="AS180" i="12"/>
  <c r="AS34" i="12"/>
  <c r="AS82" i="12"/>
  <c r="AS147" i="12"/>
  <c r="AS66" i="12"/>
  <c r="AS101" i="12"/>
  <c r="AS62" i="12"/>
  <c r="AS169" i="12"/>
  <c r="AS129" i="12"/>
  <c r="AS17" i="12"/>
  <c r="AS132" i="12"/>
  <c r="AS183" i="12"/>
  <c r="AS181" i="12"/>
  <c r="BO29" i="12"/>
  <c r="AT94" i="12"/>
  <c r="BO67" i="12"/>
  <c r="AT8" i="12"/>
  <c r="BO28" i="12"/>
  <c r="I46" i="23"/>
  <c r="W33" i="23"/>
  <c r="AC11" i="23"/>
  <c r="AX52" i="12"/>
  <c r="AX114" i="12"/>
  <c r="AX49" i="12"/>
  <c r="AX166" i="12"/>
  <c r="AX201" i="12"/>
  <c r="AX97" i="12"/>
  <c r="AX34" i="12"/>
  <c r="AX151" i="12"/>
  <c r="AX171" i="12"/>
  <c r="AX164" i="12"/>
  <c r="AX183" i="12"/>
  <c r="AV129" i="12"/>
  <c r="AV179" i="12"/>
  <c r="AV94" i="12"/>
  <c r="AV168" i="12"/>
  <c r="AU79" i="12"/>
  <c r="AU103" i="12"/>
  <c r="AU100" i="12"/>
  <c r="AU204" i="12"/>
  <c r="AU96" i="12"/>
  <c r="AU112" i="12"/>
  <c r="AU120" i="12"/>
  <c r="AU97" i="12"/>
  <c r="AU153" i="12"/>
  <c r="AU165" i="12"/>
  <c r="AU179" i="12"/>
  <c r="AU33" i="12"/>
  <c r="AU80" i="12"/>
  <c r="AU81" i="12"/>
  <c r="AU52" i="12"/>
  <c r="AU66" i="12"/>
  <c r="AU187" i="12"/>
  <c r="AU188" i="12"/>
  <c r="AU152" i="12"/>
  <c r="AU133" i="12"/>
  <c r="AU63" i="12"/>
  <c r="AU47" i="12"/>
  <c r="AU35" i="12"/>
  <c r="AU44" i="12"/>
  <c r="AU111" i="12"/>
  <c r="AU184" i="12"/>
  <c r="AU11" i="12"/>
  <c r="AU84" i="12"/>
  <c r="AU28" i="12"/>
  <c r="AU199" i="12"/>
  <c r="AU83" i="12"/>
  <c r="AU26" i="12"/>
  <c r="AU201" i="12"/>
  <c r="AU203" i="12"/>
  <c r="AU9" i="12"/>
  <c r="AU113" i="12"/>
  <c r="AU202" i="12"/>
  <c r="AU48" i="12"/>
  <c r="AU163" i="12"/>
  <c r="AU171" i="12"/>
  <c r="AU151" i="12"/>
  <c r="AU129" i="12"/>
  <c r="AU117" i="12"/>
  <c r="AU18" i="12"/>
  <c r="AU31" i="12"/>
  <c r="AU200" i="12"/>
  <c r="AU115" i="12"/>
  <c r="AU167" i="12"/>
  <c r="AU116" i="12"/>
  <c r="AU164" i="12"/>
  <c r="AU60" i="12"/>
  <c r="AU8" i="12"/>
  <c r="AU170" i="12"/>
  <c r="AU119" i="12"/>
  <c r="AU146" i="12"/>
  <c r="AU205" i="12"/>
  <c r="AU185" i="12"/>
  <c r="AU101" i="12"/>
  <c r="AU34" i="12"/>
  <c r="AU162" i="12"/>
  <c r="AU27" i="12"/>
  <c r="AU98" i="12"/>
  <c r="AU50" i="12"/>
  <c r="AU10" i="12"/>
  <c r="AU15" i="12"/>
  <c r="AU68" i="12"/>
  <c r="AU43" i="12"/>
  <c r="AU65" i="12"/>
  <c r="AU94" i="12"/>
  <c r="AU61" i="12"/>
  <c r="AU99" i="12"/>
  <c r="AU17" i="12"/>
  <c r="AU130" i="12"/>
  <c r="AU78" i="12"/>
  <c r="AU198" i="12"/>
  <c r="AU145" i="12"/>
  <c r="AU62" i="12"/>
  <c r="AU132" i="12"/>
  <c r="AU181" i="12"/>
  <c r="AU30" i="12"/>
  <c r="AU14" i="12"/>
  <c r="AU154" i="12"/>
  <c r="AU183" i="12"/>
  <c r="AU168" i="12"/>
  <c r="AU45" i="12"/>
  <c r="AU64" i="12"/>
  <c r="AU77" i="12"/>
  <c r="AU102" i="12"/>
  <c r="AU12" i="12"/>
  <c r="AU131" i="12"/>
  <c r="AU197" i="12"/>
  <c r="AU114" i="12"/>
  <c r="AU118" i="12"/>
  <c r="AU86" i="12"/>
  <c r="AU51" i="12"/>
  <c r="AU13" i="12"/>
  <c r="AU128" i="12"/>
  <c r="AU134" i="12"/>
  <c r="AU186" i="12"/>
  <c r="AU95" i="12"/>
  <c r="AU69" i="12"/>
  <c r="AU196" i="12"/>
  <c r="AU136" i="12"/>
  <c r="AU85" i="12"/>
  <c r="AU16" i="12"/>
  <c r="AU29" i="12"/>
  <c r="AU137" i="12"/>
  <c r="AU169" i="12"/>
  <c r="AU149" i="12"/>
  <c r="AU67" i="12"/>
  <c r="AU150" i="12"/>
  <c r="AU46" i="12"/>
  <c r="AU82" i="12"/>
  <c r="AU148" i="12"/>
  <c r="AU49" i="12"/>
  <c r="AU135" i="12"/>
  <c r="AU166" i="12"/>
  <c r="AU180" i="12"/>
  <c r="AV102" i="12"/>
  <c r="AV152" i="12"/>
  <c r="AV117" i="12"/>
  <c r="AV45" i="12"/>
  <c r="AV30" i="12"/>
  <c r="AV100" i="12"/>
  <c r="AV202" i="12"/>
  <c r="AV18" i="12"/>
  <c r="AV119" i="12"/>
  <c r="AV145" i="12"/>
  <c r="AV183" i="12"/>
  <c r="AV136" i="12"/>
  <c r="AV149" i="12"/>
  <c r="AV154" i="12"/>
  <c r="AV150" i="12"/>
  <c r="AV65" i="12"/>
  <c r="AV62" i="12"/>
  <c r="AV51" i="12"/>
  <c r="AV198" i="12"/>
  <c r="AV68" i="12"/>
  <c r="AV43" i="12"/>
  <c r="AV33" i="12"/>
  <c r="AV32" i="12"/>
  <c r="AV186" i="12"/>
  <c r="AV200" i="12"/>
  <c r="AV11" i="12"/>
  <c r="AV28" i="12"/>
  <c r="AV16" i="12"/>
  <c r="AV101" i="12"/>
  <c r="AV31" i="12"/>
  <c r="AV170" i="12"/>
  <c r="AV112" i="12"/>
  <c r="AV78" i="12"/>
  <c r="AV52" i="12"/>
  <c r="AV199" i="12"/>
  <c r="AV205" i="12"/>
  <c r="AV197" i="12"/>
  <c r="AV180" i="12"/>
  <c r="AV165" i="12"/>
  <c r="AV83" i="12"/>
  <c r="AV44" i="12"/>
  <c r="AV27" i="12"/>
  <c r="AV182" i="12"/>
  <c r="AV97" i="12"/>
  <c r="AV64" i="12"/>
  <c r="AV17" i="12"/>
  <c r="AV26" i="12"/>
  <c r="AV153" i="12"/>
  <c r="AV137" i="12"/>
  <c r="AV15" i="12"/>
  <c r="AV61" i="12"/>
  <c r="AV133" i="12"/>
  <c r="AV98" i="12"/>
  <c r="AV111" i="12"/>
  <c r="AV167" i="12"/>
  <c r="AV116" i="12"/>
  <c r="AV81" i="12"/>
  <c r="AV146" i="12"/>
  <c r="AV95" i="12"/>
  <c r="AV130" i="12"/>
  <c r="AV135" i="12"/>
  <c r="AV131" i="12"/>
  <c r="AV148" i="12"/>
  <c r="AV113" i="12"/>
  <c r="AV181" i="12"/>
  <c r="AV85" i="12"/>
  <c r="AV14" i="12"/>
  <c r="AV166" i="12"/>
  <c r="AV185" i="12"/>
  <c r="AV103" i="12"/>
  <c r="AV84" i="12"/>
  <c r="AV77" i="12"/>
  <c r="AV50" i="12"/>
  <c r="AV171" i="12"/>
  <c r="AV147" i="12"/>
  <c r="AV164" i="12"/>
  <c r="AV128" i="12"/>
  <c r="AV134" i="12"/>
  <c r="AV46" i="12"/>
  <c r="AV47" i="12"/>
  <c r="AV60" i="12"/>
  <c r="AV48" i="12"/>
  <c r="AV34" i="12"/>
  <c r="AV118" i="12"/>
  <c r="AV12" i="12"/>
  <c r="AV162" i="12"/>
  <c r="AV163" i="12"/>
  <c r="AV196" i="12"/>
  <c r="AV151" i="12"/>
  <c r="AV99" i="12"/>
  <c r="AV35" i="12"/>
  <c r="AV187" i="12"/>
  <c r="AV29" i="12"/>
  <c r="AV96" i="12"/>
  <c r="AV82" i="12"/>
  <c r="AV132" i="12"/>
  <c r="AV10" i="12"/>
  <c r="AV63" i="12"/>
  <c r="AV79" i="12"/>
  <c r="AV8" i="12"/>
  <c r="AV188" i="12"/>
  <c r="AV184" i="12"/>
  <c r="AV201" i="12"/>
  <c r="AV169" i="12"/>
  <c r="AV204" i="12"/>
  <c r="AV115" i="12"/>
  <c r="AV69" i="12"/>
  <c r="AV66" i="12"/>
  <c r="AV80" i="12"/>
  <c r="AV86" i="12"/>
  <c r="AV114" i="12"/>
  <c r="AV49" i="12"/>
  <c r="AV120" i="12"/>
  <c r="AV13" i="12"/>
  <c r="AV67" i="12"/>
  <c r="AV9" i="12"/>
  <c r="AV203" i="12"/>
  <c r="AW166" i="12"/>
  <c r="AW185" i="12"/>
  <c r="AW67" i="12"/>
  <c r="AW128" i="12"/>
  <c r="AW84" i="12"/>
  <c r="AW49" i="12"/>
  <c r="AW35" i="12"/>
  <c r="AW179" i="12"/>
  <c r="AW95" i="12"/>
  <c r="AW64" i="12"/>
  <c r="AW148" i="12"/>
  <c r="AW51" i="12"/>
  <c r="AW29" i="12"/>
  <c r="AW16" i="12"/>
  <c r="AW68" i="12"/>
  <c r="AW69" i="12"/>
  <c r="AW182" i="12"/>
  <c r="AW32" i="12"/>
  <c r="AW82" i="12"/>
  <c r="AW169" i="12"/>
  <c r="AW116" i="12"/>
  <c r="AW133" i="12"/>
  <c r="AW79" i="12"/>
  <c r="AW149" i="12"/>
  <c r="AW102" i="12"/>
  <c r="AW137" i="12"/>
  <c r="AW153" i="12"/>
  <c r="AW44" i="12"/>
  <c r="AW134" i="12"/>
  <c r="AW111" i="12"/>
  <c r="AW129" i="12"/>
  <c r="AW18" i="12"/>
  <c r="AW201" i="12"/>
  <c r="AW204" i="12"/>
  <c r="AW99" i="12"/>
  <c r="AW198" i="12"/>
  <c r="AW119" i="12"/>
  <c r="AW180" i="12"/>
  <c r="AW136" i="12"/>
  <c r="AW27" i="12"/>
  <c r="AW65" i="12"/>
  <c r="AW100" i="12"/>
  <c r="AW120" i="12"/>
  <c r="AW187" i="12"/>
  <c r="AW165" i="12"/>
  <c r="AW203" i="12"/>
  <c r="AW13" i="12"/>
  <c r="AW47" i="12"/>
  <c r="AW97" i="12"/>
  <c r="AW96" i="12"/>
  <c r="AW94" i="12"/>
  <c r="AW98" i="12"/>
  <c r="AW45" i="12"/>
  <c r="AW78" i="12"/>
  <c r="AW15" i="12"/>
  <c r="AW52" i="12"/>
  <c r="AW10" i="12"/>
  <c r="AW112" i="12"/>
  <c r="AW62" i="12"/>
  <c r="AW86" i="12"/>
  <c r="AW63" i="12"/>
  <c r="AW11" i="12"/>
  <c r="AW163" i="12"/>
  <c r="AW103" i="12"/>
  <c r="AW114" i="12"/>
  <c r="AW200" i="12"/>
  <c r="AW205" i="12"/>
  <c r="AW186" i="12"/>
  <c r="AW34" i="12"/>
  <c r="AW31" i="12"/>
  <c r="AW167" i="12"/>
  <c r="AW147" i="12"/>
  <c r="AW168" i="12"/>
  <c r="AW181" i="12"/>
  <c r="AW17" i="12"/>
  <c r="AW145" i="12"/>
  <c r="AW66" i="12"/>
  <c r="AW115" i="12"/>
  <c r="AW150" i="12"/>
  <c r="AW131" i="12"/>
  <c r="AW50" i="12"/>
  <c r="AW33" i="12"/>
  <c r="AW81" i="12"/>
  <c r="AW164" i="12"/>
  <c r="AW154" i="12"/>
  <c r="AW171" i="12"/>
  <c r="AW151" i="12"/>
  <c r="AW43" i="12"/>
  <c r="AW118" i="12"/>
  <c r="AW83" i="12"/>
  <c r="AW202" i="12"/>
  <c r="AW183" i="12"/>
  <c r="AW9" i="12"/>
  <c r="AW117" i="12"/>
  <c r="AW12" i="12"/>
  <c r="AW188" i="12"/>
  <c r="AW197" i="12"/>
  <c r="AW80" i="12"/>
  <c r="AW184" i="12"/>
  <c r="AW60" i="12"/>
  <c r="AW28" i="12"/>
  <c r="AW170" i="12"/>
  <c r="AW30" i="12"/>
  <c r="AW46" i="12"/>
  <c r="AW61" i="12"/>
  <c r="AW113" i="12"/>
  <c r="AW199" i="12"/>
  <c r="AW162" i="12"/>
  <c r="AW48" i="12"/>
  <c r="AW85" i="12"/>
  <c r="AW101" i="12"/>
  <c r="AW135" i="12"/>
  <c r="AW14" i="12"/>
  <c r="AW132" i="12"/>
  <c r="AW152" i="12"/>
  <c r="AW130" i="12"/>
  <c r="AW77" i="12"/>
  <c r="AW196" i="12"/>
  <c r="AW146" i="12"/>
  <c r="AW26" i="12"/>
  <c r="AW8" i="12"/>
  <c r="AX131" i="12"/>
  <c r="AX169" i="12"/>
  <c r="AX188" i="12"/>
  <c r="AX120" i="12"/>
  <c r="AX112" i="12"/>
  <c r="AX102" i="12"/>
  <c r="AX129" i="12"/>
  <c r="AX48" i="12"/>
  <c r="AX45" i="12"/>
  <c r="AX63" i="12"/>
  <c r="AX186" i="12"/>
  <c r="AX43" i="12"/>
  <c r="AX118" i="12"/>
  <c r="AX50" i="12"/>
  <c r="AX83" i="12"/>
  <c r="AX181" i="12"/>
  <c r="AX198" i="12"/>
  <c r="AX12" i="12"/>
  <c r="AX137" i="12"/>
  <c r="AX152" i="12"/>
  <c r="AX199" i="12"/>
  <c r="AX154" i="12"/>
  <c r="AX162" i="12"/>
  <c r="AX113" i="12"/>
  <c r="AX101" i="12"/>
  <c r="AX51" i="12"/>
  <c r="AX163" i="12"/>
  <c r="AX32" i="12"/>
  <c r="AX196" i="12"/>
  <c r="AX179" i="12"/>
  <c r="AX134" i="12"/>
  <c r="AX29" i="12"/>
  <c r="AX136" i="12"/>
  <c r="AX46" i="12"/>
  <c r="AX16" i="12"/>
  <c r="AX205" i="12"/>
  <c r="AX14" i="12"/>
  <c r="AX145" i="12"/>
  <c r="AX10" i="12"/>
  <c r="AX79" i="12"/>
  <c r="AX133" i="12"/>
  <c r="AX187" i="12"/>
  <c r="AX185" i="12"/>
  <c r="AX62" i="12"/>
  <c r="AX11" i="12"/>
  <c r="AX197" i="12"/>
  <c r="AX68" i="12"/>
  <c r="AX130" i="12"/>
  <c r="AX18" i="12"/>
  <c r="AX149" i="12"/>
  <c r="AX66" i="12"/>
  <c r="AX119" i="12"/>
  <c r="AX100" i="12"/>
  <c r="AX60" i="12"/>
  <c r="AX168" i="12"/>
  <c r="AX30" i="12"/>
  <c r="AX44" i="12"/>
  <c r="AX84" i="12"/>
  <c r="AX170" i="12"/>
  <c r="AX184" i="12"/>
  <c r="AX202" i="12"/>
  <c r="AX148" i="12"/>
  <c r="AX200" i="12"/>
  <c r="AX17" i="12"/>
  <c r="AX77" i="12"/>
  <c r="AX203" i="12"/>
  <c r="AX86" i="12"/>
  <c r="AX182" i="12"/>
  <c r="AX67" i="12"/>
  <c r="AX65" i="12"/>
  <c r="AX64" i="12"/>
  <c r="AX61" i="12"/>
  <c r="AX167" i="12"/>
  <c r="AX28" i="12"/>
  <c r="AX146" i="12"/>
  <c r="AX27" i="12"/>
  <c r="AX111" i="12"/>
  <c r="AX150" i="12"/>
  <c r="AX135" i="12"/>
  <c r="AX117" i="12"/>
  <c r="AX204" i="12"/>
  <c r="AX96" i="12"/>
  <c r="AX9" i="12"/>
  <c r="AX8" i="12"/>
  <c r="AX95" i="12"/>
  <c r="AX78" i="12"/>
  <c r="AX115" i="12"/>
  <c r="AX128" i="12"/>
  <c r="AX80" i="12"/>
  <c r="AX13" i="12"/>
  <c r="AX147" i="12"/>
  <c r="AX94" i="12"/>
  <c r="AX116" i="12"/>
  <c r="AX103" i="12"/>
  <c r="AX165" i="12"/>
  <c r="AX47" i="12"/>
  <c r="AX31" i="12"/>
  <c r="AX153" i="12"/>
  <c r="AX26" i="12"/>
  <c r="AX85" i="12"/>
  <c r="AX98" i="12"/>
  <c r="AX81" i="12"/>
  <c r="AX82" i="12"/>
  <c r="AX180" i="12"/>
  <c r="AX69" i="12"/>
  <c r="AX33" i="12"/>
  <c r="AX35" i="12"/>
  <c r="AX15" i="12"/>
  <c r="AX99" i="12"/>
  <c r="AX132" i="12"/>
  <c r="AY86" i="12"/>
  <c r="AY187" i="12"/>
  <c r="AY9" i="12"/>
  <c r="AY148" i="12"/>
  <c r="AY165" i="12"/>
  <c r="AY10" i="12"/>
  <c r="AY8" i="12"/>
  <c r="AY132" i="12"/>
  <c r="AY47" i="12"/>
  <c r="AY134" i="12"/>
  <c r="AY154" i="12"/>
  <c r="AY97" i="12"/>
  <c r="AY111" i="12"/>
  <c r="AY35" i="12"/>
  <c r="AY153" i="12"/>
  <c r="AY28" i="12"/>
  <c r="AY164" i="12"/>
  <c r="AY119" i="12"/>
  <c r="AY199" i="12"/>
  <c r="AY113" i="12"/>
  <c r="AY67" i="12"/>
  <c r="AY62" i="12"/>
  <c r="AY203" i="12"/>
  <c r="AY112" i="12"/>
  <c r="AY43" i="12"/>
  <c r="AY81" i="12"/>
  <c r="AY68" i="12"/>
  <c r="AY30" i="12"/>
  <c r="AY179" i="12"/>
  <c r="AY103" i="12"/>
  <c r="AY129" i="12"/>
  <c r="AY180" i="12"/>
  <c r="AY152" i="12"/>
  <c r="AY33" i="12"/>
  <c r="AY169" i="12"/>
  <c r="AY83" i="12"/>
  <c r="AY82" i="12"/>
  <c r="AY46" i="12"/>
  <c r="AY188" i="12"/>
  <c r="AY147" i="12"/>
  <c r="AY98" i="12"/>
  <c r="AY85" i="12"/>
  <c r="AY100" i="12"/>
  <c r="AY15" i="12"/>
  <c r="AY162" i="12"/>
  <c r="AY181" i="12"/>
  <c r="AY171" i="12"/>
  <c r="AY31" i="12"/>
  <c r="AY205" i="12"/>
  <c r="AY49" i="12"/>
  <c r="AY77" i="12"/>
  <c r="AY197" i="12"/>
  <c r="AY65" i="12"/>
  <c r="AY26" i="12"/>
  <c r="AY167" i="12"/>
  <c r="AY27" i="12"/>
  <c r="AY32" i="12"/>
  <c r="AY137" i="12"/>
  <c r="AY166" i="12"/>
  <c r="AY200" i="12"/>
  <c r="AY163" i="12"/>
  <c r="AY69" i="12"/>
  <c r="AY64" i="12"/>
  <c r="AY135" i="12"/>
  <c r="AY136" i="12"/>
  <c r="AY196" i="12"/>
  <c r="AY45" i="12"/>
  <c r="AY115" i="12"/>
  <c r="AY114" i="12"/>
  <c r="AY11" i="12"/>
  <c r="AY95" i="12"/>
  <c r="AY94" i="12"/>
  <c r="AY128" i="12"/>
  <c r="AY18" i="12"/>
  <c r="AY183" i="12"/>
  <c r="AY118" i="12"/>
  <c r="AY34" i="12"/>
  <c r="AY80" i="12"/>
  <c r="AY79" i="12"/>
  <c r="AY78" i="12"/>
  <c r="AY101" i="12"/>
  <c r="AY60" i="12"/>
  <c r="AY204" i="12"/>
  <c r="AY61" i="12"/>
  <c r="AY131" i="12"/>
  <c r="AY96" i="12"/>
  <c r="AY202" i="12"/>
  <c r="AY186" i="12"/>
  <c r="AY13" i="12"/>
  <c r="AY48" i="12"/>
  <c r="AY184" i="12"/>
  <c r="AY149" i="12"/>
  <c r="AY201" i="12"/>
  <c r="AY182" i="12"/>
  <c r="AY130" i="12"/>
  <c r="AY16" i="12"/>
  <c r="AY120" i="12"/>
  <c r="AY117" i="12"/>
  <c r="AY12" i="12"/>
  <c r="AY29" i="12"/>
  <c r="AY51" i="12"/>
  <c r="AY133" i="12"/>
  <c r="AY52" i="12"/>
  <c r="AY151" i="12"/>
  <c r="AY102" i="12"/>
  <c r="AY150" i="12"/>
  <c r="AY116" i="12"/>
  <c r="AY145" i="12"/>
  <c r="AY14" i="12"/>
  <c r="AY44" i="12"/>
  <c r="AY66" i="12"/>
  <c r="AY17" i="12"/>
  <c r="AY185" i="12"/>
  <c r="AY99" i="12"/>
  <c r="AY84" i="12"/>
  <c r="AY63" i="12"/>
  <c r="AY50" i="12"/>
  <c r="AY198" i="12"/>
  <c r="AY146" i="12"/>
  <c r="AY170" i="12"/>
  <c r="AY168" i="12"/>
  <c r="BA137" i="12"/>
  <c r="BA50" i="12"/>
  <c r="BA200" i="12"/>
  <c r="BA132" i="12"/>
  <c r="BA83" i="12"/>
  <c r="BA96" i="12"/>
  <c r="BA133" i="12"/>
  <c r="BA85" i="12"/>
  <c r="BA116" i="12"/>
  <c r="BA52" i="12"/>
  <c r="BA128" i="12"/>
  <c r="BA13" i="12"/>
  <c r="BA69" i="12"/>
  <c r="BA202" i="12"/>
  <c r="BA103" i="12"/>
  <c r="BA204" i="12"/>
  <c r="BA187" i="12"/>
  <c r="BA51" i="12"/>
  <c r="BA181" i="12"/>
  <c r="BA182" i="12"/>
  <c r="BA63" i="12"/>
  <c r="BA163" i="12"/>
  <c r="BA15" i="12"/>
  <c r="BA28" i="12"/>
  <c r="BA112" i="12"/>
  <c r="BA146" i="12"/>
  <c r="BA120" i="12"/>
  <c r="BA65" i="12"/>
  <c r="BA16" i="12"/>
  <c r="BA61" i="12"/>
  <c r="BA33" i="12"/>
  <c r="BA82" i="12"/>
  <c r="BA79" i="12"/>
  <c r="BA201" i="12"/>
  <c r="BA66" i="12"/>
  <c r="BA170" i="12"/>
  <c r="BA77" i="12"/>
  <c r="BA31" i="12"/>
  <c r="BA153" i="12"/>
  <c r="BA205" i="12"/>
  <c r="BA14" i="12"/>
  <c r="BA84" i="12"/>
  <c r="BA113" i="12"/>
  <c r="BA43" i="12"/>
  <c r="BA98" i="12"/>
  <c r="BC95" i="12"/>
  <c r="BC81" i="12"/>
  <c r="BC100" i="12"/>
  <c r="BC84" i="12"/>
  <c r="BC10" i="12"/>
  <c r="BC46" i="12"/>
  <c r="BC184" i="12"/>
  <c r="BC111" i="12"/>
  <c r="BC11" i="12"/>
  <c r="BC151" i="12"/>
  <c r="BC61" i="12"/>
  <c r="BC199" i="12"/>
  <c r="BC63" i="12"/>
  <c r="BC68" i="12"/>
  <c r="BC130" i="12"/>
  <c r="BC118" i="12"/>
  <c r="BC49" i="12"/>
  <c r="BC164" i="12"/>
  <c r="BC96" i="12"/>
  <c r="BC135" i="12"/>
  <c r="BC187" i="12"/>
  <c r="BC26" i="12"/>
  <c r="BC200" i="12"/>
  <c r="BC51" i="12"/>
  <c r="BC113" i="12"/>
  <c r="BC64" i="12"/>
  <c r="BC170" i="12"/>
  <c r="BC101" i="12"/>
  <c r="BC34" i="12"/>
  <c r="BC154" i="12"/>
  <c r="BC79" i="12"/>
  <c r="BC185" i="12"/>
  <c r="BC115" i="12"/>
  <c r="BC13" i="12"/>
  <c r="BC153" i="12"/>
  <c r="BC29" i="12"/>
  <c r="BC136" i="12"/>
  <c r="BC12" i="12"/>
  <c r="BC145" i="12"/>
  <c r="BC48" i="12"/>
  <c r="BC186" i="12"/>
  <c r="BC97" i="12"/>
  <c r="BC201" i="12"/>
  <c r="BC181" i="12"/>
  <c r="BC16" i="12"/>
  <c r="BC69" i="12"/>
  <c r="BC83" i="12"/>
  <c r="BC196" i="12"/>
  <c r="BC128" i="12"/>
  <c r="BC33" i="12"/>
  <c r="BC171" i="12"/>
  <c r="BC98" i="12"/>
  <c r="BC204" i="12"/>
  <c r="BC182" i="12"/>
  <c r="BC133" i="12"/>
  <c r="BC169" i="12"/>
  <c r="BC62" i="12"/>
  <c r="BC15" i="12"/>
  <c r="BC86" i="12"/>
  <c r="BC188" i="12"/>
  <c r="BC119" i="12"/>
  <c r="BC18" i="12"/>
  <c r="BC129" i="12"/>
  <c r="BC67" i="12"/>
  <c r="BC205" i="12"/>
  <c r="BC28" i="12"/>
  <c r="BC17" i="12"/>
  <c r="BC137" i="12"/>
  <c r="BC32" i="12"/>
  <c r="BC146" i="12"/>
  <c r="BC102" i="12"/>
  <c r="BC14" i="12"/>
  <c r="BC147" i="12"/>
  <c r="BC52" i="12"/>
  <c r="BC197" i="12"/>
  <c r="BC117" i="12"/>
  <c r="BC8" i="12"/>
  <c r="BC103" i="12"/>
  <c r="BC148" i="12"/>
  <c r="BC47" i="12"/>
  <c r="BC167" i="12"/>
  <c r="BC85" i="12"/>
  <c r="BC198" i="12"/>
  <c r="BC132" i="12"/>
  <c r="BC35" i="12"/>
  <c r="BC180" i="12"/>
  <c r="BC94" i="12"/>
  <c r="BC168" i="12"/>
  <c r="BC152" i="12"/>
  <c r="BC99" i="12"/>
  <c r="BC30" i="12"/>
  <c r="BC150" i="12"/>
  <c r="BC77" i="12"/>
  <c r="BC183" i="12"/>
  <c r="BC114" i="12"/>
  <c r="BC44" i="12"/>
  <c r="BC50" i="12"/>
  <c r="BC165" i="12"/>
  <c r="BC65" i="12"/>
  <c r="BC45" i="12"/>
  <c r="BC82" i="12"/>
  <c r="BC31" i="12"/>
  <c r="BC202" i="12"/>
  <c r="BC60" i="12"/>
  <c r="BC134" i="12"/>
  <c r="BC166" i="12"/>
  <c r="BC66" i="12"/>
  <c r="BC179" i="12"/>
  <c r="BC112" i="12"/>
  <c r="BC43" i="12"/>
  <c r="BC163" i="12"/>
  <c r="BC120" i="12"/>
  <c r="BC116" i="12"/>
  <c r="BC149" i="12"/>
  <c r="BC9" i="12"/>
  <c r="BC80" i="12"/>
  <c r="BC27" i="12"/>
  <c r="BC131" i="12"/>
  <c r="BC78" i="12"/>
  <c r="BC162" i="12"/>
  <c r="BC203" i="12"/>
  <c r="BF145" i="12"/>
  <c r="BF16" i="12"/>
  <c r="BF67" i="12"/>
  <c r="BF200" i="12"/>
  <c r="BF9" i="12"/>
  <c r="BF164" i="12"/>
  <c r="BF133" i="12"/>
  <c r="BF18" i="12"/>
  <c r="BF26" i="12"/>
  <c r="BF12" i="12"/>
  <c r="BF188" i="12"/>
  <c r="BF61" i="12"/>
  <c r="BF100" i="12"/>
  <c r="BF69" i="12"/>
  <c r="BF48" i="12"/>
  <c r="BF60" i="12"/>
  <c r="BF168" i="12"/>
  <c r="BF95" i="12"/>
  <c r="BF29" i="12"/>
  <c r="BF77" i="12"/>
  <c r="BF147" i="12"/>
  <c r="BF199" i="12"/>
  <c r="BF131" i="12"/>
  <c r="BF49" i="12"/>
  <c r="BF151" i="12"/>
  <c r="BF187" i="12"/>
  <c r="BF116" i="12"/>
  <c r="BF129" i="12"/>
  <c r="BF50" i="12"/>
  <c r="BF134" i="12"/>
  <c r="BF181" i="12"/>
  <c r="BF68" i="12"/>
  <c r="BF11" i="12"/>
  <c r="BF84" i="12"/>
  <c r="BF202" i="12"/>
  <c r="BF44" i="12"/>
  <c r="BF183" i="12"/>
  <c r="BF98" i="12"/>
  <c r="BF112" i="12"/>
  <c r="BF171" i="12"/>
  <c r="BF86" i="12"/>
  <c r="BF27" i="12"/>
  <c r="BF114" i="12"/>
  <c r="BF146" i="12"/>
  <c r="BF82" i="12"/>
  <c r="BF30" i="12"/>
  <c r="BF205" i="12"/>
  <c r="BF103" i="12"/>
  <c r="BF43" i="12"/>
  <c r="BF150" i="12"/>
  <c r="BF130" i="12"/>
  <c r="BF154" i="12"/>
  <c r="BF169" i="12"/>
  <c r="BF96" i="12"/>
  <c r="BF97" i="12"/>
  <c r="BF101" i="12"/>
  <c r="BF63" i="12"/>
  <c r="BF120" i="12"/>
  <c r="BF201" i="12"/>
  <c r="BF62" i="12"/>
  <c r="BF81" i="12"/>
  <c r="BF10" i="12"/>
  <c r="BF153" i="12"/>
  <c r="BF47" i="12"/>
  <c r="BF170" i="12"/>
  <c r="BF186" i="12"/>
  <c r="BF64" i="12"/>
  <c r="BF8" i="12"/>
  <c r="BF78" i="12"/>
  <c r="BF135" i="12"/>
  <c r="BF111" i="12"/>
  <c r="BF204" i="12"/>
  <c r="BF115" i="12"/>
  <c r="BF15" i="12"/>
  <c r="BG119" i="12"/>
  <c r="BG149" i="12"/>
  <c r="BG136" i="12"/>
  <c r="BG186" i="12"/>
  <c r="BG33" i="12"/>
  <c r="BG185" i="12"/>
  <c r="BG111" i="12"/>
  <c r="BG28" i="12"/>
  <c r="BG169" i="12"/>
  <c r="BG103" i="12"/>
  <c r="BG29" i="12"/>
  <c r="BG51" i="12"/>
  <c r="BG188" i="12"/>
  <c r="BG113" i="12"/>
  <c r="BG133" i="12"/>
  <c r="BG45" i="12"/>
  <c r="BG94" i="12"/>
  <c r="BG202" i="12"/>
  <c r="BG99" i="12"/>
  <c r="BG61" i="12"/>
  <c r="BG200" i="12"/>
  <c r="BG152" i="12"/>
  <c r="BG78" i="12"/>
  <c r="BG60" i="12"/>
  <c r="BG26" i="12"/>
  <c r="BG11" i="12"/>
  <c r="BG184" i="12"/>
  <c r="BG199" i="12"/>
  <c r="BG81" i="12"/>
  <c r="BG120" i="12"/>
  <c r="BG130" i="12"/>
  <c r="BG32" i="12"/>
  <c r="BG135" i="12"/>
  <c r="BG129" i="12"/>
  <c r="BG154" i="12"/>
  <c r="BG179" i="12"/>
  <c r="BG153" i="12"/>
  <c r="BG183" i="12"/>
  <c r="BG131" i="12"/>
  <c r="BG69" i="12"/>
  <c r="BG8" i="12"/>
  <c r="BG187" i="12"/>
  <c r="BG145" i="12"/>
  <c r="BG165" i="12"/>
  <c r="BG137" i="12"/>
  <c r="BG30" i="12"/>
  <c r="BG18" i="12"/>
  <c r="BG85" i="12"/>
  <c r="BG15" i="12"/>
  <c r="BG34" i="12"/>
  <c r="BG167" i="12"/>
  <c r="BG196" i="12"/>
  <c r="BG66" i="12"/>
  <c r="BG44" i="12"/>
  <c r="BG148" i="12"/>
  <c r="BG197" i="12"/>
  <c r="BG12" i="12"/>
  <c r="BG128" i="12"/>
  <c r="BG64" i="12"/>
  <c r="BG9" i="12"/>
  <c r="BG203" i="12"/>
  <c r="BG132" i="12"/>
  <c r="BG151" i="12"/>
  <c r="BG163" i="12"/>
  <c r="BG77" i="12"/>
  <c r="BG162" i="12"/>
  <c r="BG63" i="12"/>
  <c r="BG17" i="12"/>
  <c r="BG50" i="12"/>
  <c r="BG112" i="12"/>
  <c r="BG114" i="12"/>
  <c r="BG166" i="12"/>
  <c r="BG146" i="12"/>
  <c r="BG96" i="12"/>
  <c r="BG134" i="12"/>
  <c r="BG83" i="12"/>
  <c r="BG67" i="12"/>
  <c r="BG31" i="12"/>
  <c r="BG116" i="12"/>
  <c r="BG35" i="12"/>
  <c r="BG101" i="12"/>
  <c r="BG16" i="12"/>
  <c r="BG10" i="12"/>
  <c r="BG118" i="12"/>
  <c r="BG27" i="12"/>
  <c r="BG201" i="12"/>
  <c r="BG62" i="12"/>
  <c r="BG95" i="12"/>
  <c r="BG43" i="12"/>
  <c r="BG79" i="12"/>
  <c r="BG168" i="12"/>
  <c r="BG82" i="12"/>
  <c r="BG46" i="12"/>
  <c r="BG170" i="12"/>
  <c r="BG47" i="12"/>
  <c r="BG171" i="12"/>
  <c r="BG115" i="12"/>
  <c r="BG98" i="12"/>
  <c r="BG181" i="12"/>
  <c r="BG86" i="12"/>
  <c r="BG14" i="12"/>
  <c r="BG205" i="12"/>
  <c r="BG182" i="12"/>
  <c r="BG52" i="12"/>
  <c r="BG48" i="12"/>
  <c r="BG13" i="12"/>
  <c r="BG117" i="12"/>
  <c r="BG84" i="12"/>
  <c r="BG198" i="12"/>
  <c r="BG102" i="12"/>
  <c r="BG147" i="12"/>
  <c r="BG100" i="12"/>
  <c r="BG204" i="12"/>
  <c r="BG150" i="12"/>
  <c r="BG65" i="12"/>
  <c r="BG97" i="12"/>
  <c r="BG164" i="12"/>
  <c r="BG80" i="12"/>
  <c r="BG49" i="12"/>
  <c r="BG180" i="12"/>
  <c r="BI34" i="12"/>
  <c r="BI16" i="12"/>
  <c r="BI130" i="12"/>
  <c r="BI200" i="12"/>
  <c r="BI29" i="12"/>
  <c r="BI14" i="12"/>
  <c r="BI205" i="12"/>
  <c r="BI164" i="12"/>
  <c r="BI150" i="12"/>
  <c r="BI52" i="12"/>
  <c r="BI182" i="12"/>
  <c r="BI113" i="12"/>
  <c r="BI119" i="12"/>
  <c r="BI98" i="12"/>
  <c r="BI48" i="12"/>
  <c r="BI44" i="12"/>
  <c r="BI11" i="12"/>
  <c r="BI49" i="12"/>
  <c r="BI166" i="12"/>
  <c r="BI117" i="12"/>
  <c r="BI79" i="12"/>
  <c r="BI163" i="12"/>
  <c r="BI147" i="12"/>
  <c r="BI10" i="12"/>
  <c r="BI148" i="12"/>
  <c r="BI32" i="12"/>
  <c r="BI116" i="12"/>
  <c r="BI45" i="12"/>
  <c r="BI62" i="12"/>
  <c r="BI180" i="12"/>
  <c r="BI95" i="12"/>
  <c r="BI31" i="12"/>
  <c r="BI167" i="12"/>
  <c r="BI128" i="12"/>
  <c r="BI13" i="12"/>
  <c r="BI137" i="12"/>
  <c r="BI27" i="12"/>
  <c r="BI43" i="12"/>
  <c r="BI135" i="12"/>
  <c r="BI146" i="12"/>
  <c r="BI84" i="12"/>
  <c r="BI101" i="12"/>
  <c r="BI18" i="12"/>
  <c r="BI61" i="12"/>
  <c r="BI118" i="12"/>
  <c r="BI204" i="12"/>
  <c r="BI33" i="12"/>
  <c r="BI96" i="12"/>
  <c r="BI151" i="12"/>
  <c r="BI94" i="12"/>
  <c r="BI8" i="12"/>
  <c r="BI86" i="12"/>
  <c r="BI169" i="12"/>
  <c r="BI66" i="12"/>
  <c r="BI100" i="12"/>
  <c r="BI69" i="12"/>
  <c r="BI197" i="12"/>
  <c r="BI63" i="12"/>
  <c r="BI162" i="12"/>
  <c r="BI35" i="12"/>
  <c r="BI114" i="12"/>
  <c r="BI78" i="12"/>
  <c r="BI154" i="12"/>
  <c r="BI65" i="12"/>
  <c r="BI186" i="12"/>
  <c r="BI12" i="12"/>
  <c r="BI28" i="12"/>
  <c r="BI131" i="12"/>
  <c r="BI202" i="12"/>
  <c r="BI129" i="12"/>
  <c r="BI187" i="12"/>
  <c r="BI85" i="12"/>
  <c r="BI82" i="12"/>
  <c r="BI15" i="12"/>
  <c r="BI203" i="12"/>
  <c r="BI68" i="12"/>
  <c r="BI168" i="12"/>
  <c r="BI64" i="12"/>
  <c r="BI102" i="12"/>
  <c r="BI153" i="12"/>
  <c r="BI115" i="12"/>
  <c r="BI80" i="12"/>
  <c r="BI51" i="12"/>
  <c r="BI145" i="12"/>
  <c r="BI97" i="12"/>
  <c r="BI183" i="12"/>
  <c r="BI77" i="12"/>
  <c r="BI132" i="12"/>
  <c r="BI136" i="12"/>
  <c r="BI81" i="12"/>
  <c r="BI171" i="12"/>
  <c r="BI181" i="12"/>
  <c r="BI112" i="12"/>
  <c r="BI196" i="12"/>
  <c r="BI165" i="12"/>
  <c r="BI134" i="12"/>
  <c r="BI184" i="12"/>
  <c r="BI149" i="12"/>
  <c r="BI188" i="12"/>
  <c r="BI199" i="12"/>
  <c r="BI170" i="12"/>
  <c r="BI46" i="12"/>
  <c r="BI185" i="12"/>
  <c r="BI26" i="12"/>
  <c r="BI133" i="12"/>
  <c r="BI103" i="12"/>
  <c r="BI120" i="12"/>
  <c r="BI111" i="12"/>
  <c r="BI9" i="12"/>
  <c r="BI47" i="12"/>
  <c r="BI83" i="12"/>
  <c r="BI60" i="12"/>
  <c r="BI198" i="12"/>
  <c r="BI30" i="12"/>
  <c r="BI50" i="12"/>
  <c r="BI17" i="12"/>
  <c r="BI99" i="12"/>
  <c r="BI67" i="12"/>
  <c r="BI179" i="12"/>
  <c r="BI201" i="12"/>
  <c r="BI152" i="12"/>
  <c r="BK153" i="12"/>
  <c r="BK129" i="12"/>
  <c r="BK81" i="12"/>
  <c r="BK187" i="12"/>
  <c r="BK78" i="12"/>
  <c r="BK68" i="12"/>
  <c r="BK132" i="12"/>
  <c r="BK48" i="12"/>
  <c r="BK170" i="12"/>
  <c r="BK101" i="12"/>
  <c r="BK18" i="12"/>
  <c r="BK46" i="12"/>
  <c r="BK183" i="12"/>
  <c r="BK26" i="12"/>
  <c r="BK196" i="12"/>
  <c r="BK188" i="12"/>
  <c r="BK137" i="12"/>
  <c r="BK45" i="12"/>
  <c r="BK200" i="12"/>
  <c r="BK115" i="12"/>
  <c r="BK30" i="12"/>
  <c r="BK133" i="12"/>
  <c r="BK202" i="12"/>
  <c r="BK28" i="12"/>
  <c r="BK50" i="12"/>
  <c r="BK182" i="12"/>
  <c r="BK154" i="12"/>
  <c r="BK128" i="12"/>
  <c r="BK152" i="12"/>
  <c r="BK197" i="12"/>
  <c r="BK49" i="12"/>
  <c r="BK69" i="12"/>
  <c r="BK165" i="12"/>
  <c r="BK204" i="12"/>
  <c r="BK33" i="12"/>
  <c r="BK51" i="12"/>
  <c r="BK114" i="12"/>
  <c r="BK145" i="12"/>
  <c r="BK179" i="12"/>
  <c r="BK168" i="12"/>
  <c r="BK171" i="12"/>
  <c r="BK119" i="12"/>
  <c r="BK151" i="12"/>
  <c r="BK98" i="12"/>
  <c r="BK102" i="12"/>
  <c r="BK113" i="12"/>
  <c r="BK198" i="12"/>
  <c r="BK9" i="12"/>
  <c r="BK13" i="12"/>
  <c r="BK64" i="12"/>
  <c r="BK111" i="12"/>
  <c r="BK62" i="12"/>
  <c r="BK44" i="12"/>
  <c r="BK97" i="12"/>
  <c r="BK181" i="12"/>
  <c r="BK17" i="12"/>
  <c r="BK83" i="12"/>
  <c r="BK82" i="12"/>
  <c r="BK65" i="12"/>
  <c r="BK80" i="12"/>
  <c r="BK94" i="12"/>
  <c r="BK86" i="12"/>
  <c r="BK163" i="12"/>
  <c r="BK184" i="12"/>
  <c r="BK8" i="12"/>
  <c r="BK201" i="12"/>
  <c r="BK203" i="12"/>
  <c r="BK199" i="12"/>
  <c r="BK85" i="12"/>
  <c r="BK27" i="12"/>
  <c r="BK79" i="12"/>
  <c r="BK112" i="12"/>
  <c r="BK47" i="12"/>
  <c r="BK35" i="12"/>
  <c r="BK63" i="12"/>
  <c r="BK99" i="12"/>
  <c r="BK147" i="12"/>
  <c r="BK15" i="12"/>
  <c r="BK134" i="12"/>
  <c r="BK10" i="12"/>
  <c r="BK11" i="12"/>
  <c r="BK60" i="12"/>
  <c r="BK118" i="12"/>
  <c r="BK131" i="12"/>
  <c r="BK149" i="12"/>
  <c r="BK164" i="12"/>
  <c r="BK130" i="12"/>
  <c r="BK135" i="12"/>
  <c r="BK185" i="12"/>
  <c r="BK32" i="12"/>
  <c r="BK120" i="12"/>
  <c r="BK84" i="12"/>
  <c r="BK14" i="12"/>
  <c r="BK43" i="12"/>
  <c r="BK103" i="12"/>
  <c r="BK166" i="12"/>
  <c r="BK100" i="12"/>
  <c r="BK116" i="12"/>
  <c r="BK31" i="12"/>
  <c r="BK150" i="12"/>
  <c r="BK136" i="12"/>
  <c r="BK180" i="12"/>
  <c r="BK29" i="12"/>
  <c r="BK96" i="12"/>
  <c r="BK117" i="12"/>
  <c r="BK148" i="12"/>
  <c r="BK186" i="12"/>
  <c r="BK52" i="12"/>
  <c r="BK67" i="12"/>
  <c r="BK34" i="12"/>
  <c r="BK61" i="12"/>
  <c r="BK95" i="12"/>
  <c r="BK167" i="12"/>
  <c r="BK205" i="12"/>
  <c r="BK77" i="12"/>
  <c r="BK16" i="12"/>
  <c r="BK169" i="12"/>
  <c r="BK162" i="12"/>
  <c r="BK12" i="12"/>
  <c r="BK66" i="12"/>
  <c r="BM205" i="12"/>
  <c r="BM102" i="12"/>
  <c r="BM103" i="12"/>
  <c r="BM119" i="12"/>
  <c r="BM46" i="12"/>
  <c r="BM29" i="12"/>
  <c r="BM79" i="12"/>
  <c r="BM60" i="12"/>
  <c r="BM197" i="12"/>
  <c r="BM77" i="12"/>
  <c r="BM27" i="12"/>
  <c r="BM113" i="12"/>
  <c r="BM134" i="12"/>
  <c r="BM200" i="12"/>
  <c r="BM14" i="12"/>
  <c r="BM100" i="12"/>
  <c r="BM115" i="12"/>
  <c r="BM199" i="12"/>
  <c r="BM120" i="12"/>
  <c r="BM95" i="12"/>
  <c r="BM11" i="12"/>
  <c r="BM183" i="12"/>
  <c r="BM167" i="12"/>
  <c r="BM15" i="12"/>
  <c r="BM118" i="12"/>
  <c r="BM186" i="12"/>
  <c r="BM83" i="12"/>
  <c r="BM151" i="12"/>
  <c r="BM98" i="12"/>
  <c r="BM150" i="12"/>
  <c r="BM114" i="12"/>
  <c r="BM148" i="12"/>
  <c r="BM9" i="12"/>
  <c r="BM82" i="12"/>
  <c r="BM78" i="12"/>
  <c r="BM101" i="12"/>
  <c r="BM135" i="12"/>
  <c r="BM137" i="12"/>
  <c r="BM16" i="12"/>
  <c r="BM171" i="12"/>
  <c r="BM66" i="12"/>
  <c r="BM62" i="12"/>
  <c r="BM203" i="12"/>
  <c r="BM10" i="12"/>
  <c r="BM164" i="12"/>
  <c r="BM96" i="12"/>
  <c r="BM153" i="12"/>
  <c r="BM34" i="12"/>
  <c r="BM152" i="12"/>
  <c r="BM35" i="12"/>
  <c r="BM136" i="12"/>
  <c r="BM18" i="12"/>
  <c r="BM52" i="12"/>
  <c r="BM188" i="12"/>
  <c r="BM47" i="12"/>
  <c r="BM180" i="12"/>
  <c r="BM133" i="12"/>
  <c r="BM204" i="12"/>
  <c r="BM170" i="12"/>
  <c r="BM132" i="12"/>
  <c r="BM198" i="12"/>
  <c r="BM8" i="12"/>
  <c r="BM99" i="12"/>
  <c r="BM84" i="12"/>
  <c r="BM129" i="12"/>
  <c r="BM147" i="12"/>
  <c r="BM130" i="12"/>
  <c r="BM64" i="12"/>
  <c r="BM86" i="12"/>
  <c r="BM185" i="12"/>
  <c r="BM80" i="12"/>
  <c r="BM28" i="12"/>
  <c r="BM163" i="12"/>
  <c r="BM33" i="12"/>
  <c r="BM181" i="12"/>
  <c r="BM111" i="12"/>
  <c r="BM61" i="12"/>
  <c r="BM154" i="12"/>
  <c r="BM17" i="12"/>
  <c r="BM196" i="12"/>
  <c r="BM166" i="12"/>
  <c r="BM65" i="12"/>
  <c r="BM49" i="12"/>
  <c r="BM146" i="12"/>
  <c r="BM162" i="12"/>
  <c r="BM32" i="12"/>
  <c r="BM168" i="12"/>
  <c r="BM44" i="12"/>
  <c r="BM26" i="12"/>
  <c r="BM131" i="12"/>
  <c r="BM51" i="12"/>
  <c r="BM184" i="12"/>
  <c r="BM94" i="12"/>
  <c r="BM201" i="12"/>
  <c r="BM112" i="12"/>
  <c r="BM169" i="12"/>
  <c r="BM81" i="12"/>
  <c r="BM12" i="12"/>
  <c r="BM145" i="12"/>
  <c r="BM117" i="12"/>
  <c r="BM50" i="12"/>
  <c r="BM45" i="12"/>
  <c r="BM97" i="12"/>
  <c r="BM63" i="12"/>
  <c r="BM85" i="12"/>
  <c r="BM68" i="12"/>
  <c r="BM165" i="12"/>
  <c r="BM149" i="12"/>
  <c r="BM48" i="12"/>
  <c r="BM31" i="12"/>
  <c r="BM128" i="12"/>
  <c r="BM179" i="12"/>
  <c r="BM202" i="12"/>
  <c r="BM13" i="12"/>
  <c r="BM69" i="12"/>
  <c r="BM30" i="12"/>
  <c r="G45" i="10"/>
  <c r="G62" i="10"/>
  <c r="I30" i="4"/>
  <c r="J30" i="4"/>
  <c r="G50" i="10"/>
  <c r="G67" i="10"/>
  <c r="AP30" i="1" a="1"/>
  <c r="AP30" i="1"/>
  <c r="AP26" i="1" a="1"/>
  <c r="AP26" i="1"/>
  <c r="AR28" i="1" a="1"/>
  <c r="AR28" i="1"/>
  <c r="AR29" i="1" a="1"/>
  <c r="AR29" i="1"/>
  <c r="D8" i="10"/>
  <c r="D3" i="10"/>
  <c r="Z52" i="23"/>
  <c r="Z51" i="23"/>
  <c r="Z53" i="23"/>
  <c r="Z49" i="23"/>
  <c r="L7" i="5"/>
  <c r="F6" i="10"/>
  <c r="I16" i="23"/>
  <c r="Y26" i="23"/>
  <c r="L6" i="5"/>
  <c r="F5" i="10"/>
  <c r="W3" i="23"/>
  <c r="AA10" i="23"/>
  <c r="D13" i="10"/>
  <c r="D11" i="10"/>
  <c r="Z45" i="23"/>
  <c r="L15" i="5"/>
  <c r="F14" i="10"/>
  <c r="W42" i="23"/>
  <c r="AA49" i="23"/>
  <c r="AC49" i="23"/>
  <c r="Y47" i="23"/>
  <c r="Z13" i="23"/>
  <c r="Z48" i="23"/>
  <c r="Y49" i="23"/>
  <c r="AB49" i="23"/>
  <c r="Z46" i="23"/>
  <c r="Y12" i="23"/>
  <c r="Y14" i="23"/>
  <c r="Y6" i="23"/>
  <c r="Y13" i="23"/>
  <c r="Y9" i="23"/>
  <c r="Y10" i="23"/>
  <c r="Y11" i="23"/>
  <c r="AA32" i="23"/>
  <c r="AA40" i="23"/>
  <c r="AA38" i="23"/>
  <c r="AA39" i="23"/>
  <c r="Z40" i="23"/>
  <c r="Z38" i="23"/>
  <c r="Z37" i="23"/>
  <c r="Z39" i="23"/>
  <c r="Y36" i="23"/>
  <c r="Y38" i="23"/>
  <c r="Y37" i="23"/>
  <c r="Y39" i="23"/>
  <c r="Y32" i="23"/>
  <c r="Y40" i="23"/>
  <c r="AA27" i="23"/>
  <c r="AA26" i="23"/>
  <c r="AB26" i="23"/>
  <c r="Z36" i="23"/>
  <c r="Y35" i="23"/>
  <c r="Y44" i="23"/>
  <c r="Z6" i="23"/>
  <c r="Y34" i="23"/>
  <c r="Y33" i="23"/>
  <c r="Z24" i="23"/>
  <c r="Y50" i="23"/>
  <c r="Z8" i="23"/>
  <c r="AA35" i="23"/>
  <c r="Z31" i="23"/>
  <c r="Y52" i="23"/>
  <c r="Y45" i="23"/>
  <c r="Z35" i="23"/>
  <c r="Y48" i="23"/>
  <c r="Z10" i="23"/>
  <c r="AB10" i="23"/>
  <c r="AC10" i="23"/>
  <c r="AA33" i="23"/>
  <c r="Z27" i="23"/>
  <c r="Z12" i="23"/>
  <c r="AA31" i="23"/>
  <c r="Z47" i="23"/>
  <c r="Z34" i="23"/>
  <c r="AA34" i="23"/>
  <c r="Z33" i="23"/>
  <c r="AA36" i="23"/>
  <c r="Z32" i="23"/>
  <c r="AA37" i="23"/>
  <c r="AA22" i="23"/>
  <c r="AB22" i="23"/>
  <c r="AC22" i="23"/>
  <c r="Y46" i="23"/>
  <c r="Z11" i="23"/>
  <c r="Y53" i="23"/>
  <c r="Y31" i="23"/>
  <c r="AB31" i="23"/>
  <c r="AC31" i="23"/>
  <c r="Z50" i="23"/>
  <c r="Z44" i="23"/>
  <c r="N5" i="12"/>
  <c r="M6" i="12"/>
  <c r="M22" i="12"/>
  <c r="D5" i="4"/>
  <c r="D6" i="4"/>
  <c r="E4" i="4"/>
  <c r="F4" i="4"/>
  <c r="E5" i="4"/>
  <c r="D7" i="4"/>
  <c r="D8" i="4"/>
  <c r="D9" i="4"/>
  <c r="D10" i="4"/>
  <c r="D11" i="4"/>
  <c r="D12" i="4"/>
  <c r="D13" i="4"/>
  <c r="D14" i="4"/>
  <c r="M39" i="12"/>
  <c r="BS9" i="12"/>
  <c r="BS16" i="12"/>
  <c r="AA44" i="23"/>
  <c r="AA52" i="23"/>
  <c r="AP29" i="1" a="1"/>
  <c r="AP29" i="1"/>
  <c r="AR31" i="1" a="1"/>
  <c r="AR31" i="1"/>
  <c r="AP27" i="1" a="1"/>
  <c r="AP27" i="1"/>
  <c r="AR30" i="1" a="1"/>
  <c r="AR30" i="1"/>
  <c r="AR26" i="1" a="1"/>
  <c r="AR26" i="1"/>
  <c r="AP28" i="1" a="1"/>
  <c r="AP28" i="1"/>
  <c r="AA53" i="23"/>
  <c r="AB53" i="23"/>
  <c r="AA51" i="23"/>
  <c r="AB51" i="23"/>
  <c r="AA48" i="23"/>
  <c r="AA46" i="23"/>
  <c r="AB46" i="23"/>
  <c r="AC46" i="23"/>
  <c r="AB52" i="23"/>
  <c r="AB34" i="23"/>
  <c r="AC34" i="23"/>
  <c r="AB36" i="23"/>
  <c r="AC36" i="23"/>
  <c r="AA50" i="23"/>
  <c r="AA9" i="23"/>
  <c r="AB48" i="23"/>
  <c r="AC48" i="23"/>
  <c r="Y19" i="23"/>
  <c r="Y25" i="23"/>
  <c r="AB35" i="23"/>
  <c r="AC35" i="23"/>
  <c r="Y20" i="23"/>
  <c r="AA45" i="23"/>
  <c r="AB45" i="23"/>
  <c r="AC45" i="23"/>
  <c r="AB33" i="23"/>
  <c r="AC33" i="23"/>
  <c r="AB40" i="23"/>
  <c r="AA13" i="23"/>
  <c r="AB13" i="23"/>
  <c r="AA14" i="23"/>
  <c r="AB14" i="23"/>
  <c r="AA12" i="23"/>
  <c r="AB12" i="23"/>
  <c r="AA47" i="23"/>
  <c r="AB47" i="23"/>
  <c r="AC47" i="23"/>
  <c r="Y24" i="23"/>
  <c r="Y27" i="23"/>
  <c r="AB27" i="23"/>
  <c r="AA11" i="23"/>
  <c r="AB11" i="23"/>
  <c r="AB37" i="23"/>
  <c r="AC37" i="23"/>
  <c r="AB38" i="23"/>
  <c r="AC38" i="23"/>
  <c r="AB44" i="23"/>
  <c r="AC44" i="23"/>
  <c r="AB32" i="23"/>
  <c r="AC32" i="23"/>
  <c r="AB39" i="23"/>
  <c r="AB50" i="23"/>
  <c r="AC50" i="23"/>
  <c r="N39" i="12"/>
  <c r="M40" i="12"/>
  <c r="M56" i="12"/>
  <c r="M23" i="12"/>
  <c r="N22" i="12"/>
  <c r="O5" i="12"/>
  <c r="N6" i="12"/>
  <c r="N23" i="12"/>
  <c r="O22" i="12"/>
  <c r="M73" i="12"/>
  <c r="N56" i="12"/>
  <c r="M57" i="12"/>
  <c r="O39" i="12"/>
  <c r="N40" i="12"/>
  <c r="O6" i="12"/>
  <c r="P5" i="12"/>
  <c r="N73" i="12"/>
  <c r="M74" i="12"/>
  <c r="M90" i="12"/>
  <c r="O23" i="12"/>
  <c r="P22" i="12"/>
  <c r="P6" i="12"/>
  <c r="Q5" i="12"/>
  <c r="P39" i="12"/>
  <c r="O40" i="12"/>
  <c r="N57" i="12"/>
  <c r="O56" i="12"/>
  <c r="N74" i="12"/>
  <c r="O73" i="12"/>
  <c r="Q39" i="12"/>
  <c r="P40" i="12"/>
  <c r="O57" i="12"/>
  <c r="P56" i="12"/>
  <c r="P23" i="12"/>
  <c r="Q22" i="12"/>
  <c r="M107" i="12"/>
  <c r="M91" i="12"/>
  <c r="N90" i="12"/>
  <c r="R5" i="12"/>
  <c r="Q6" i="12"/>
  <c r="R22" i="12"/>
  <c r="Q23" i="12"/>
  <c r="R6" i="12"/>
  <c r="S5" i="12"/>
  <c r="O74" i="12"/>
  <c r="P73" i="12"/>
  <c r="M108" i="12"/>
  <c r="M124" i="12"/>
  <c r="N107" i="12"/>
  <c r="Q56" i="12"/>
  <c r="P57" i="12"/>
  <c r="O90" i="12"/>
  <c r="N91" i="12"/>
  <c r="R39" i="12"/>
  <c r="Q40" i="12"/>
  <c r="S22" i="12"/>
  <c r="R23" i="12"/>
  <c r="S39" i="12"/>
  <c r="R40" i="12"/>
  <c r="O91" i="12"/>
  <c r="P90" i="12"/>
  <c r="T5" i="12"/>
  <c r="S6" i="12"/>
  <c r="N108" i="12"/>
  <c r="O107" i="12"/>
  <c r="M141" i="12"/>
  <c r="M125" i="12"/>
  <c r="N124" i="12"/>
  <c r="Q73" i="12"/>
  <c r="P74" i="12"/>
  <c r="Q57" i="12"/>
  <c r="R56" i="12"/>
  <c r="S40" i="12"/>
  <c r="T39" i="12"/>
  <c r="O108" i="12"/>
  <c r="P107" i="12"/>
  <c r="U5" i="12"/>
  <c r="T6" i="12"/>
  <c r="N141" i="12"/>
  <c r="M158" i="12"/>
  <c r="M142" i="12"/>
  <c r="S56" i="12"/>
  <c r="R57" i="12"/>
  <c r="S23" i="12"/>
  <c r="T22" i="12"/>
  <c r="Q74" i="12"/>
  <c r="R73" i="12"/>
  <c r="P91" i="12"/>
  <c r="Q90" i="12"/>
  <c r="O124" i="12"/>
  <c r="N125" i="12"/>
  <c r="O125" i="12"/>
  <c r="P124" i="12"/>
  <c r="S73" i="12"/>
  <c r="R74" i="12"/>
  <c r="N142" i="12"/>
  <c r="O141" i="12"/>
  <c r="S57" i="12"/>
  <c r="T56" i="12"/>
  <c r="T23" i="12"/>
  <c r="U22" i="12"/>
  <c r="U6" i="12"/>
  <c r="V5" i="12"/>
  <c r="T40" i="12"/>
  <c r="U39" i="12"/>
  <c r="R90" i="12"/>
  <c r="Q91" i="12"/>
  <c r="M159" i="12"/>
  <c r="N158" i="12"/>
  <c r="M175" i="12"/>
  <c r="Q107" i="12"/>
  <c r="P108" i="12"/>
  <c r="M176" i="12"/>
  <c r="N175" i="12"/>
  <c r="M192" i="12"/>
  <c r="V22" i="12"/>
  <c r="U23" i="12"/>
  <c r="Q124" i="12"/>
  <c r="P125" i="12"/>
  <c r="V39" i="12"/>
  <c r="U40" i="12"/>
  <c r="P141" i="12"/>
  <c r="O142" i="12"/>
  <c r="S74" i="12"/>
  <c r="T73" i="12"/>
  <c r="O158" i="12"/>
  <c r="N159" i="12"/>
  <c r="T57" i="12"/>
  <c r="U56" i="12"/>
  <c r="R91" i="12"/>
  <c r="S90" i="12"/>
  <c r="Q108" i="12"/>
  <c r="R107" i="12"/>
  <c r="V6" i="12"/>
  <c r="W5" i="12"/>
  <c r="U57" i="12"/>
  <c r="V56" i="12"/>
  <c r="N176" i="12"/>
  <c r="O175" i="12"/>
  <c r="V40" i="12"/>
  <c r="W39" i="12"/>
  <c r="S91" i="12"/>
  <c r="T90" i="12"/>
  <c r="N192" i="12"/>
  <c r="M193" i="12"/>
  <c r="R124" i="12"/>
  <c r="Q125" i="12"/>
  <c r="S107" i="12"/>
  <c r="R108" i="12"/>
  <c r="U73" i="12"/>
  <c r="T74" i="12"/>
  <c r="Q141" i="12"/>
  <c r="P142" i="12"/>
  <c r="W6" i="12"/>
  <c r="X5" i="12"/>
  <c r="P158" i="12"/>
  <c r="O159" i="12"/>
  <c r="V23" i="12"/>
  <c r="W22" i="12"/>
  <c r="S124" i="12"/>
  <c r="R125" i="12"/>
  <c r="W56" i="12"/>
  <c r="V57" i="12"/>
  <c r="Q142" i="12"/>
  <c r="R141" i="12"/>
  <c r="O192" i="12"/>
  <c r="N193" i="12"/>
  <c r="X39" i="12"/>
  <c r="W40" i="12"/>
  <c r="Q158" i="12"/>
  <c r="P159" i="12"/>
  <c r="T107" i="12"/>
  <c r="S108" i="12"/>
  <c r="X22" i="12"/>
  <c r="W23" i="12"/>
  <c r="U90" i="12"/>
  <c r="T91" i="12"/>
  <c r="V73" i="12"/>
  <c r="U74" i="12"/>
  <c r="Y5" i="12"/>
  <c r="X6" i="12"/>
  <c r="P175" i="12"/>
  <c r="O176" i="12"/>
  <c r="W73" i="12"/>
  <c r="V74" i="12"/>
  <c r="W57" i="12"/>
  <c r="X56" i="12"/>
  <c r="Q159" i="12"/>
  <c r="R158" i="12"/>
  <c r="X40" i="12"/>
  <c r="Y39" i="12"/>
  <c r="P176" i="12"/>
  <c r="Q175" i="12"/>
  <c r="X23" i="12"/>
  <c r="Y22" i="12"/>
  <c r="O193" i="12"/>
  <c r="P192" i="12"/>
  <c r="U91" i="12"/>
  <c r="V90" i="12"/>
  <c r="S125" i="12"/>
  <c r="T124" i="12"/>
  <c r="R142" i="12"/>
  <c r="S141" i="12"/>
  <c r="Y6" i="12"/>
  <c r="Z5" i="12"/>
  <c r="T108" i="12"/>
  <c r="U107" i="12"/>
  <c r="Y56" i="12"/>
  <c r="X57" i="12"/>
  <c r="W74" i="12"/>
  <c r="X73" i="12"/>
  <c r="T141" i="12"/>
  <c r="S142" i="12"/>
  <c r="U124" i="12"/>
  <c r="T125" i="12"/>
  <c r="W90" i="12"/>
  <c r="V91" i="12"/>
  <c r="V107" i="12"/>
  <c r="U108" i="12"/>
  <c r="Y23" i="12"/>
  <c r="Z22" i="12"/>
  <c r="Q176" i="12"/>
  <c r="R175" i="12"/>
  <c r="Z39" i="12"/>
  <c r="Y40" i="12"/>
  <c r="AA5" i="12"/>
  <c r="Z6" i="12"/>
  <c r="P193" i="12"/>
  <c r="Q192" i="12"/>
  <c r="R159" i="12"/>
  <c r="S158" i="12"/>
  <c r="Y73" i="12"/>
  <c r="X74" i="12"/>
  <c r="Z40" i="12"/>
  <c r="AA39" i="12"/>
  <c r="Y57" i="12"/>
  <c r="Z56" i="12"/>
  <c r="R192" i="12"/>
  <c r="Q193" i="12"/>
  <c r="AB5" i="12"/>
  <c r="AA6" i="12"/>
  <c r="W91" i="12"/>
  <c r="X90" i="12"/>
  <c r="T158" i="12"/>
  <c r="S159" i="12"/>
  <c r="R176" i="12"/>
  <c r="S175" i="12"/>
  <c r="AA22" i="12"/>
  <c r="Z23" i="12"/>
  <c r="U141" i="12"/>
  <c r="T142" i="12"/>
  <c r="W107" i="12"/>
  <c r="V108" i="12"/>
  <c r="U125" i="12"/>
  <c r="V124" i="12"/>
  <c r="X91" i="12"/>
  <c r="Y90" i="12"/>
  <c r="AB39" i="12"/>
  <c r="AA40" i="12"/>
  <c r="AA56" i="12"/>
  <c r="Z57" i="12"/>
  <c r="V141" i="12"/>
  <c r="U142" i="12"/>
  <c r="S192" i="12"/>
  <c r="R193" i="12"/>
  <c r="X107" i="12"/>
  <c r="W108" i="12"/>
  <c r="U158" i="12"/>
  <c r="T159" i="12"/>
  <c r="AA23" i="12"/>
  <c r="AB22" i="12"/>
  <c r="AC5" i="12"/>
  <c r="AB6" i="12"/>
  <c r="Y74" i="12"/>
  <c r="Z73" i="12"/>
  <c r="V125" i="12"/>
  <c r="W124" i="12"/>
  <c r="S176" i="12"/>
  <c r="T175" i="12"/>
  <c r="U175" i="12"/>
  <c r="T176" i="12"/>
  <c r="AC22" i="12"/>
  <c r="AB23" i="12"/>
  <c r="W141" i="12"/>
  <c r="V142" i="12"/>
  <c r="X124" i="12"/>
  <c r="W125" i="12"/>
  <c r="AB56" i="12"/>
  <c r="AA57" i="12"/>
  <c r="Y107" i="12"/>
  <c r="X108" i="12"/>
  <c r="AC39" i="12"/>
  <c r="AB40" i="12"/>
  <c r="U159" i="12"/>
  <c r="V158" i="12"/>
  <c r="Y91" i="12"/>
  <c r="Z90" i="12"/>
  <c r="AA73" i="12"/>
  <c r="Z74" i="12"/>
  <c r="AC6" i="12"/>
  <c r="AD5" i="12"/>
  <c r="T192" i="12"/>
  <c r="S193" i="12"/>
  <c r="V159" i="12"/>
  <c r="W158" i="12"/>
  <c r="T193" i="12"/>
  <c r="U192" i="12"/>
  <c r="X125" i="12"/>
  <c r="Y124" i="12"/>
  <c r="AD6" i="12"/>
  <c r="AE5" i="12"/>
  <c r="AA74" i="12"/>
  <c r="AB73" i="12"/>
  <c r="Z107" i="12"/>
  <c r="Y108" i="12"/>
  <c r="AC23" i="12"/>
  <c r="AD22" i="12"/>
  <c r="X141" i="12"/>
  <c r="W142" i="12"/>
  <c r="AA90" i="12"/>
  <c r="Z91" i="12"/>
  <c r="AD39" i="12"/>
  <c r="AC40" i="12"/>
  <c r="AB57" i="12"/>
  <c r="AC56" i="12"/>
  <c r="V175" i="12"/>
  <c r="U176" i="12"/>
  <c r="V176" i="12"/>
  <c r="W175" i="12"/>
  <c r="AC57" i="12"/>
  <c r="AD56" i="12"/>
  <c r="AE22" i="12"/>
  <c r="AD23" i="12"/>
  <c r="V192" i="12"/>
  <c r="U193" i="12"/>
  <c r="Y141" i="12"/>
  <c r="X142" i="12"/>
  <c r="Z124" i="12"/>
  <c r="Y125" i="12"/>
  <c r="AC73" i="12"/>
  <c r="AB74" i="12"/>
  <c r="X158" i="12"/>
  <c r="W159" i="12"/>
  <c r="AF5" i="12"/>
  <c r="AE6" i="12"/>
  <c r="AE39" i="12"/>
  <c r="AD40" i="12"/>
  <c r="AA107" i="12"/>
  <c r="Z108" i="12"/>
  <c r="AB90" i="12"/>
  <c r="AA91" i="12"/>
  <c r="AC90" i="12"/>
  <c r="AB91" i="12"/>
  <c r="W192" i="12"/>
  <c r="V193" i="12"/>
  <c r="AB107" i="12"/>
  <c r="AA108" i="12"/>
  <c r="AE56" i="12"/>
  <c r="AD57" i="12"/>
  <c r="AF39" i="12"/>
  <c r="AE40" i="12"/>
  <c r="Z125" i="12"/>
  <c r="AA124" i="12"/>
  <c r="AF22" i="12"/>
  <c r="AE23" i="12"/>
  <c r="X175" i="12"/>
  <c r="W176" i="12"/>
  <c r="X159" i="12"/>
  <c r="Y158" i="12"/>
  <c r="AC74" i="12"/>
  <c r="AD73" i="12"/>
  <c r="AG5" i="12"/>
  <c r="AF6" i="12"/>
  <c r="Y142" i="12"/>
  <c r="Z141" i="12"/>
  <c r="Y175" i="12"/>
  <c r="X176" i="12"/>
  <c r="AD74" i="12"/>
  <c r="AE73" i="12"/>
  <c r="AB124" i="12"/>
  <c r="AA125" i="12"/>
  <c r="AH5" i="12"/>
  <c r="AG6" i="12"/>
  <c r="W193" i="12"/>
  <c r="X192" i="12"/>
  <c r="AF23" i="12"/>
  <c r="AG22" i="12"/>
  <c r="Z158" i="12"/>
  <c r="Y159" i="12"/>
  <c r="AA141" i="12"/>
  <c r="Z142" i="12"/>
  <c r="AE57" i="12"/>
  <c r="AF56" i="12"/>
  <c r="AC107" i="12"/>
  <c r="AB108" i="12"/>
  <c r="AF40" i="12"/>
  <c r="AG39" i="12"/>
  <c r="AD90" i="12"/>
  <c r="AC91" i="12"/>
  <c r="AE90" i="12"/>
  <c r="AD91" i="12"/>
  <c r="AH39" i="12"/>
  <c r="AG40" i="12"/>
  <c r="AH22" i="12"/>
  <c r="AG23" i="12"/>
  <c r="AE74" i="12"/>
  <c r="AF73" i="12"/>
  <c r="AB125" i="12"/>
  <c r="AC124" i="12"/>
  <c r="AB141" i="12"/>
  <c r="AA142" i="12"/>
  <c r="X193" i="12"/>
  <c r="Y192" i="12"/>
  <c r="AH6" i="12"/>
  <c r="AI5" i="12"/>
  <c r="Z159" i="12"/>
  <c r="AA158" i="12"/>
  <c r="AC108" i="12"/>
  <c r="AD107" i="12"/>
  <c r="AF57" i="12"/>
  <c r="AG56" i="12"/>
  <c r="Z175" i="12"/>
  <c r="Y176" i="12"/>
  <c r="AI6" i="12"/>
  <c r="AJ5" i="12"/>
  <c r="AG57" i="12"/>
  <c r="AH56" i="12"/>
  <c r="AH23" i="12"/>
  <c r="AI22" i="12"/>
  <c r="AH40" i="12"/>
  <c r="AI39" i="12"/>
  <c r="AA175" i="12"/>
  <c r="Z176" i="12"/>
  <c r="AD108" i="12"/>
  <c r="AE107" i="12"/>
  <c r="AB158" i="12"/>
  <c r="AA159" i="12"/>
  <c r="AD124" i="12"/>
  <c r="AC125" i="12"/>
  <c r="AG73" i="12"/>
  <c r="AF74" i="12"/>
  <c r="Y193" i="12"/>
  <c r="Z192" i="12"/>
  <c r="AC141" i="12"/>
  <c r="AB142" i="12"/>
  <c r="AF90" i="12"/>
  <c r="AE91" i="12"/>
  <c r="AJ39" i="12"/>
  <c r="AI40" i="12"/>
  <c r="AE124" i="12"/>
  <c r="AD125" i="12"/>
  <c r="AC158" i="12"/>
  <c r="AB159" i="12"/>
  <c r="AF91" i="12"/>
  <c r="AG90" i="12"/>
  <c r="Z193" i="12"/>
  <c r="AA192" i="12"/>
  <c r="AE108" i="12"/>
  <c r="AF107" i="12"/>
  <c r="AI56" i="12"/>
  <c r="AH57" i="12"/>
  <c r="AI23" i="12"/>
  <c r="AJ22" i="12"/>
  <c r="AK5" i="12"/>
  <c r="AJ6" i="12"/>
  <c r="AC142" i="12"/>
  <c r="AD141" i="12"/>
  <c r="AG74" i="12"/>
  <c r="AH73" i="12"/>
  <c r="AA176" i="12"/>
  <c r="AB175" i="12"/>
  <c r="AB176" i="12"/>
  <c r="AC175" i="12"/>
  <c r="AG91" i="12"/>
  <c r="AH90" i="12"/>
  <c r="AJ23" i="12"/>
  <c r="AK22" i="12"/>
  <c r="AI57" i="12"/>
  <c r="AJ56" i="12"/>
  <c r="AA193" i="12"/>
  <c r="AB192" i="12"/>
  <c r="AH74" i="12"/>
  <c r="AI73" i="12"/>
  <c r="AC159" i="12"/>
  <c r="AD158" i="12"/>
  <c r="AE141" i="12"/>
  <c r="AD142" i="12"/>
  <c r="AF108" i="12"/>
  <c r="AG107" i="12"/>
  <c r="AE125" i="12"/>
  <c r="AF124" i="12"/>
  <c r="AK6" i="12"/>
  <c r="AL5" i="12"/>
  <c r="AK39" i="12"/>
  <c r="AJ40" i="12"/>
  <c r="AE142" i="12"/>
  <c r="AF141" i="12"/>
  <c r="AL6" i="12"/>
  <c r="AM5" i="12"/>
  <c r="AD159" i="12"/>
  <c r="AE158" i="12"/>
  <c r="AJ57" i="12"/>
  <c r="AK56" i="12"/>
  <c r="AI74" i="12"/>
  <c r="AJ73" i="12"/>
  <c r="AH91" i="12"/>
  <c r="AI90" i="12"/>
  <c r="AL22" i="12"/>
  <c r="AK23" i="12"/>
  <c r="AG108" i="12"/>
  <c r="AH107" i="12"/>
  <c r="AC192" i="12"/>
  <c r="AB193" i="12"/>
  <c r="AD175" i="12"/>
  <c r="AC176" i="12"/>
  <c r="AK40" i="12"/>
  <c r="AL39" i="12"/>
  <c r="AF125" i="12"/>
  <c r="AG124" i="12"/>
  <c r="AI107" i="12"/>
  <c r="AH108" i="12"/>
  <c r="AL40" i="12"/>
  <c r="AM39" i="12"/>
  <c r="AE159" i="12"/>
  <c r="AF158" i="12"/>
  <c r="AK57" i="12"/>
  <c r="AL56" i="12"/>
  <c r="AM6" i="12"/>
  <c r="AN5" i="12"/>
  <c r="AD176" i="12"/>
  <c r="AE175" i="12"/>
  <c r="AL23" i="12"/>
  <c r="AM22" i="12"/>
  <c r="AJ74" i="12"/>
  <c r="AK73" i="12"/>
  <c r="AF142" i="12"/>
  <c r="AG141" i="12"/>
  <c r="AH124" i="12"/>
  <c r="AG125" i="12"/>
  <c r="AJ90" i="12"/>
  <c r="AI91" i="12"/>
  <c r="AD192" i="12"/>
  <c r="AC193" i="12"/>
  <c r="AM56" i="12"/>
  <c r="AL57" i="12"/>
  <c r="AJ91" i="12"/>
  <c r="AK90" i="12"/>
  <c r="AG158" i="12"/>
  <c r="AF159" i="12"/>
  <c r="AE176" i="12"/>
  <c r="AF175" i="12"/>
  <c r="AN39" i="12"/>
  <c r="AM40" i="12"/>
  <c r="AH125" i="12"/>
  <c r="AI124" i="12"/>
  <c r="AH141" i="12"/>
  <c r="AG142" i="12"/>
  <c r="AO5" i="12"/>
  <c r="AN6" i="12"/>
  <c r="AL73" i="12"/>
  <c r="AK74" i="12"/>
  <c r="AD193" i="12"/>
  <c r="AE192" i="12"/>
  <c r="AM23" i="12"/>
  <c r="AN22" i="12"/>
  <c r="AI108" i="12"/>
  <c r="AJ107" i="12"/>
  <c r="AH158" i="12"/>
  <c r="AG159" i="12"/>
  <c r="AK107" i="12"/>
  <c r="AJ108" i="12"/>
  <c r="AF192" i="12"/>
  <c r="AE193" i="12"/>
  <c r="AJ124" i="12"/>
  <c r="AI125" i="12"/>
  <c r="AL90" i="12"/>
  <c r="AK91" i="12"/>
  <c r="AG175" i="12"/>
  <c r="AF176" i="12"/>
  <c r="AP5" i="12"/>
  <c r="AO6" i="12"/>
  <c r="AO22" i="12"/>
  <c r="AN23" i="12"/>
  <c r="AI141" i="12"/>
  <c r="AH142" i="12"/>
  <c r="AL74" i="12"/>
  <c r="AM73" i="12"/>
  <c r="AN40" i="12"/>
  <c r="AO39" i="12"/>
  <c r="AM57" i="12"/>
  <c r="AN56" i="12"/>
  <c r="AO56" i="12"/>
  <c r="AN57" i="12"/>
  <c r="AP22" i="12"/>
  <c r="AO23" i="12"/>
  <c r="AF193" i="12"/>
  <c r="AG192" i="12"/>
  <c r="AK124" i="12"/>
  <c r="AJ125" i="12"/>
  <c r="AP39" i="12"/>
  <c r="AO40" i="12"/>
  <c r="AN73" i="12"/>
  <c r="AM74" i="12"/>
  <c r="AQ5" i="12"/>
  <c r="AP6" i="12"/>
  <c r="AG176" i="12"/>
  <c r="AH175" i="12"/>
  <c r="AL107" i="12"/>
  <c r="AK108" i="12"/>
  <c r="AJ141" i="12"/>
  <c r="AI142" i="12"/>
  <c r="AL91" i="12"/>
  <c r="AM90" i="12"/>
  <c r="AI158" i="12"/>
  <c r="AH159" i="12"/>
  <c r="AN90" i="12"/>
  <c r="AM91" i="12"/>
  <c r="AG193" i="12"/>
  <c r="AH192" i="12"/>
  <c r="AQ6" i="12"/>
  <c r="AH176" i="12"/>
  <c r="AI175" i="12"/>
  <c r="AJ158" i="12"/>
  <c r="AI159" i="12"/>
  <c r="AK125" i="12"/>
  <c r="AL124" i="12"/>
  <c r="AK141" i="12"/>
  <c r="AJ142" i="12"/>
  <c r="AN74" i="12"/>
  <c r="AO73" i="12"/>
  <c r="AP23" i="12"/>
  <c r="AQ22" i="12"/>
  <c r="AL108" i="12"/>
  <c r="AM107" i="12"/>
  <c r="AP40" i="12"/>
  <c r="AQ39" i="12"/>
  <c r="AO57" i="12"/>
  <c r="AP56" i="12"/>
  <c r="AN107" i="12"/>
  <c r="AM108" i="12"/>
  <c r="AL125" i="12"/>
  <c r="AM124" i="12"/>
  <c r="AK142" i="12"/>
  <c r="AL141" i="12"/>
  <c r="AQ40" i="12"/>
  <c r="AI192" i="12"/>
  <c r="AH193" i="12"/>
  <c r="AQ23" i="12"/>
  <c r="AN91" i="12"/>
  <c r="AO90" i="12"/>
  <c r="AQ56" i="12"/>
  <c r="AP57" i="12"/>
  <c r="AP73" i="12"/>
  <c r="AO74" i="12"/>
  <c r="AI176" i="12"/>
  <c r="AJ175" i="12"/>
  <c r="AK158" i="12"/>
  <c r="AJ159" i="12"/>
  <c r="AL142" i="12"/>
  <c r="AM141" i="12"/>
  <c r="AO91" i="12"/>
  <c r="AP90" i="12"/>
  <c r="AN124" i="12"/>
  <c r="AM125" i="12"/>
  <c r="AL158" i="12"/>
  <c r="AK159" i="12"/>
  <c r="AK175" i="12"/>
  <c r="AJ176" i="12"/>
  <c r="AN108" i="12"/>
  <c r="AO107" i="12"/>
  <c r="AJ192" i="12"/>
  <c r="AI193" i="12"/>
  <c r="AQ57" i="12"/>
  <c r="AP74" i="12"/>
  <c r="AQ73" i="12"/>
  <c r="AJ193" i="12"/>
  <c r="AK192" i="12"/>
  <c r="AL159" i="12"/>
  <c r="AM158" i="12"/>
  <c r="AO124" i="12"/>
  <c r="AN125" i="12"/>
  <c r="AN141" i="12"/>
  <c r="AM142" i="12"/>
  <c r="AQ74" i="12"/>
  <c r="AO108" i="12"/>
  <c r="AP107" i="12"/>
  <c r="AQ90" i="12"/>
  <c r="AP91" i="12"/>
  <c r="AL175" i="12"/>
  <c r="AK176" i="12"/>
  <c r="AM175" i="12"/>
  <c r="AL176" i="12"/>
  <c r="AP108" i="12"/>
  <c r="AQ107" i="12"/>
  <c r="AL192" i="12"/>
  <c r="AK193" i="12"/>
  <c r="AN142" i="12"/>
  <c r="AO141" i="12"/>
  <c r="AQ91" i="12"/>
  <c r="AN158" i="12"/>
  <c r="AM159" i="12"/>
  <c r="AO125" i="12"/>
  <c r="AP124" i="12"/>
  <c r="AQ124" i="12"/>
  <c r="AP125" i="12"/>
  <c r="AM192" i="12"/>
  <c r="AL193" i="12"/>
  <c r="AM176" i="12"/>
  <c r="AN175" i="12"/>
  <c r="AQ108" i="12"/>
  <c r="AO158" i="12"/>
  <c r="AN159" i="12"/>
  <c r="AO142" i="12"/>
  <c r="AP141" i="12"/>
  <c r="AN176" i="12"/>
  <c r="AO175" i="12"/>
  <c r="AQ125" i="12"/>
  <c r="AQ141" i="12"/>
  <c r="AP142" i="12"/>
  <c r="AN192" i="12"/>
  <c r="AM193" i="12"/>
  <c r="AO159" i="12"/>
  <c r="AP158" i="12"/>
  <c r="AO192" i="12"/>
  <c r="AN193" i="12"/>
  <c r="AQ142" i="12"/>
  <c r="AP175" i="12"/>
  <c r="AO176" i="12"/>
  <c r="AP159" i="12"/>
  <c r="AQ158" i="12"/>
  <c r="AQ159" i="12"/>
  <c r="AQ175" i="12"/>
  <c r="AP176" i="12"/>
  <c r="AO193" i="12"/>
  <c r="AP192" i="12"/>
  <c r="AQ192" i="12"/>
  <c r="AP193" i="12"/>
  <c r="AQ176" i="12"/>
  <c r="AQ193" i="12"/>
  <c r="BB171" i="12"/>
  <c r="BB100" i="12"/>
  <c r="BB103" i="12"/>
  <c r="BB65" i="12"/>
  <c r="BB201" i="12"/>
  <c r="BB182" i="12"/>
  <c r="BB148" i="12"/>
  <c r="BB181" i="12"/>
  <c r="BB13" i="12"/>
  <c r="BB68" i="12"/>
  <c r="BB196" i="12"/>
  <c r="BB147" i="12"/>
  <c r="BB50" i="12"/>
  <c r="BB96" i="12"/>
  <c r="BB35" i="12"/>
  <c r="BB34" i="12"/>
  <c r="BB61" i="12"/>
  <c r="BB128" i="12"/>
  <c r="BB28" i="12"/>
  <c r="BB111" i="12"/>
  <c r="BB168" i="12"/>
  <c r="BB170" i="12"/>
  <c r="BB167" i="12"/>
  <c r="BB133" i="12"/>
  <c r="BB9" i="12"/>
  <c r="BB185" i="12"/>
  <c r="BB187" i="12"/>
  <c r="BB152" i="12"/>
  <c r="BB16" i="12"/>
  <c r="BB115" i="12"/>
  <c r="BB164" i="12"/>
  <c r="BB203" i="12"/>
  <c r="BB117" i="12"/>
  <c r="BB15" i="12"/>
  <c r="BB116" i="12"/>
  <c r="BB180" i="12"/>
  <c r="BB202" i="12"/>
  <c r="BB184" i="12"/>
  <c r="BB33" i="12"/>
  <c r="BB83" i="12"/>
  <c r="BB118" i="12"/>
  <c r="BB45" i="12"/>
  <c r="BB98" i="12"/>
  <c r="BB136" i="12"/>
  <c r="BB205" i="12"/>
  <c r="BB145" i="12"/>
  <c r="BB47" i="12"/>
  <c r="BB119" i="12"/>
  <c r="BB66" i="12"/>
  <c r="BB79" i="12"/>
  <c r="BB52" i="12"/>
  <c r="BB14" i="12"/>
  <c r="BB132" i="12"/>
  <c r="BB60" i="12"/>
  <c r="BB62" i="12"/>
  <c r="BB67" i="12"/>
  <c r="BB146" i="12"/>
  <c r="BB153" i="12"/>
  <c r="BB169" i="12"/>
  <c r="BB31" i="12"/>
  <c r="BB17" i="12"/>
  <c r="BB135" i="12"/>
  <c r="BB10" i="12"/>
  <c r="BB94" i="12"/>
  <c r="BB162" i="12"/>
  <c r="BB188" i="12"/>
  <c r="BB49" i="12"/>
  <c r="BB84" i="12"/>
  <c r="BB11" i="12"/>
  <c r="BB163" i="12"/>
  <c r="BB131" i="12"/>
  <c r="BB183" i="12"/>
  <c r="BB149" i="12"/>
  <c r="BB64" i="12"/>
  <c r="BB199" i="12"/>
  <c r="BB113" i="12"/>
  <c r="BB82" i="12"/>
  <c r="BB85" i="12"/>
  <c r="BB95" i="12"/>
  <c r="BB32" i="12"/>
  <c r="BB29" i="12"/>
  <c r="BB179" i="12"/>
  <c r="BB81" i="12"/>
  <c r="BB166" i="12"/>
  <c r="BB154" i="12"/>
  <c r="BB43" i="12"/>
  <c r="BB69" i="12"/>
  <c r="BB204" i="12"/>
  <c r="BB150" i="12"/>
  <c r="BB46" i="12"/>
  <c r="BB130" i="12"/>
  <c r="BB120" i="12"/>
  <c r="BB134" i="12"/>
  <c r="BB112" i="12"/>
  <c r="BB51" i="12"/>
  <c r="BB102" i="12"/>
  <c r="BB26" i="12"/>
  <c r="BB12" i="12"/>
  <c r="BB198" i="12"/>
  <c r="BB48" i="12"/>
  <c r="BB97" i="12"/>
  <c r="BB78" i="12"/>
  <c r="BB114" i="12"/>
  <c r="BB137" i="12"/>
  <c r="BB151" i="12"/>
  <c r="BB8" i="12"/>
  <c r="BB165" i="12"/>
  <c r="BB129" i="12"/>
  <c r="BB80" i="12"/>
  <c r="BB30" i="12"/>
  <c r="BB99" i="12"/>
  <c r="BB77" i="12"/>
  <c r="BB101" i="12"/>
  <c r="BB200" i="12"/>
  <c r="BB63" i="12"/>
  <c r="BB44" i="12"/>
  <c r="BB27" i="12"/>
  <c r="BB197" i="12"/>
  <c r="BB186" i="12"/>
  <c r="BB18" i="12"/>
  <c r="BB86" i="12"/>
  <c r="AZ167" i="12"/>
  <c r="AZ43" i="12"/>
  <c r="AZ187" i="12"/>
  <c r="AZ48" i="12"/>
  <c r="AZ148" i="12"/>
  <c r="AZ98" i="12"/>
  <c r="AZ154" i="12"/>
  <c r="AZ50" i="12"/>
  <c r="AZ46" i="12"/>
  <c r="AZ130" i="12"/>
  <c r="AZ47" i="12"/>
  <c r="AZ26" i="12"/>
  <c r="AZ169" i="12"/>
  <c r="AZ196" i="12"/>
  <c r="AZ85" i="12"/>
  <c r="AZ16" i="12"/>
  <c r="AZ94" i="12"/>
  <c r="AZ8" i="12"/>
  <c r="AZ113" i="12"/>
  <c r="AZ86" i="12"/>
  <c r="AZ45" i="12"/>
  <c r="AZ49" i="12"/>
  <c r="AZ66" i="12"/>
  <c r="AZ200" i="12"/>
  <c r="AZ61" i="12"/>
  <c r="AZ111" i="12"/>
  <c r="AZ147" i="12"/>
  <c r="AZ84" i="12"/>
  <c r="AZ69" i="12"/>
  <c r="AZ134" i="12"/>
  <c r="AZ15" i="12"/>
  <c r="AZ30" i="12"/>
  <c r="AZ115" i="12"/>
  <c r="AZ18" i="12"/>
  <c r="AZ162" i="12"/>
  <c r="AZ204" i="12"/>
  <c r="AZ63" i="12"/>
  <c r="AZ12" i="12"/>
  <c r="AZ78" i="12"/>
  <c r="AZ185" i="12"/>
  <c r="AZ64" i="12"/>
  <c r="AZ77" i="12"/>
  <c r="AZ95" i="12"/>
  <c r="AZ135" i="12"/>
  <c r="AZ184" i="12"/>
  <c r="AZ101" i="12"/>
  <c r="AZ180" i="12"/>
  <c r="AZ13" i="12"/>
  <c r="AZ183" i="12"/>
  <c r="AZ182" i="12"/>
  <c r="AZ164" i="12"/>
  <c r="AZ171" i="12"/>
  <c r="AZ199" i="12"/>
  <c r="AZ11" i="12"/>
  <c r="AZ35" i="12"/>
  <c r="AZ132" i="12"/>
  <c r="AZ163" i="12"/>
  <c r="AZ97" i="12"/>
  <c r="AZ60" i="12"/>
  <c r="AZ198" i="12"/>
  <c r="AZ145" i="12"/>
  <c r="AZ62" i="12"/>
  <c r="AZ186" i="12"/>
  <c r="AZ203" i="12"/>
  <c r="AZ179" i="12"/>
  <c r="AZ32" i="12"/>
  <c r="AZ181" i="12"/>
  <c r="AZ136" i="12"/>
  <c r="AZ65" i="12"/>
  <c r="AZ99" i="12"/>
  <c r="AZ202" i="12"/>
  <c r="AZ31" i="12"/>
  <c r="AZ133" i="12"/>
  <c r="AZ100" i="12"/>
  <c r="AZ150" i="12"/>
  <c r="AZ128" i="12"/>
  <c r="AZ103" i="12"/>
  <c r="AZ149" i="12"/>
  <c r="AZ44" i="12"/>
  <c r="AZ96" i="12"/>
  <c r="AZ112" i="12"/>
  <c r="AZ129" i="12"/>
  <c r="AZ201" i="12"/>
  <c r="AZ51" i="12"/>
  <c r="AZ197" i="12"/>
  <c r="AZ82" i="12"/>
  <c r="AZ137" i="12"/>
  <c r="AZ14" i="12"/>
  <c r="AZ165" i="12"/>
  <c r="AZ170" i="12"/>
  <c r="AZ10" i="12"/>
  <c r="AZ67" i="12"/>
  <c r="AZ79" i="12"/>
  <c r="AZ27" i="12"/>
  <c r="AZ52" i="12"/>
  <c r="AZ9" i="12"/>
  <c r="AZ205" i="12"/>
  <c r="AZ80" i="12"/>
  <c r="AZ146" i="12"/>
  <c r="AZ28" i="12"/>
  <c r="AZ116" i="12"/>
  <c r="AZ119" i="12"/>
  <c r="AZ153" i="12"/>
  <c r="AZ168" i="12"/>
  <c r="AZ83" i="12"/>
  <c r="AZ29" i="12"/>
  <c r="AZ114" i="12"/>
  <c r="AZ131" i="12"/>
  <c r="AZ117" i="12"/>
  <c r="AZ68" i="12"/>
  <c r="AZ188" i="12"/>
  <c r="AZ102" i="12"/>
  <c r="AZ81" i="12"/>
  <c r="AZ118" i="12"/>
  <c r="AZ34" i="12"/>
  <c r="AZ17" i="12"/>
  <c r="AZ151" i="12"/>
  <c r="AZ152" i="12"/>
  <c r="AZ120" i="12"/>
  <c r="AZ33" i="12"/>
  <c r="AZ166" i="12"/>
  <c r="AO138" i="12"/>
  <c r="Q70" i="12"/>
  <c r="N70" i="12"/>
  <c r="AM53" i="12"/>
  <c r="AQ155" i="12"/>
  <c r="AM104" i="12"/>
  <c r="Y172" i="12"/>
  <c r="AC172" i="12"/>
  <c r="AA19" i="12"/>
  <c r="Q172" i="12"/>
  <c r="AP104" i="12"/>
  <c r="AL87" i="12"/>
  <c r="AL121" i="12"/>
  <c r="O70" i="12"/>
  <c r="AB138" i="12"/>
  <c r="S87" i="12"/>
  <c r="AA138" i="12"/>
  <c r="AL189" i="12"/>
  <c r="AJ87" i="12"/>
  <c r="N206" i="12"/>
  <c r="Q155" i="12"/>
  <c r="AP53" i="12"/>
  <c r="X121" i="12"/>
  <c r="P53" i="12"/>
  <c r="P70" i="12"/>
  <c r="S189" i="12"/>
  <c r="AP138" i="12"/>
  <c r="AQ206" i="12"/>
  <c r="AF206" i="12"/>
  <c r="AF138" i="12"/>
  <c r="AN138" i="12"/>
  <c r="AN155" i="12"/>
  <c r="AB155" i="12"/>
  <c r="W19" i="12"/>
  <c r="AC138" i="12"/>
  <c r="M206" i="12"/>
  <c r="AB53" i="12"/>
  <c r="AG19" i="12"/>
  <c r="AO104" i="12"/>
  <c r="W155" i="12"/>
  <c r="AL138" i="12"/>
  <c r="AO172" i="12"/>
  <c r="S155" i="12"/>
  <c r="Q206" i="12"/>
  <c r="AN189" i="12"/>
  <c r="Q189" i="12"/>
  <c r="N87" i="12"/>
  <c r="Z87" i="12"/>
  <c r="U172" i="12"/>
  <c r="AN172" i="12"/>
  <c r="Y121" i="12"/>
  <c r="AO189" i="12"/>
  <c r="AF155" i="12"/>
  <c r="AK206" i="12"/>
  <c r="AH104" i="12"/>
  <c r="AM36" i="12"/>
  <c r="T70" i="12"/>
  <c r="V53" i="12"/>
  <c r="AG121" i="12"/>
  <c r="AG104" i="12"/>
  <c r="S104" i="12"/>
  <c r="AF172" i="12"/>
  <c r="AH121" i="12"/>
  <c r="U87" i="12"/>
  <c r="AE121" i="12"/>
  <c r="AM172" i="12"/>
  <c r="M70" i="12"/>
  <c r="AL206" i="12"/>
  <c r="AP70" i="12"/>
  <c r="AA155" i="12"/>
  <c r="W172" i="12"/>
  <c r="AH138" i="12"/>
  <c r="AG70" i="12"/>
  <c r="AK121" i="12"/>
  <c r="X70" i="12"/>
  <c r="O206" i="12"/>
  <c r="T121" i="12"/>
  <c r="N121" i="12"/>
  <c r="AC155" i="12"/>
  <c r="AB189" i="12"/>
  <c r="O53" i="12"/>
  <c r="Z155" i="12"/>
  <c r="AH87" i="12"/>
  <c r="W53" i="12"/>
  <c r="AK155" i="12"/>
  <c r="W138" i="12"/>
  <c r="Y155" i="12"/>
  <c r="N53" i="12"/>
  <c r="AD36" i="12"/>
  <c r="W36" i="12"/>
  <c r="W87" i="12"/>
  <c r="T206" i="12"/>
  <c r="R70" i="12"/>
  <c r="AE19" i="12"/>
  <c r="AQ53" i="12"/>
  <c r="P36" i="12"/>
  <c r="X155" i="12"/>
  <c r="U189" i="12"/>
  <c r="AO206" i="12"/>
  <c r="AN53" i="12"/>
  <c r="T138" i="12"/>
  <c r="Y104" i="12"/>
  <c r="M104" i="12"/>
  <c r="S206" i="12"/>
  <c r="S53" i="12"/>
  <c r="O138" i="12"/>
  <c r="AL53" i="12"/>
  <c r="X36" i="12"/>
  <c r="AC53" i="12"/>
  <c r="Z138" i="12"/>
  <c r="Y206" i="12"/>
  <c r="AL104" i="12"/>
  <c r="AK104" i="12"/>
  <c r="O155" i="12"/>
  <c r="AJ138" i="12"/>
  <c r="Y189" i="12"/>
  <c r="R189" i="12"/>
  <c r="N104" i="12"/>
  <c r="AP19" i="12"/>
  <c r="W70" i="12"/>
  <c r="AE189" i="12"/>
  <c r="AJ36" i="12"/>
  <c r="Z121" i="12"/>
  <c r="AA104" i="12"/>
  <c r="X206" i="12"/>
  <c r="AJ104" i="12"/>
  <c r="Q87" i="12"/>
  <c r="AC121" i="12"/>
  <c r="O104" i="12"/>
  <c r="M189" i="12"/>
  <c r="N138" i="12"/>
  <c r="P121" i="12"/>
  <c r="AQ172" i="12"/>
  <c r="T155" i="12"/>
  <c r="AD172" i="12"/>
  <c r="Z104" i="12"/>
  <c r="AP189" i="12"/>
  <c r="AA206" i="12"/>
  <c r="AK87" i="12"/>
  <c r="Y53" i="12"/>
  <c r="AF70" i="12"/>
  <c r="N19" i="12"/>
  <c r="AE172" i="12"/>
  <c r="T19" i="12"/>
  <c r="Q36" i="12"/>
  <c r="AB121" i="12"/>
  <c r="AF121" i="12"/>
  <c r="AH36" i="12"/>
  <c r="AD189" i="12"/>
  <c r="R19" i="12"/>
  <c r="AO121" i="12"/>
  <c r="AG189" i="12"/>
  <c r="Z19" i="12"/>
  <c r="M138" i="12"/>
  <c r="Z53" i="12"/>
  <c r="AG53" i="12"/>
  <c r="Q19" i="12"/>
  <c r="S36" i="12"/>
  <c r="AO87" i="12"/>
  <c r="AJ189" i="12"/>
  <c r="AH172" i="12"/>
  <c r="T104" i="12"/>
  <c r="AA36" i="12"/>
  <c r="AH70" i="12"/>
  <c r="AC189" i="12"/>
  <c r="AE206" i="12"/>
  <c r="AH19" i="12"/>
  <c r="W104" i="12"/>
  <c r="AD104" i="12"/>
  <c r="AP206" i="12"/>
  <c r="Q138" i="12"/>
  <c r="AI155" i="12"/>
  <c r="AC36" i="12"/>
  <c r="AM138" i="12"/>
  <c r="N155" i="12"/>
  <c r="AH206" i="12"/>
  <c r="V155" i="12"/>
  <c r="AC87" i="12"/>
  <c r="M155" i="12"/>
  <c r="S138" i="12"/>
  <c r="AM155" i="12"/>
  <c r="AC19" i="12"/>
  <c r="O36" i="12"/>
  <c r="AN87" i="12"/>
  <c r="M172" i="12"/>
  <c r="AE36" i="12"/>
  <c r="AD70" i="12"/>
  <c r="M87" i="12"/>
  <c r="AQ36" i="12"/>
  <c r="R155" i="12"/>
  <c r="AP87" i="12"/>
  <c r="AD121" i="12"/>
  <c r="AG138" i="12"/>
  <c r="AI206" i="12"/>
  <c r="AC104" i="12"/>
  <c r="AG87" i="12"/>
  <c r="AI189" i="12"/>
  <c r="X172" i="12"/>
  <c r="AO53" i="12"/>
  <c r="AF19" i="12"/>
  <c r="U138" i="12"/>
  <c r="AI19" i="12"/>
  <c r="R87" i="12"/>
  <c r="AK172" i="12"/>
  <c r="AB19" i="12"/>
  <c r="AL19" i="12"/>
  <c r="AI87" i="12"/>
  <c r="AG172" i="12"/>
  <c r="AN70" i="12"/>
  <c r="T53" i="12"/>
  <c r="AP36" i="12"/>
  <c r="V189" i="12"/>
  <c r="AB87" i="12"/>
  <c r="AQ121" i="12"/>
  <c r="AQ19" i="12"/>
  <c r="AQ189" i="12"/>
  <c r="V138" i="12"/>
  <c r="M121" i="12"/>
  <c r="AP155" i="12"/>
  <c r="M53" i="12"/>
  <c r="AI53" i="12"/>
  <c r="AP121" i="12"/>
  <c r="AO70" i="12"/>
  <c r="X87" i="12"/>
  <c r="AQ138" i="12"/>
  <c r="AJ19" i="12"/>
  <c r="AO155" i="12"/>
  <c r="AF104" i="12"/>
  <c r="O87" i="12"/>
  <c r="O19" i="12"/>
  <c r="R36" i="12"/>
  <c r="AI172" i="12"/>
  <c r="AJ155" i="12"/>
  <c r="AI121" i="12"/>
  <c r="O172" i="12"/>
  <c r="Y70" i="12"/>
  <c r="AF53" i="12"/>
  <c r="S70" i="12"/>
  <c r="T36" i="12"/>
  <c r="Y138" i="12"/>
  <c r="V104" i="12"/>
  <c r="AM206" i="12"/>
  <c r="AE53" i="12"/>
  <c r="AA121" i="12"/>
  <c r="P206" i="12"/>
  <c r="O121" i="12"/>
  <c r="AC70" i="12"/>
  <c r="R53" i="12"/>
  <c r="X104" i="12"/>
  <c r="X138" i="12"/>
  <c r="V121" i="12"/>
  <c r="AJ206" i="12"/>
  <c r="AH53" i="12"/>
  <c r="R206" i="12"/>
  <c r="AL70" i="12"/>
  <c r="AI138" i="12"/>
  <c r="R138" i="12"/>
  <c r="AK53" i="12"/>
  <c r="AP172" i="12"/>
  <c r="W189" i="12"/>
  <c r="AD53" i="12"/>
  <c r="AG155" i="12"/>
  <c r="S19" i="12"/>
  <c r="N172" i="12"/>
  <c r="AJ70" i="12"/>
  <c r="Z36" i="12"/>
  <c r="V19" i="12"/>
  <c r="AB36" i="12"/>
  <c r="U206" i="12"/>
  <c r="AN104" i="12"/>
  <c r="P87" i="12"/>
  <c r="Q121" i="12"/>
  <c r="Y87" i="12"/>
  <c r="S172" i="12"/>
  <c r="AI70" i="12"/>
  <c r="AN19" i="12"/>
  <c r="AD19" i="12"/>
  <c r="AL155" i="12"/>
  <c r="AI36" i="12"/>
  <c r="AE104" i="12"/>
  <c r="AL36" i="12"/>
  <c r="AE138" i="12"/>
  <c r="AG206" i="12"/>
  <c r="V70" i="12"/>
  <c r="AM70" i="12"/>
  <c r="AL172" i="12"/>
  <c r="T189" i="12"/>
  <c r="Y36" i="12"/>
  <c r="V87" i="12"/>
  <c r="U121" i="12"/>
  <c r="Z206" i="12"/>
  <c r="X189" i="12"/>
  <c r="R104" i="12"/>
  <c r="N189" i="12"/>
  <c r="AK189" i="12"/>
  <c r="R172" i="12"/>
  <c r="Q104" i="12"/>
  <c r="AF36" i="12"/>
  <c r="Q53" i="12"/>
  <c r="T87" i="12"/>
  <c r="AE70" i="12"/>
  <c r="U36" i="12"/>
  <c r="R121" i="12"/>
  <c r="AH155" i="12"/>
  <c r="AM87" i="12"/>
  <c r="AK138" i="12"/>
  <c r="W121" i="12"/>
  <c r="W206" i="12"/>
  <c r="U155" i="12"/>
  <c r="M19" i="12"/>
  <c r="AJ121" i="12"/>
  <c r="P104" i="12"/>
  <c r="AK36" i="12"/>
  <c r="V172" i="12"/>
  <c r="AB104" i="12"/>
  <c r="AF87" i="12"/>
  <c r="U19" i="12"/>
  <c r="P155" i="12"/>
  <c r="AK70" i="12"/>
  <c r="V206" i="12"/>
  <c r="AJ172" i="12"/>
  <c r="AD87" i="12"/>
  <c r="AN206" i="12"/>
  <c r="AM121" i="12"/>
  <c r="S121" i="12"/>
  <c r="U70" i="12"/>
  <c r="AD138" i="12"/>
  <c r="X19" i="12"/>
  <c r="AM19" i="12"/>
  <c r="X53" i="12"/>
  <c r="AD206" i="12"/>
  <c r="AN36" i="12"/>
  <c r="AG36" i="12"/>
  <c r="Z189" i="12"/>
  <c r="AO36" i="12"/>
  <c r="AH189" i="12"/>
  <c r="M36" i="12"/>
  <c r="N36" i="12"/>
  <c r="AB70" i="12"/>
  <c r="Z172" i="12"/>
  <c r="AI104" i="12"/>
  <c r="U104" i="12"/>
  <c r="AQ70" i="12"/>
  <c r="P172" i="12"/>
  <c r="AN121" i="12"/>
  <c r="P138" i="12"/>
  <c r="AO19" i="12"/>
  <c r="P189" i="12"/>
  <c r="O189" i="12"/>
  <c r="Z70" i="12"/>
  <c r="AM189" i="12"/>
  <c r="AA189" i="12"/>
  <c r="P19" i="12"/>
  <c r="AA172" i="12"/>
  <c r="AJ53" i="12"/>
  <c r="V36" i="12"/>
  <c r="AF189" i="12"/>
  <c r="AA87" i="12"/>
  <c r="AQ104" i="12"/>
  <c r="AA53" i="12"/>
  <c r="AQ87" i="12"/>
  <c r="Y19" i="12"/>
  <c r="AC206" i="12"/>
  <c r="AE155" i="12"/>
  <c r="AA70" i="12"/>
  <c r="T172" i="12"/>
  <c r="AD155" i="12"/>
  <c r="AK19" i="12"/>
  <c r="AE87" i="12"/>
  <c r="U53" i="12"/>
  <c r="AB172" i="12"/>
  <c r="AB206" i="12"/>
  <c r="P19" i="23"/>
  <c r="Z19" i="23"/>
  <c r="P22" i="23"/>
  <c r="Z22" i="23"/>
  <c r="P23" i="23"/>
  <c r="Z23" i="23"/>
  <c r="I23" i="23"/>
  <c r="Y23" i="23"/>
  <c r="W19" i="23"/>
  <c r="AA19" i="23"/>
  <c r="AB19" i="23"/>
  <c r="AC19" i="23"/>
  <c r="AB9" i="23"/>
  <c r="AC9" i="23"/>
  <c r="W8" i="23"/>
  <c r="AA8" i="23"/>
  <c r="W7" i="23"/>
  <c r="AA7" i="23"/>
  <c r="AB6" i="23"/>
  <c r="AC6" i="23"/>
  <c r="AB5" i="23"/>
  <c r="AC5" i="23"/>
  <c r="AP31" i="1" a="1"/>
  <c r="AP31" i="1"/>
  <c r="AR27" i="1" a="1"/>
  <c r="AR27" i="1"/>
  <c r="BS10" i="12"/>
  <c r="BS18" i="12"/>
  <c r="BS15" i="12"/>
  <c r="BS17" i="12"/>
  <c r="AB8" i="23"/>
  <c r="AC8" i="23"/>
  <c r="AB7" i="23"/>
  <c r="AC7" i="23"/>
  <c r="AK10" i="3"/>
  <c r="AJ7" i="3"/>
  <c r="BL155" i="12"/>
  <c r="AV155" i="12"/>
  <c r="AX155" i="12"/>
  <c r="AZ155" i="12"/>
  <c r="BC155" i="12"/>
  <c r="AT155" i="12"/>
  <c r="BH155" i="12"/>
  <c r="BN155" i="12"/>
  <c r="BA155" i="12"/>
  <c r="BG155" i="12"/>
  <c r="BQ155" i="12"/>
  <c r="BB155" i="12"/>
  <c r="BF155" i="12"/>
  <c r="AS155" i="12"/>
  <c r="BI155" i="12"/>
  <c r="AY155" i="12"/>
  <c r="BJ155" i="12"/>
  <c r="AW155" i="12"/>
  <c r="BM155" i="12"/>
  <c r="AU155" i="12"/>
  <c r="BK155" i="12"/>
  <c r="BP155" i="12"/>
  <c r="BE155" i="12"/>
  <c r="BO155" i="12"/>
  <c r="AX36" i="12"/>
  <c r="BL36" i="12"/>
  <c r="BE36" i="12"/>
  <c r="AY36" i="12"/>
  <c r="BJ36" i="12"/>
  <c r="BI36" i="12"/>
  <c r="BM36" i="12"/>
  <c r="AU36" i="12"/>
  <c r="BP36" i="12"/>
  <c r="BN36" i="12"/>
  <c r="AV36" i="12"/>
  <c r="AT36" i="12"/>
  <c r="BO36" i="12"/>
  <c r="BH36" i="12"/>
  <c r="BG36" i="12"/>
  <c r="AS36" i="12"/>
  <c r="BC36" i="12"/>
  <c r="AZ36" i="12"/>
  <c r="BA36" i="12"/>
  <c r="BF36" i="12"/>
  <c r="BK36" i="12"/>
  <c r="BB36" i="12"/>
  <c r="BQ36" i="12"/>
  <c r="AW36" i="12"/>
  <c r="BK87" i="12"/>
  <c r="BM87" i="12"/>
  <c r="BL87" i="12"/>
  <c r="BF87" i="12"/>
  <c r="BA87" i="12"/>
  <c r="BQ87" i="12"/>
  <c r="BH87" i="12"/>
  <c r="BO87" i="12"/>
  <c r="BP87" i="12"/>
  <c r="BI87" i="12"/>
  <c r="AW87" i="12"/>
  <c r="BE87" i="12"/>
  <c r="AS87" i="12"/>
  <c r="BJ87" i="12"/>
  <c r="BN87" i="12"/>
  <c r="AZ87" i="12"/>
  <c r="BC87" i="12"/>
  <c r="AV87" i="12"/>
  <c r="AU87" i="12"/>
  <c r="AT87" i="12"/>
  <c r="BG87" i="12"/>
  <c r="AX87" i="12"/>
  <c r="BB87" i="12"/>
  <c r="AY87" i="12"/>
  <c r="AZ138" i="12"/>
  <c r="BQ138" i="12"/>
  <c r="AW138" i="12"/>
  <c r="AV138" i="12"/>
  <c r="BP138" i="12"/>
  <c r="BG138" i="12"/>
  <c r="BI138" i="12"/>
  <c r="AS138" i="12"/>
  <c r="BH138" i="12"/>
  <c r="BF138" i="12"/>
  <c r="BJ138" i="12"/>
  <c r="BB138" i="12"/>
  <c r="BO138" i="12"/>
  <c r="BL138" i="12"/>
  <c r="AX138" i="12"/>
  <c r="BN138" i="12"/>
  <c r="AT138" i="12"/>
  <c r="AY138" i="12"/>
  <c r="BE138" i="12"/>
  <c r="AU138" i="12"/>
  <c r="BA138" i="12"/>
  <c r="BM138" i="12"/>
  <c r="BC138" i="12"/>
  <c r="BK138" i="12"/>
  <c r="AX189" i="12"/>
  <c r="BE189" i="12"/>
  <c r="BL189" i="12"/>
  <c r="BA189" i="12"/>
  <c r="AZ189" i="12"/>
  <c r="AV189" i="12"/>
  <c r="AW189" i="12"/>
  <c r="AU189" i="12"/>
  <c r="AT189" i="12"/>
  <c r="BB189" i="12"/>
  <c r="BH189" i="12"/>
  <c r="BP189" i="12"/>
  <c r="BJ189" i="12"/>
  <c r="BG189" i="12"/>
  <c r="AY189" i="12"/>
  <c r="BM189" i="12"/>
  <c r="BQ189" i="12"/>
  <c r="BF189" i="12"/>
  <c r="BK189" i="12"/>
  <c r="BO189" i="12"/>
  <c r="BN189" i="12"/>
  <c r="BC189" i="12"/>
  <c r="AS189" i="12"/>
  <c r="BI189" i="12"/>
  <c r="AS19" i="12"/>
  <c r="BC19" i="12"/>
  <c r="AU19" i="12"/>
  <c r="BA19" i="12"/>
  <c r="BO19" i="12"/>
  <c r="BE19" i="12"/>
  <c r="BP19" i="12"/>
  <c r="BQ19" i="12"/>
  <c r="BK19" i="12"/>
  <c r="BL19" i="12"/>
  <c r="BB19" i="12"/>
  <c r="AY19" i="12"/>
  <c r="BM19" i="12"/>
  <c r="AW19" i="12"/>
  <c r="BG19" i="12"/>
  <c r="BF19" i="12"/>
  <c r="AT19" i="12"/>
  <c r="AX19" i="12"/>
  <c r="BN19" i="12"/>
  <c r="AV19" i="12"/>
  <c r="AZ19" i="12"/>
  <c r="BH19" i="12"/>
  <c r="BJ19" i="12"/>
  <c r="BI19" i="12"/>
  <c r="AW206" i="12"/>
  <c r="BI206" i="12"/>
  <c r="BJ206" i="12"/>
  <c r="BQ206" i="12"/>
  <c r="AT206" i="12"/>
  <c r="BE206" i="12"/>
  <c r="BC206" i="12"/>
  <c r="BP206" i="12"/>
  <c r="BB206" i="12"/>
  <c r="BH206" i="12"/>
  <c r="BF206" i="12"/>
  <c r="BG206" i="12"/>
  <c r="AZ206" i="12"/>
  <c r="AV206" i="12"/>
  <c r="BM206" i="12"/>
  <c r="BN206" i="12"/>
  <c r="AX206" i="12"/>
  <c r="BK206" i="12"/>
  <c r="BO206" i="12"/>
  <c r="AU206" i="12"/>
  <c r="AY206" i="12"/>
  <c r="BA206" i="12"/>
  <c r="AS206" i="12"/>
  <c r="BL206" i="12"/>
  <c r="BO172" i="12"/>
  <c r="AY172" i="12"/>
  <c r="AX172" i="12"/>
  <c r="BP172" i="12"/>
  <c r="AT172" i="12"/>
  <c r="BJ172" i="12"/>
  <c r="BB172" i="12"/>
  <c r="BC172" i="12"/>
  <c r="BA172" i="12"/>
  <c r="AV172" i="12"/>
  <c r="BG172" i="12"/>
  <c r="BE172" i="12"/>
  <c r="BK172" i="12"/>
  <c r="BL172" i="12"/>
  <c r="BN172" i="12"/>
  <c r="AS172" i="12"/>
  <c r="AW172" i="12"/>
  <c r="BQ172" i="12"/>
  <c r="BF172" i="12"/>
  <c r="BM172" i="12"/>
  <c r="BI172" i="12"/>
  <c r="AZ172" i="12"/>
  <c r="BH172" i="12"/>
  <c r="AU172" i="12"/>
  <c r="BK121" i="12"/>
  <c r="AT121" i="12"/>
  <c r="AW121" i="12"/>
  <c r="BN121" i="12"/>
  <c r="BF121" i="12"/>
  <c r="BH121" i="12"/>
  <c r="BC121" i="12"/>
  <c r="BI121" i="12"/>
  <c r="BE121" i="12"/>
  <c r="AZ121" i="12"/>
  <c r="AU121" i="12"/>
  <c r="BJ121" i="12"/>
  <c r="BO121" i="12"/>
  <c r="BQ121" i="12"/>
  <c r="AX121" i="12"/>
  <c r="BA121" i="12"/>
  <c r="BM121" i="12"/>
  <c r="BP121" i="12"/>
  <c r="AS121" i="12"/>
  <c r="BB121" i="12"/>
  <c r="BL121" i="12"/>
  <c r="BG121" i="12"/>
  <c r="AV121" i="12"/>
  <c r="AY121" i="12"/>
  <c r="AY104" i="12"/>
  <c r="BQ104" i="12"/>
  <c r="BG104" i="12"/>
  <c r="BK104" i="12"/>
  <c r="BL104" i="12"/>
  <c r="BO104" i="12"/>
  <c r="BM104" i="12"/>
  <c r="BA104" i="12"/>
  <c r="BP104" i="12"/>
  <c r="BC104" i="12"/>
  <c r="AU104" i="12"/>
  <c r="AV104" i="12"/>
  <c r="AX104" i="12"/>
  <c r="AZ104" i="12"/>
  <c r="BH104" i="12"/>
  <c r="BF104" i="12"/>
  <c r="AT104" i="12"/>
  <c r="BN104" i="12"/>
  <c r="BB104" i="12"/>
  <c r="BJ104" i="12"/>
  <c r="BE104" i="12"/>
  <c r="BI104" i="12"/>
  <c r="AW104" i="12"/>
  <c r="AS104" i="12"/>
  <c r="BA70" i="12"/>
  <c r="BL70" i="12"/>
  <c r="BH70" i="12"/>
  <c r="BN70" i="12"/>
  <c r="BC70" i="12"/>
  <c r="AY70" i="12"/>
  <c r="BF70" i="12"/>
  <c r="AV70" i="12"/>
  <c r="BP70" i="12"/>
  <c r="AX70" i="12"/>
  <c r="BG70" i="12"/>
  <c r="AS70" i="12"/>
  <c r="BK70" i="12"/>
  <c r="BJ70" i="12"/>
  <c r="BB70" i="12"/>
  <c r="BM70" i="12"/>
  <c r="BO70" i="12"/>
  <c r="AW70" i="12"/>
  <c r="AU70" i="12"/>
  <c r="BI70" i="12"/>
  <c r="BE70" i="12"/>
  <c r="AT70" i="12"/>
  <c r="BQ70" i="12"/>
  <c r="AZ70" i="12"/>
  <c r="AV53" i="12"/>
  <c r="BK53" i="12"/>
  <c r="BO53" i="12"/>
  <c r="BL53" i="12"/>
  <c r="BN53" i="12"/>
  <c r="BJ53" i="12"/>
  <c r="BF53" i="12"/>
  <c r="BE53" i="12"/>
  <c r="BB53" i="12"/>
  <c r="BC53" i="12"/>
  <c r="AY53" i="12"/>
  <c r="BP53" i="12"/>
  <c r="AU53" i="12"/>
  <c r="BQ53" i="12"/>
  <c r="BH53" i="12"/>
  <c r="BM53" i="12"/>
  <c r="BI53" i="12"/>
  <c r="AS53" i="12"/>
  <c r="BA53" i="12"/>
  <c r="AW53" i="12"/>
  <c r="AT53" i="12"/>
  <c r="AZ53" i="12"/>
  <c r="BG53" i="12"/>
  <c r="AX53" i="12"/>
  <c r="U25" i="3"/>
  <c r="AE23" i="3"/>
  <c r="G16" i="3"/>
  <c r="T24" i="3"/>
  <c r="C23" i="3"/>
  <c r="AF17" i="3"/>
  <c r="AC20" i="3"/>
  <c r="AC25" i="3"/>
  <c r="N20" i="3"/>
  <c r="P24" i="3"/>
  <c r="X22" i="3"/>
  <c r="Y25" i="3"/>
  <c r="W23" i="3"/>
  <c r="AD25" i="3"/>
  <c r="AB23" i="3"/>
  <c r="S22" i="3"/>
  <c r="T19" i="3"/>
  <c r="M16" i="3"/>
  <c r="R22" i="3"/>
  <c r="U23" i="3"/>
  <c r="AC17" i="3"/>
  <c r="E17" i="3"/>
  <c r="D18" i="3"/>
  <c r="O23" i="3"/>
  <c r="M19" i="3"/>
  <c r="X19" i="3"/>
  <c r="AA18" i="3"/>
  <c r="C19" i="3"/>
  <c r="B23" i="3"/>
  <c r="X23" i="3"/>
  <c r="B18" i="3"/>
  <c r="AF23" i="3"/>
  <c r="E21" i="3"/>
  <c r="K21" i="3"/>
  <c r="AD23" i="3"/>
  <c r="Z23" i="3"/>
  <c r="O20" i="3"/>
  <c r="L18" i="3"/>
  <c r="R16" i="3"/>
  <c r="AE20" i="3"/>
  <c r="Z24" i="3"/>
  <c r="R21" i="3"/>
  <c r="X24" i="3"/>
  <c r="AD16" i="3"/>
  <c r="X16" i="3"/>
  <c r="AA20" i="3"/>
  <c r="B25" i="3"/>
  <c r="Z16" i="3"/>
  <c r="I24" i="3"/>
  <c r="N18" i="3"/>
  <c r="V23" i="3"/>
  <c r="W16" i="3"/>
  <c r="G20" i="3"/>
  <c r="S24" i="3"/>
  <c r="G23" i="3"/>
  <c r="U20" i="3"/>
  <c r="AE22" i="3"/>
  <c r="AC24" i="3"/>
  <c r="C25" i="3"/>
  <c r="H24" i="3"/>
  <c r="R25" i="3"/>
  <c r="G24" i="3"/>
  <c r="Y22" i="3"/>
  <c r="F21" i="3"/>
  <c r="V19" i="3"/>
  <c r="I19" i="3"/>
  <c r="E19" i="3"/>
  <c r="F19" i="3"/>
  <c r="B19" i="3"/>
  <c r="AF20" i="3"/>
  <c r="K16" i="3"/>
  <c r="C16" i="3"/>
  <c r="Z22" i="3"/>
  <c r="V16" i="3"/>
  <c r="I21" i="3"/>
  <c r="G19" i="3"/>
  <c r="E23" i="3"/>
  <c r="W21" i="3"/>
  <c r="V20" i="3"/>
  <c r="AD20" i="3"/>
  <c r="W20" i="3"/>
  <c r="AF22" i="3"/>
  <c r="K19" i="3"/>
  <c r="V25" i="3"/>
  <c r="D23" i="3"/>
  <c r="K25" i="3"/>
  <c r="Z20" i="3"/>
  <c r="AA16" i="3"/>
  <c r="F23" i="3"/>
  <c r="I16" i="3"/>
  <c r="M25" i="3"/>
  <c r="AB17" i="3"/>
  <c r="Y23" i="3"/>
  <c r="AA23" i="3"/>
  <c r="Q25" i="3"/>
  <c r="Y16" i="3"/>
  <c r="N17" i="3"/>
  <c r="O16" i="3"/>
  <c r="Y24" i="3"/>
  <c r="AF18" i="3"/>
  <c r="J19" i="3"/>
  <c r="AC16" i="3"/>
  <c r="G25" i="3"/>
  <c r="AB16" i="3"/>
  <c r="AF16" i="3"/>
  <c r="AB20" i="3"/>
  <c r="N25" i="3"/>
  <c r="M22" i="3"/>
  <c r="AD24" i="3"/>
  <c r="Y20" i="3"/>
  <c r="AA24" i="3"/>
  <c r="N23" i="3"/>
  <c r="J24" i="3"/>
  <c r="X20" i="3"/>
  <c r="T22" i="3"/>
  <c r="L20" i="3"/>
  <c r="T16" i="3"/>
  <c r="J25" i="3"/>
  <c r="AC23" i="3"/>
  <c r="N16" i="3"/>
  <c r="Q16" i="3"/>
  <c r="Z25" i="3"/>
  <c r="AB25" i="3"/>
  <c r="AB24" i="3"/>
  <c r="T20" i="3"/>
  <c r="L16" i="3"/>
  <c r="AA25" i="3"/>
  <c r="C18" i="3"/>
  <c r="R18" i="3"/>
  <c r="P20" i="3"/>
  <c r="L19" i="3"/>
  <c r="H19" i="3"/>
  <c r="W22" i="3"/>
  <c r="Q19" i="3"/>
  <c r="H25" i="3"/>
  <c r="Q24" i="3"/>
  <c r="H23" i="3"/>
  <c r="J16" i="3"/>
  <c r="AF25" i="3"/>
  <c r="S18" i="3"/>
  <c r="P16" i="3"/>
  <c r="M20" i="3"/>
  <c r="D16" i="3"/>
  <c r="F16" i="3"/>
  <c r="BD130" i="12"/>
  <c r="BD166" i="12"/>
  <c r="BD167" i="12"/>
  <c r="BD200" i="12"/>
  <c r="BD66" i="12"/>
  <c r="BD27" i="12"/>
  <c r="BD186" i="12"/>
  <c r="BD98" i="12"/>
  <c r="BD84" i="12"/>
  <c r="BD16" i="12"/>
  <c r="BD13" i="12"/>
  <c r="BD133" i="12"/>
  <c r="BD43" i="12"/>
  <c r="BD149" i="12"/>
  <c r="BD97" i="12"/>
  <c r="BD152" i="12"/>
  <c r="BD189" i="12"/>
  <c r="BD121" i="12"/>
  <c r="BD198" i="12"/>
  <c r="BD85" i="12"/>
  <c r="BD69" i="12"/>
  <c r="BD117" i="12"/>
  <c r="BD151" i="12"/>
  <c r="BD154" i="12"/>
  <c r="BD67" i="12"/>
  <c r="BD128" i="12"/>
  <c r="BD32" i="12"/>
  <c r="BD15" i="12"/>
  <c r="BD60" i="12"/>
  <c r="BD181" i="12"/>
  <c r="BD77" i="12"/>
  <c r="BD31" i="12"/>
  <c r="BD129" i="12"/>
  <c r="BD172" i="12"/>
  <c r="BD11" i="12"/>
  <c r="BD201" i="12"/>
  <c r="BD44" i="12"/>
  <c r="BD146" i="12"/>
  <c r="BD112" i="12"/>
  <c r="BD199" i="12"/>
  <c r="BD206" i="12"/>
  <c r="BD78" i="12"/>
  <c r="BD82" i="12"/>
  <c r="BD103" i="12"/>
  <c r="BD49" i="12"/>
  <c r="BD102" i="12"/>
  <c r="BD100" i="12"/>
  <c r="BD18" i="12"/>
  <c r="BD26" i="12"/>
  <c r="BD180" i="12"/>
  <c r="BD70" i="12"/>
  <c r="BD53" i="12"/>
  <c r="BD10" i="12"/>
  <c r="BD14" i="12"/>
  <c r="BD187" i="12"/>
  <c r="BD116" i="12"/>
  <c r="BD137" i="12"/>
  <c r="BD118" i="12"/>
  <c r="BD182" i="12"/>
  <c r="BD86" i="12"/>
  <c r="BD150" i="12"/>
  <c r="BD80" i="12"/>
  <c r="BD131" i="12"/>
  <c r="BD81" i="12"/>
  <c r="BD45" i="12"/>
  <c r="BD113" i="12"/>
  <c r="BD68" i="12"/>
  <c r="BD111" i="12"/>
  <c r="BD203" i="12"/>
  <c r="BD101" i="12"/>
  <c r="BD165" i="12"/>
  <c r="BD96" i="12"/>
  <c r="BD95" i="12"/>
  <c r="BD50" i="12"/>
  <c r="BD9" i="12"/>
  <c r="BD115" i="12"/>
  <c r="BD61" i="12"/>
  <c r="BD153" i="12"/>
  <c r="BD30" i="12"/>
  <c r="BD33" i="12"/>
  <c r="BD184" i="12"/>
  <c r="BD28" i="12"/>
  <c r="BD29" i="12"/>
  <c r="BD185" i="12"/>
  <c r="BD205" i="12"/>
  <c r="BD12" i="12"/>
  <c r="BD46" i="12"/>
  <c r="BD196" i="12"/>
  <c r="BD8" i="12"/>
  <c r="BD134" i="12"/>
  <c r="BD197" i="12"/>
  <c r="BD17" i="12"/>
  <c r="BD183" i="12"/>
  <c r="BD162" i="12"/>
  <c r="BD163" i="12"/>
  <c r="BD148" i="12"/>
  <c r="BD64" i="12"/>
  <c r="BD164" i="12"/>
  <c r="BD204" i="12"/>
  <c r="BD35" i="12"/>
  <c r="BD65" i="12"/>
  <c r="BD188" i="12"/>
  <c r="BD34" i="12"/>
  <c r="BD179" i="12"/>
  <c r="BD132" i="12"/>
  <c r="BD99" i="12"/>
  <c r="BD202" i="12"/>
  <c r="BD145" i="12"/>
  <c r="BD170" i="12"/>
  <c r="BD47" i="12"/>
  <c r="BD51" i="12"/>
  <c r="BD135" i="12"/>
  <c r="BD19" i="12"/>
  <c r="BD48" i="12"/>
  <c r="BD114" i="12"/>
  <c r="BD62" i="12"/>
  <c r="BD120" i="12"/>
  <c r="BD83" i="12"/>
  <c r="BD79" i="12"/>
  <c r="BD168" i="12"/>
  <c r="BD147" i="12"/>
  <c r="BD119" i="12"/>
  <c r="BD63" i="12"/>
  <c r="BD169" i="12"/>
  <c r="BD94" i="12"/>
  <c r="BD171" i="12"/>
  <c r="BD136" i="12"/>
  <c r="BD52" i="12"/>
  <c r="BD36" i="12"/>
  <c r="BD87" i="12"/>
  <c r="BD138" i="12"/>
  <c r="BD155" i="12"/>
  <c r="BD104" i="12"/>
  <c r="AJ3" i="3"/>
  <c r="AJ5" i="3"/>
  <c r="AJ11" i="3"/>
  <c r="AK4" i="3"/>
  <c r="AK6" i="3"/>
  <c r="AJ4" i="3"/>
  <c r="AK9" i="3"/>
  <c r="AJ10" i="3"/>
  <c r="AM10" i="3"/>
  <c r="AK11" i="3"/>
  <c r="AK5" i="3"/>
  <c r="AJ6" i="3"/>
  <c r="AK7" i="3"/>
  <c r="AM7" i="3"/>
  <c r="AJ8" i="3"/>
  <c r="AJ9" i="3"/>
  <c r="AJ12" i="3"/>
  <c r="AK8" i="3"/>
  <c r="AD17" i="3"/>
  <c r="V22" i="3"/>
  <c r="M17" i="3"/>
  <c r="J23" i="3"/>
  <c r="C22" i="3"/>
  <c r="R23" i="3"/>
  <c r="V17" i="3"/>
  <c r="Z17" i="3"/>
  <c r="J18" i="3"/>
  <c r="B20" i="3"/>
  <c r="L17" i="3"/>
  <c r="O17" i="3"/>
  <c r="Q23" i="3"/>
  <c r="Q20" i="3"/>
  <c r="AB19" i="3"/>
  <c r="D24" i="3"/>
  <c r="AD19" i="3"/>
  <c r="R20" i="3"/>
  <c r="P23" i="3"/>
  <c r="U22" i="3"/>
  <c r="W25" i="3"/>
  <c r="J17" i="3"/>
  <c r="S17" i="3"/>
  <c r="W24" i="3"/>
  <c r="E20" i="3"/>
  <c r="O25" i="3"/>
  <c r="S20" i="3"/>
  <c r="Q17" i="3"/>
  <c r="U16" i="3"/>
  <c r="X25" i="3"/>
  <c r="AA21" i="3"/>
  <c r="O24" i="3"/>
  <c r="AC19" i="3"/>
  <c r="H22" i="3"/>
  <c r="L25" i="3"/>
  <c r="E25" i="3"/>
  <c r="M23" i="3"/>
  <c r="I25" i="3"/>
  <c r="U17" i="3"/>
  <c r="K23" i="3"/>
  <c r="B24" i="3"/>
  <c r="Y17" i="3"/>
  <c r="F17" i="3"/>
  <c r="AE25" i="3"/>
  <c r="F25" i="3"/>
  <c r="P25" i="3"/>
  <c r="F18" i="3"/>
  <c r="K17" i="3"/>
  <c r="O18" i="3"/>
  <c r="I23" i="3"/>
  <c r="B16" i="3"/>
  <c r="P19" i="3"/>
  <c r="S25" i="3"/>
  <c r="D25" i="3"/>
  <c r="T23" i="3"/>
  <c r="T25" i="3"/>
  <c r="L23" i="3"/>
  <c r="S23" i="3"/>
  <c r="S16" i="3"/>
  <c r="Z18" i="3"/>
  <c r="N25" i="12"/>
  <c r="Z59" i="12"/>
  <c r="P25" i="12"/>
  <c r="X42" i="12"/>
  <c r="AL144" i="12"/>
  <c r="T93" i="12"/>
  <c r="AO76" i="12"/>
  <c r="AC42" i="12"/>
  <c r="S127" i="12"/>
  <c r="AK76" i="12"/>
  <c r="W110" i="12"/>
  <c r="N195" i="12"/>
  <c r="AL76" i="12"/>
  <c r="AM110" i="12"/>
  <c r="AO8" i="12"/>
  <c r="M127" i="12"/>
  <c r="AQ8" i="12"/>
  <c r="Y127" i="12"/>
  <c r="H16" i="5"/>
  <c r="AN76" i="12"/>
  <c r="AA93" i="12"/>
  <c r="X127" i="12"/>
  <c r="AM42" i="12"/>
  <c r="AI127" i="12"/>
  <c r="AG110" i="12"/>
  <c r="AI59" i="12"/>
  <c r="AE144" i="12"/>
  <c r="AN93" i="12"/>
  <c r="A106" i="14"/>
  <c r="S32" i="1"/>
  <c r="Z161" i="12"/>
  <c r="AK178" i="12"/>
  <c r="AO25" i="12"/>
  <c r="AF42" i="12"/>
  <c r="V127" i="12"/>
  <c r="AK8" i="12"/>
  <c r="AK110" i="12"/>
  <c r="V195" i="12"/>
  <c r="C109" i="12"/>
  <c r="X178" i="12"/>
  <c r="J35" i="5"/>
  <c r="AP42" i="12"/>
  <c r="AE76" i="12"/>
  <c r="AP76" i="12"/>
  <c r="AK144" i="12"/>
  <c r="AV13" i="1"/>
  <c r="AH127" i="12"/>
  <c r="Y93" i="12"/>
  <c r="AN59" i="12"/>
  <c r="A1" i="14"/>
  <c r="M195" i="12"/>
  <c r="W144" i="12"/>
  <c r="S93" i="12"/>
  <c r="W25" i="12"/>
  <c r="AK195" i="12"/>
  <c r="AB178" i="12"/>
  <c r="AO59" i="12"/>
  <c r="AI144" i="12"/>
  <c r="X76" i="12"/>
  <c r="T195" i="12"/>
  <c r="AF93" i="12"/>
  <c r="C92" i="12"/>
  <c r="S76" i="12"/>
  <c r="Q93" i="12"/>
  <c r="AB93" i="12"/>
  <c r="N59" i="12"/>
  <c r="G67" i="7"/>
  <c r="F10" i="6"/>
  <c r="AF76" i="12"/>
  <c r="V93" i="12"/>
  <c r="R127" i="12"/>
  <c r="AI25" i="12"/>
  <c r="AM8" i="12"/>
  <c r="O59" i="12"/>
  <c r="Y42" i="12"/>
  <c r="X195" i="12"/>
  <c r="F1" i="6"/>
  <c r="AJ144" i="12"/>
  <c r="C194" i="12"/>
  <c r="F5" i="6"/>
  <c r="E2" i="10"/>
  <c r="K32" i="1"/>
  <c r="T8" i="12"/>
  <c r="AE25" i="12"/>
  <c r="W178" i="12"/>
  <c r="AB110" i="12"/>
  <c r="T161" i="12"/>
  <c r="V25" i="12"/>
  <c r="AM59" i="12"/>
  <c r="D18" i="10"/>
  <c r="J75" i="12"/>
  <c r="C160" i="12"/>
  <c r="AJ110" i="12"/>
  <c r="F6" i="6"/>
  <c r="S178" i="12"/>
  <c r="AH161" i="12"/>
  <c r="A33" i="14"/>
  <c r="L5" i="1"/>
  <c r="B17" i="10"/>
  <c r="AJ25" i="12"/>
  <c r="R59" i="12"/>
  <c r="AM127" i="12"/>
  <c r="AP161" i="12"/>
  <c r="C7" i="12"/>
  <c r="Q161" i="12"/>
  <c r="AE161" i="12"/>
  <c r="M144" i="12"/>
  <c r="J160" i="12"/>
  <c r="U144" i="12"/>
  <c r="AP144" i="12"/>
  <c r="AF195" i="12"/>
  <c r="B1" i="10"/>
  <c r="AG25" i="12"/>
  <c r="P8" i="12"/>
  <c r="O110" i="12"/>
  <c r="U127" i="12"/>
  <c r="U59" i="12"/>
  <c r="AH93" i="12"/>
  <c r="AO42" i="12"/>
  <c r="U178" i="12"/>
  <c r="AL8" i="12"/>
  <c r="P127" i="12"/>
  <c r="AQ127" i="12"/>
  <c r="Z110" i="12"/>
  <c r="D3" i="5"/>
  <c r="H12" i="1"/>
  <c r="U161" i="12"/>
  <c r="AF110" i="12"/>
  <c r="S3" i="1"/>
  <c r="AP8" i="12"/>
  <c r="F4" i="6"/>
  <c r="AO178" i="12"/>
  <c r="S110" i="12"/>
  <c r="S195" i="12"/>
  <c r="C75" i="12"/>
  <c r="A123" i="14"/>
  <c r="A8" i="14"/>
  <c r="AL195" i="12"/>
  <c r="AI93" i="12"/>
  <c r="V76" i="12"/>
  <c r="AH25" i="12"/>
  <c r="R178" i="12"/>
  <c r="R93" i="12"/>
  <c r="AQ25" i="12"/>
  <c r="J194" i="12"/>
  <c r="X110" i="12"/>
  <c r="S59" i="12"/>
  <c r="AH178" i="12"/>
  <c r="Z42" i="12"/>
  <c r="AD76" i="12"/>
  <c r="AA178" i="12"/>
  <c r="AK127" i="12"/>
  <c r="A10" i="14"/>
  <c r="AL25" i="12"/>
  <c r="J177" i="12"/>
  <c r="AK59" i="12"/>
  <c r="M8" i="12"/>
  <c r="R32" i="1"/>
  <c r="AJ76" i="12"/>
  <c r="AP93" i="12"/>
  <c r="AM178" i="12"/>
  <c r="AC161" i="12"/>
  <c r="O161" i="12"/>
  <c r="AM144" i="12"/>
  <c r="N144" i="12"/>
  <c r="AE127" i="12"/>
  <c r="Q76" i="12"/>
  <c r="V59" i="12"/>
  <c r="W195" i="12"/>
  <c r="C1" i="12"/>
  <c r="AG161" i="12"/>
  <c r="F7" i="6"/>
  <c r="AQ178" i="12"/>
  <c r="U110" i="12"/>
  <c r="J92" i="12"/>
  <c r="AE42" i="12"/>
  <c r="AI161" i="12"/>
  <c r="AP195" i="12"/>
  <c r="AT13" i="1"/>
  <c r="AL42" i="12"/>
  <c r="K3" i="5"/>
  <c r="J19" i="5"/>
  <c r="Y195" i="12"/>
  <c r="AN8" i="12"/>
  <c r="A13" i="1"/>
  <c r="A133" i="14"/>
  <c r="AD25" i="12"/>
  <c r="AG195" i="12"/>
  <c r="M59" i="12"/>
  <c r="U25" i="12"/>
  <c r="AE93" i="12"/>
  <c r="AC110" i="12"/>
  <c r="P144" i="12"/>
  <c r="B18" i="10"/>
  <c r="AJ93" i="12"/>
  <c r="R161" i="12"/>
  <c r="AJ42" i="12"/>
  <c r="X144" i="12"/>
  <c r="AC25" i="12"/>
  <c r="AG8" i="12"/>
  <c r="AB144" i="12"/>
  <c r="U195" i="12"/>
  <c r="AQ59" i="12"/>
  <c r="L3" i="5"/>
  <c r="AP59" i="12"/>
  <c r="Q25" i="12"/>
  <c r="AP127" i="12"/>
  <c r="J58" i="12"/>
  <c r="Z178" i="12"/>
  <c r="AB25" i="12"/>
  <c r="AQ93" i="12"/>
  <c r="V110" i="12"/>
  <c r="A71" i="14"/>
  <c r="C41" i="12"/>
  <c r="AB59" i="12"/>
  <c r="Q2" i="6"/>
  <c r="AM195" i="12"/>
  <c r="AA8" i="12"/>
  <c r="AR13" i="1"/>
  <c r="Q8" i="12"/>
  <c r="S8" i="12"/>
  <c r="P178" i="12"/>
  <c r="AP178" i="12"/>
  <c r="AA195" i="12"/>
  <c r="AA59" i="12"/>
  <c r="D2" i="10"/>
  <c r="AA25" i="12"/>
  <c r="Z144" i="12"/>
  <c r="I3" i="5"/>
  <c r="AO93" i="12"/>
  <c r="S42" i="12"/>
  <c r="V178" i="12"/>
  <c r="V144" i="12"/>
  <c r="Q144" i="12"/>
  <c r="W42" i="12"/>
  <c r="X93" i="12"/>
  <c r="V8" i="12"/>
  <c r="R110" i="12"/>
  <c r="J24" i="12"/>
  <c r="AN127" i="12"/>
  <c r="J32" i="1"/>
  <c r="A93" i="14"/>
  <c r="A3" i="1"/>
  <c r="Q195" i="12"/>
  <c r="AG178" i="12"/>
  <c r="O8" i="12"/>
  <c r="S144" i="12"/>
  <c r="AA110" i="12"/>
  <c r="O127" i="12"/>
  <c r="S161" i="12"/>
  <c r="AD110" i="12"/>
  <c r="M25" i="12"/>
  <c r="AN178" i="12"/>
  <c r="N161" i="12"/>
  <c r="AI8" i="12"/>
  <c r="P93" i="12"/>
  <c r="A59" i="14"/>
  <c r="AN25" i="12"/>
  <c r="Y178" i="12"/>
  <c r="AH144" i="12"/>
  <c r="W161" i="12"/>
  <c r="AG93" i="12"/>
  <c r="AL127" i="12"/>
  <c r="X161" i="12"/>
  <c r="V161" i="12"/>
  <c r="AE110" i="12"/>
  <c r="AE8" i="12"/>
  <c r="AH76" i="12"/>
  <c r="AA127" i="12"/>
  <c r="AI195" i="12"/>
  <c r="Y59" i="12"/>
  <c r="L4" i="1"/>
  <c r="Z195" i="12"/>
  <c r="T144" i="12"/>
  <c r="X59" i="12"/>
  <c r="J3" i="5"/>
  <c r="Q42" i="12"/>
  <c r="AQ144" i="12"/>
  <c r="H35" i="5"/>
  <c r="AK42" i="12"/>
  <c r="AQ76" i="12"/>
  <c r="O195" i="12"/>
  <c r="AD195" i="12"/>
  <c r="Q110" i="12"/>
  <c r="F11" i="6"/>
  <c r="AL161" i="12"/>
  <c r="AG42" i="12"/>
  <c r="R25" i="12"/>
  <c r="AC59" i="12"/>
  <c r="Z76" i="12"/>
  <c r="U42" i="12"/>
  <c r="AI178" i="12"/>
  <c r="AH110" i="12"/>
  <c r="AK161" i="12"/>
  <c r="Q127" i="12"/>
  <c r="AF25" i="12"/>
  <c r="AB161" i="12"/>
  <c r="Y161" i="12"/>
  <c r="AP110" i="12"/>
  <c r="Y110" i="12"/>
  <c r="AJ195" i="12"/>
  <c r="AC8" i="12"/>
  <c r="AF8" i="12"/>
  <c r="N127" i="12"/>
  <c r="AK93" i="12"/>
  <c r="AI42" i="12"/>
  <c r="S25" i="12"/>
  <c r="H2" i="5"/>
  <c r="AA144" i="12"/>
  <c r="R42" i="12"/>
  <c r="B2" i="10"/>
  <c r="C2" i="10"/>
  <c r="F2" i="10"/>
  <c r="AH59" i="12"/>
  <c r="N76" i="12"/>
  <c r="AC195" i="12"/>
  <c r="AF144" i="12"/>
  <c r="AD144" i="12"/>
  <c r="B15" i="10"/>
  <c r="AQ195" i="12"/>
  <c r="AJ178" i="12"/>
  <c r="AH42" i="12"/>
  <c r="AI76" i="12"/>
  <c r="AN144" i="12"/>
  <c r="AB76" i="12"/>
  <c r="AD127" i="12"/>
  <c r="AO161" i="12"/>
  <c r="AI110" i="12"/>
  <c r="AO127" i="12"/>
  <c r="A47" i="14"/>
  <c r="W8" i="12"/>
  <c r="P76" i="12"/>
  <c r="AG59" i="12"/>
  <c r="Y25" i="12"/>
  <c r="N93" i="12"/>
  <c r="AF161" i="12"/>
  <c r="A1" i="1"/>
  <c r="C177" i="12"/>
  <c r="W127" i="12"/>
  <c r="AJ161" i="12"/>
  <c r="X8" i="12"/>
  <c r="O144" i="12"/>
  <c r="AE178" i="12"/>
  <c r="A23" i="14"/>
  <c r="T127" i="12"/>
  <c r="H19" i="5"/>
  <c r="M161" i="12"/>
  <c r="Q1" i="6"/>
  <c r="AD93" i="12"/>
  <c r="R144" i="12"/>
  <c r="R76" i="12"/>
  <c r="F12" i="6"/>
  <c r="N42" i="12"/>
  <c r="AD161" i="12"/>
  <c r="AG76" i="12"/>
  <c r="AN161" i="12"/>
  <c r="AJ127" i="12"/>
  <c r="B34" i="10"/>
  <c r="AC76" i="12"/>
  <c r="N110" i="12"/>
  <c r="T110" i="12"/>
  <c r="W93" i="12"/>
  <c r="F3" i="6"/>
  <c r="M76" i="12"/>
  <c r="N8" i="12"/>
  <c r="Q178" i="12"/>
  <c r="R195" i="12"/>
  <c r="AO195" i="12"/>
  <c r="AE59" i="12"/>
  <c r="F2" i="6"/>
  <c r="AC127" i="12"/>
  <c r="AN195" i="12"/>
  <c r="AK25" i="12"/>
  <c r="AM93" i="12"/>
  <c r="AP25" i="12"/>
  <c r="E2" i="5"/>
  <c r="J41" i="12"/>
  <c r="D34" i="10"/>
  <c r="AB127" i="12"/>
  <c r="V42" i="12"/>
  <c r="AD59" i="12"/>
  <c r="Z127" i="12"/>
  <c r="Y76" i="12"/>
  <c r="Q59" i="12"/>
  <c r="AN42" i="12"/>
  <c r="W76" i="12"/>
  <c r="C24" i="12"/>
  <c r="AC144" i="12"/>
  <c r="O178" i="12"/>
  <c r="AH195" i="12"/>
  <c r="M110" i="12"/>
  <c r="A24" i="14"/>
  <c r="AJ8" i="12"/>
  <c r="AP13" i="1"/>
  <c r="AG144" i="12"/>
  <c r="P42" i="12"/>
  <c r="Z93" i="12"/>
  <c r="D43" i="5"/>
  <c r="AA42" i="12"/>
  <c r="AM161" i="12"/>
  <c r="Y144" i="12"/>
  <c r="AH8" i="12"/>
  <c r="AO110" i="12"/>
  <c r="O25" i="12"/>
  <c r="H13" i="1"/>
  <c r="AN110" i="12"/>
  <c r="AF178" i="12"/>
  <c r="AQ110" i="12"/>
  <c r="H3" i="5"/>
  <c r="J7" i="12"/>
  <c r="T178" i="12"/>
  <c r="M42" i="12"/>
  <c r="AA161" i="12"/>
  <c r="AL178" i="12"/>
  <c r="U8" i="12"/>
  <c r="AB42" i="12"/>
  <c r="T32" i="1"/>
  <c r="T25" i="12"/>
  <c r="L3" i="1"/>
  <c r="B2" i="5"/>
  <c r="U76" i="12"/>
  <c r="P110" i="12"/>
  <c r="R8" i="12"/>
  <c r="F8" i="6"/>
  <c r="C122" i="12"/>
  <c r="X25" i="12"/>
  <c r="F9" i="6"/>
  <c r="C139" i="12"/>
  <c r="T42" i="12"/>
  <c r="M93" i="12"/>
  <c r="AL59" i="12"/>
  <c r="A110" i="14"/>
  <c r="P195" i="12"/>
  <c r="C58" i="12"/>
  <c r="AG127" i="12"/>
  <c r="Z8" i="12"/>
  <c r="AD42" i="12"/>
  <c r="AB195" i="12"/>
  <c r="J109" i="12"/>
  <c r="A25" i="1"/>
  <c r="A119" i="14"/>
  <c r="Z25" i="12"/>
  <c r="Y8" i="12"/>
  <c r="AE195" i="12"/>
  <c r="O42" i="12"/>
  <c r="AF127" i="12"/>
  <c r="N178" i="12"/>
  <c r="M178" i="12"/>
  <c r="G70" i="7"/>
  <c r="C32" i="1"/>
  <c r="AL93" i="12"/>
  <c r="AB8" i="12"/>
  <c r="H18" i="5"/>
  <c r="I32" i="1"/>
  <c r="AO144" i="12"/>
  <c r="AC93" i="12"/>
  <c r="P59" i="12"/>
  <c r="O76" i="12"/>
  <c r="T59" i="12"/>
  <c r="AQ42" i="12"/>
  <c r="O93" i="12"/>
  <c r="AL110" i="12"/>
  <c r="AD8" i="12"/>
  <c r="AF59" i="12"/>
  <c r="G69" i="7"/>
  <c r="W59" i="12"/>
  <c r="AM25" i="12"/>
  <c r="AJ59" i="12"/>
  <c r="AC178" i="12"/>
  <c r="U93" i="12"/>
  <c r="AQ161" i="12"/>
  <c r="AM76" i="12"/>
  <c r="AD178" i="12"/>
  <c r="P161" i="12"/>
  <c r="T76" i="12"/>
  <c r="A73" i="14"/>
  <c r="AA76" i="12"/>
  <c r="AM4" i="3"/>
  <c r="A6" i="1"/>
  <c r="E3" i="4"/>
  <c r="K9" i="1"/>
  <c r="K8" i="1"/>
  <c r="B3" i="10"/>
  <c r="H4" i="5"/>
  <c r="C3" i="12"/>
  <c r="AH15" i="3"/>
  <c r="P4" i="1"/>
  <c r="H15" i="5"/>
  <c r="C190" i="12"/>
  <c r="B14" i="10"/>
  <c r="B5" i="10"/>
  <c r="C37" i="12"/>
  <c r="H6" i="5"/>
  <c r="H14" i="5"/>
  <c r="B13" i="10"/>
  <c r="C173" i="12"/>
  <c r="B8" i="10"/>
  <c r="H9" i="5"/>
  <c r="C88" i="12"/>
  <c r="C54" i="12"/>
  <c r="B6" i="10"/>
  <c r="H7" i="5"/>
  <c r="K45" i="1"/>
  <c r="P13" i="6"/>
  <c r="S13" i="6"/>
  <c r="K33" i="1"/>
  <c r="P1" i="6"/>
  <c r="K36" i="1"/>
  <c r="P4" i="6"/>
  <c r="S4" i="6"/>
  <c r="K34" i="1"/>
  <c r="P2" i="6"/>
  <c r="K37" i="1"/>
  <c r="P5" i="6"/>
  <c r="K51" i="1"/>
  <c r="P19" i="6"/>
  <c r="S19" i="6"/>
  <c r="K46" i="1"/>
  <c r="P14" i="6"/>
  <c r="S14" i="6"/>
  <c r="K35" i="1"/>
  <c r="P3" i="6"/>
  <c r="S3" i="6"/>
  <c r="K42" i="1"/>
  <c r="P10" i="6"/>
  <c r="S10" i="6"/>
  <c r="K40" i="1"/>
  <c r="P8" i="6"/>
  <c r="K47" i="1"/>
  <c r="P15" i="6"/>
  <c r="S15" i="6"/>
  <c r="K43" i="1"/>
  <c r="P11" i="6"/>
  <c r="K49" i="1"/>
  <c r="P17" i="6"/>
  <c r="S17" i="6"/>
  <c r="K41" i="1"/>
  <c r="P9" i="6"/>
  <c r="S9" i="6"/>
  <c r="K44" i="1"/>
  <c r="P12" i="6"/>
  <c r="S12" i="6"/>
  <c r="K50" i="1"/>
  <c r="P18" i="6"/>
  <c r="S18" i="6"/>
  <c r="K52" i="1"/>
  <c r="P20" i="6"/>
  <c r="S20" i="6"/>
  <c r="K38" i="1"/>
  <c r="P6" i="6"/>
  <c r="K48" i="1"/>
  <c r="P16" i="6"/>
  <c r="S16" i="6"/>
  <c r="K39" i="1"/>
  <c r="P7" i="6"/>
  <c r="B12" i="10"/>
  <c r="H13" i="5"/>
  <c r="C156" i="12"/>
  <c r="C20" i="12"/>
  <c r="H5" i="5"/>
  <c r="B4" i="10"/>
  <c r="H11" i="5"/>
  <c r="B10" i="10"/>
  <c r="H8" i="5"/>
  <c r="C71" i="12"/>
  <c r="B7" i="10"/>
  <c r="B11" i="10"/>
  <c r="H12" i="5"/>
  <c r="H10" i="5"/>
  <c r="C105" i="12"/>
  <c r="B9" i="10"/>
  <c r="AM5" i="3"/>
  <c r="AM11" i="3"/>
  <c r="AM6" i="3"/>
  <c r="AM9" i="3"/>
  <c r="AM8" i="3"/>
  <c r="AG23" i="3"/>
  <c r="AR22" i="1"/>
  <c r="AG25" i="3"/>
  <c r="AR24" i="1"/>
  <c r="AE19" i="3"/>
  <c r="N19" i="3"/>
  <c r="T18" i="3"/>
  <c r="H16" i="3"/>
  <c r="U21" i="3"/>
  <c r="N22" i="3"/>
  <c r="Y18" i="3"/>
  <c r="R24" i="3"/>
  <c r="AC21" i="3"/>
  <c r="G21" i="3"/>
  <c r="H18" i="3"/>
  <c r="U19" i="3"/>
  <c r="AE21" i="3"/>
  <c r="O21" i="3"/>
  <c r="AC18" i="3"/>
  <c r="F20" i="3"/>
  <c r="M24" i="3"/>
  <c r="W19" i="3"/>
  <c r="E16" i="3"/>
  <c r="AA22" i="3"/>
  <c r="AE18" i="3"/>
  <c r="AC22" i="3"/>
  <c r="T17" i="3"/>
  <c r="P18" i="3"/>
  <c r="Z19" i="3"/>
  <c r="V18" i="3"/>
  <c r="N21" i="3"/>
  <c r="F24" i="3"/>
  <c r="R19" i="3"/>
  <c r="K20" i="3"/>
  <c r="AE24" i="3"/>
  <c r="AF19" i="3"/>
  <c r="V21" i="3"/>
  <c r="B22" i="3"/>
  <c r="Q21" i="3"/>
  <c r="AE16" i="3"/>
  <c r="AB18" i="3"/>
  <c r="D21" i="3"/>
  <c r="W18" i="3"/>
  <c r="E18" i="3"/>
  <c r="D19" i="3"/>
  <c r="J22" i="3"/>
  <c r="Q18" i="3"/>
  <c r="H17" i="3"/>
  <c r="L24" i="3"/>
  <c r="AD22" i="3"/>
  <c r="I18" i="3"/>
  <c r="AD18" i="3"/>
  <c r="Q22" i="3"/>
  <c r="G17" i="3"/>
  <c r="R17" i="3"/>
  <c r="F22" i="3"/>
  <c r="P17" i="3"/>
  <c r="G22" i="3"/>
  <c r="L21" i="3"/>
  <c r="AB21" i="3"/>
  <c r="G18" i="3"/>
  <c r="AA19" i="3"/>
  <c r="C17" i="3"/>
  <c r="S19" i="3"/>
  <c r="AF21" i="3"/>
  <c r="I17" i="3"/>
  <c r="Z21" i="3"/>
  <c r="J20" i="3"/>
  <c r="X18" i="3"/>
  <c r="B21" i="3"/>
  <c r="C24" i="3"/>
  <c r="K24" i="3"/>
  <c r="N24" i="3"/>
  <c r="X17" i="3"/>
  <c r="AF24" i="3"/>
  <c r="AB22" i="3"/>
  <c r="M18" i="3"/>
  <c r="AD21" i="3"/>
  <c r="O22" i="3"/>
  <c r="O19" i="3"/>
  <c r="K7" i="1"/>
  <c r="T21" i="3"/>
  <c r="C20" i="3"/>
  <c r="M21" i="3"/>
  <c r="W17" i="3"/>
  <c r="P21" i="3"/>
  <c r="Y19" i="3"/>
  <c r="K22" i="3"/>
  <c r="K18" i="3"/>
  <c r="E24" i="3"/>
  <c r="H20" i="3"/>
  <c r="U24" i="3"/>
  <c r="H21" i="3"/>
  <c r="L22" i="3"/>
  <c r="V24" i="3"/>
  <c r="U18" i="3"/>
  <c r="D20" i="3"/>
  <c r="Y21" i="3"/>
  <c r="K6" i="1"/>
  <c r="D17" i="3"/>
  <c r="I22" i="3"/>
  <c r="X21" i="3"/>
  <c r="D22" i="3"/>
  <c r="AA17" i="3"/>
  <c r="C21" i="3"/>
  <c r="B17" i="3"/>
  <c r="P22" i="3"/>
  <c r="I20" i="3"/>
  <c r="E22" i="3"/>
  <c r="S21" i="3"/>
  <c r="AE17" i="3"/>
  <c r="J21" i="3"/>
  <c r="S7" i="6"/>
  <c r="S5" i="6"/>
  <c r="K10" i="1"/>
  <c r="L1" i="4"/>
  <c r="M1" i="4"/>
  <c r="L9" i="1"/>
  <c r="M9" i="1"/>
  <c r="P3" i="1"/>
  <c r="P5" i="1"/>
  <c r="AI15" i="3"/>
  <c r="AI21" i="3"/>
  <c r="AJ21" i="3"/>
  <c r="AG24" i="3"/>
  <c r="AR23" i="1"/>
  <c r="AG16" i="3"/>
  <c r="AR15" i="1"/>
  <c r="AG19" i="3"/>
  <c r="AR18" i="1"/>
  <c r="AG17" i="3"/>
  <c r="AR16" i="1"/>
  <c r="AG22" i="3"/>
  <c r="AR21" i="1"/>
  <c r="AG18" i="3"/>
  <c r="AR17" i="1"/>
  <c r="AG20" i="3"/>
  <c r="AR19" i="1"/>
  <c r="S11" i="6"/>
  <c r="S8" i="6"/>
  <c r="S6" i="6"/>
  <c r="S1" i="6"/>
  <c r="S2" i="6"/>
  <c r="AG21" i="3"/>
  <c r="AR20" i="1"/>
  <c r="AI23" i="3"/>
  <c r="AJ23" i="3"/>
  <c r="AI25" i="3"/>
  <c r="AJ25" i="3"/>
  <c r="K14" i="1"/>
  <c r="L10" i="1"/>
  <c r="L8" i="1"/>
  <c r="L2" i="4"/>
  <c r="AI20" i="3"/>
  <c r="AJ20" i="3"/>
  <c r="AK20" i="3"/>
  <c r="AT19" i="1"/>
  <c r="AI18" i="3"/>
  <c r="AJ18" i="3"/>
  <c r="AK18" i="3"/>
  <c r="AT17" i="1"/>
  <c r="AI17" i="3"/>
  <c r="AJ17" i="3"/>
  <c r="AL17" i="3"/>
  <c r="AV16" i="1"/>
  <c r="AI22" i="3"/>
  <c r="AJ22" i="3"/>
  <c r="AK22" i="3"/>
  <c r="AT21" i="1"/>
  <c r="AI24" i="3"/>
  <c r="AJ24" i="3"/>
  <c r="AK24" i="3"/>
  <c r="AT23" i="1"/>
  <c r="AI19" i="3"/>
  <c r="AJ19" i="3"/>
  <c r="AL19" i="3"/>
  <c r="AV18" i="1"/>
  <c r="AI16" i="3"/>
  <c r="AJ16" i="3"/>
  <c r="AL16" i="3"/>
  <c r="AV15" i="1"/>
  <c r="AK21" i="3"/>
  <c r="AT20" i="1"/>
  <c r="AL21" i="3"/>
  <c r="AV20" i="1"/>
  <c r="AL23" i="3"/>
  <c r="AV22" i="1"/>
  <c r="AK23" i="3"/>
  <c r="AT22" i="1"/>
  <c r="AL25" i="3"/>
  <c r="AV24" i="1"/>
  <c r="AK25" i="3"/>
  <c r="AT24" i="1"/>
  <c r="N1" i="4"/>
  <c r="M2" i="4"/>
  <c r="N9" i="1"/>
  <c r="M10" i="1"/>
  <c r="M8" i="1"/>
  <c r="L7" i="1"/>
  <c r="M7" i="1"/>
  <c r="L6" i="1"/>
  <c r="M6" i="1"/>
  <c r="L3" i="4"/>
  <c r="M14" i="1"/>
  <c r="L14" i="1"/>
  <c r="M3" i="4"/>
  <c r="AL18" i="3"/>
  <c r="AV17" i="1"/>
  <c r="AL20" i="3"/>
  <c r="AV19" i="1"/>
  <c r="AK17" i="3"/>
  <c r="AT16" i="1"/>
  <c r="AK16" i="3"/>
  <c r="AT15" i="1"/>
  <c r="AL22" i="3"/>
  <c r="AV21" i="1"/>
  <c r="AK19" i="3"/>
  <c r="AT18" i="1"/>
  <c r="AL24" i="3"/>
  <c r="AV23" i="1"/>
  <c r="N10" i="1"/>
  <c r="N8" i="1"/>
  <c r="O9" i="1"/>
  <c r="O1" i="4"/>
  <c r="N2" i="4"/>
  <c r="N6" i="1"/>
  <c r="N7" i="1"/>
  <c r="N3" i="4"/>
  <c r="N14" i="1"/>
  <c r="P9" i="1"/>
  <c r="O10" i="1"/>
  <c r="O8" i="1"/>
  <c r="P1" i="4"/>
  <c r="O2" i="4"/>
  <c r="O6" i="1"/>
  <c r="O7" i="1"/>
  <c r="O14" i="1"/>
  <c r="O3" i="4"/>
  <c r="Q1" i="4"/>
  <c r="P2" i="4"/>
  <c r="P10" i="1"/>
  <c r="P8" i="1"/>
  <c r="Q9" i="1"/>
  <c r="P7" i="1"/>
  <c r="P6" i="1"/>
  <c r="P14" i="1"/>
  <c r="P3" i="4"/>
  <c r="Q10" i="1"/>
  <c r="Q8" i="1"/>
  <c r="R9" i="1"/>
  <c r="R1" i="4"/>
  <c r="Q2" i="4"/>
  <c r="Q6" i="1"/>
  <c r="Q7" i="1"/>
  <c r="Q14" i="1"/>
  <c r="Q3" i="4"/>
  <c r="S1" i="4"/>
  <c r="R2" i="4"/>
  <c r="R8" i="1"/>
  <c r="R10" i="1"/>
  <c r="S9" i="1"/>
  <c r="R6" i="1"/>
  <c r="R7" i="1"/>
  <c r="R3" i="4"/>
  <c r="R14" i="1"/>
  <c r="S10" i="1"/>
  <c r="T9" i="1"/>
  <c r="S8" i="1"/>
  <c r="T1" i="4"/>
  <c r="S2" i="4"/>
  <c r="S7" i="1"/>
  <c r="S6" i="1"/>
  <c r="S14" i="1"/>
  <c r="S3" i="4"/>
  <c r="T2" i="4"/>
  <c r="U1" i="4"/>
  <c r="U9" i="1"/>
  <c r="T10" i="1"/>
  <c r="T8" i="1"/>
  <c r="T7" i="1"/>
  <c r="T6" i="1"/>
  <c r="T3" i="4"/>
  <c r="T14" i="1"/>
  <c r="V9" i="1"/>
  <c r="U8" i="1"/>
  <c r="U10" i="1"/>
  <c r="U2" i="4"/>
  <c r="V1" i="4"/>
  <c r="U6" i="1"/>
  <c r="U7" i="1"/>
  <c r="U14" i="1"/>
  <c r="U3" i="4"/>
  <c r="V2" i="4"/>
  <c r="W1" i="4"/>
  <c r="V10" i="1"/>
  <c r="V8" i="1"/>
  <c r="W9" i="1"/>
  <c r="V6" i="1"/>
  <c r="V7" i="1"/>
  <c r="V3" i="4"/>
  <c r="V14" i="1"/>
  <c r="W2" i="4"/>
  <c r="X1" i="4"/>
  <c r="W10" i="1"/>
  <c r="X9" i="1"/>
  <c r="W8" i="1"/>
  <c r="W6" i="1"/>
  <c r="W7" i="1"/>
  <c r="W3" i="4"/>
  <c r="W14" i="1"/>
  <c r="X10" i="1"/>
  <c r="Y9" i="1"/>
  <c r="X8" i="1"/>
  <c r="X2" i="4"/>
  <c r="Y1" i="4"/>
  <c r="X7" i="1"/>
  <c r="X6" i="1"/>
  <c r="X14" i="1"/>
  <c r="X3" i="4"/>
  <c r="Z1" i="4"/>
  <c r="Y2" i="4"/>
  <c r="Z9" i="1"/>
  <c r="Y8" i="1"/>
  <c r="Y10" i="1"/>
  <c r="Y7" i="1"/>
  <c r="Y6" i="1"/>
  <c r="Y3" i="4"/>
  <c r="Y14" i="1"/>
  <c r="Z10" i="1"/>
  <c r="AA9" i="1"/>
  <c r="Z8" i="1"/>
  <c r="AA1" i="4"/>
  <c r="Z2" i="4"/>
  <c r="Z6" i="1"/>
  <c r="Z7" i="1"/>
  <c r="Z14" i="1"/>
  <c r="Z3" i="4"/>
  <c r="AB1" i="4"/>
  <c r="AA2" i="4"/>
  <c r="AA10" i="1"/>
  <c r="AB9" i="1"/>
  <c r="AA8" i="1"/>
  <c r="AA6" i="1"/>
  <c r="AA7" i="1"/>
  <c r="AA3" i="4"/>
  <c r="AA14" i="1"/>
  <c r="AB10" i="1"/>
  <c r="AB8" i="1"/>
  <c r="AC9" i="1"/>
  <c r="AB2" i="4"/>
  <c r="AC1" i="4"/>
  <c r="AB7" i="1"/>
  <c r="AB6" i="1"/>
  <c r="AB14" i="1"/>
  <c r="AB3" i="4"/>
  <c r="AC8" i="1"/>
  <c r="AD9" i="1"/>
  <c r="AC10" i="1"/>
  <c r="AD1" i="4"/>
  <c r="AC2" i="4"/>
  <c r="AC6" i="1"/>
  <c r="AC7" i="1"/>
  <c r="AC14" i="1"/>
  <c r="AC3" i="4"/>
  <c r="AE1" i="4"/>
  <c r="AD2" i="4"/>
  <c r="AE9" i="1"/>
  <c r="AD8" i="1"/>
  <c r="AD10" i="1"/>
  <c r="AD6" i="1"/>
  <c r="AD7" i="1"/>
  <c r="AD14" i="1"/>
  <c r="AD3" i="4"/>
  <c r="AE8" i="1"/>
  <c r="AE10" i="1"/>
  <c r="AF9" i="1"/>
  <c r="AF1" i="4"/>
  <c r="AE2" i="4"/>
  <c r="AE6" i="1"/>
  <c r="AE7" i="1"/>
  <c r="AE14" i="1"/>
  <c r="AE3" i="4"/>
  <c r="AF2" i="4"/>
  <c r="AG1" i="4"/>
  <c r="AF10" i="1"/>
  <c r="AF8" i="1"/>
  <c r="AG9" i="1"/>
  <c r="AF6" i="1"/>
  <c r="AF7" i="1"/>
  <c r="AF3" i="4"/>
  <c r="AF14" i="1"/>
  <c r="AG2" i="4"/>
  <c r="AH1" i="4"/>
  <c r="AG10" i="1"/>
  <c r="AH9" i="1"/>
  <c r="AG8" i="1"/>
  <c r="AG6" i="1"/>
  <c r="AG7" i="1"/>
  <c r="AG3" i="4"/>
  <c r="AG14" i="1"/>
  <c r="AI9" i="1"/>
  <c r="AH10" i="1"/>
  <c r="AH8" i="1"/>
  <c r="AH2" i="4"/>
  <c r="AI1" i="4"/>
  <c r="AH7" i="1"/>
  <c r="AH6" i="1"/>
  <c r="AH14" i="1"/>
  <c r="AH3" i="4"/>
  <c r="AI2" i="4"/>
  <c r="AJ1" i="4"/>
  <c r="AI10" i="1"/>
  <c r="AJ9" i="1"/>
  <c r="AI8" i="1"/>
  <c r="AI7" i="1"/>
  <c r="AI6" i="1"/>
  <c r="AI3" i="4"/>
  <c r="AI14" i="1"/>
  <c r="AJ8" i="1"/>
  <c r="AK9" i="1"/>
  <c r="AJ10" i="1"/>
  <c r="AK1" i="4"/>
  <c r="AJ2" i="4"/>
  <c r="AJ6" i="1"/>
  <c r="AJ7" i="1"/>
  <c r="AJ3" i="4"/>
  <c r="AJ14" i="1"/>
  <c r="AL9" i="1"/>
  <c r="AK10" i="1"/>
  <c r="AK8" i="1"/>
  <c r="AK2" i="4"/>
  <c r="AL1" i="4"/>
  <c r="AK6" i="1"/>
  <c r="AK7" i="1"/>
  <c r="AK3" i="4"/>
  <c r="AK14" i="1"/>
  <c r="AM1" i="4"/>
  <c r="AL2" i="4"/>
  <c r="AL10" i="1"/>
  <c r="AM9" i="1"/>
  <c r="AL8" i="1"/>
  <c r="AL7" i="1"/>
  <c r="AL6" i="1"/>
  <c r="AL14" i="1"/>
  <c r="AL3" i="4"/>
  <c r="AN9" i="1"/>
  <c r="AM11" i="1"/>
  <c r="AM10" i="1"/>
  <c r="AM8" i="1"/>
  <c r="AN1" i="4"/>
  <c r="AM2" i="4"/>
  <c r="AM6" i="1"/>
  <c r="AM7" i="1"/>
  <c r="AM14" i="1"/>
  <c r="AM3" i="4"/>
  <c r="AN2" i="4"/>
  <c r="AO1" i="4"/>
  <c r="AN11" i="1"/>
  <c r="AN8" i="1"/>
  <c r="AN10" i="1"/>
  <c r="AO9" i="1"/>
  <c r="AN6" i="1"/>
  <c r="AN7" i="1"/>
  <c r="AN3" i="4"/>
  <c r="AN14" i="1"/>
  <c r="AO8" i="1"/>
  <c r="AO10" i="1"/>
  <c r="AO11" i="1"/>
  <c r="AO2" i="4"/>
  <c r="AP1" i="4"/>
  <c r="AP2" i="4"/>
  <c r="AO6" i="1"/>
  <c r="AO7" i="1"/>
  <c r="AO14" i="1"/>
  <c r="AO3" i="4"/>
  <c r="AP3" i="4"/>
  <c r="AK3" i="3"/>
  <c r="AM3" i="3"/>
  <c r="AK12" i="3"/>
  <c r="AM12"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B2" authorId="0" shapeId="0" xr:uid="{00000000-0006-0000-0A00-000001000000}">
      <text>
        <r>
          <rPr>
            <b/>
            <sz val="8"/>
            <color indexed="81"/>
            <rFont val="Tahoma"/>
            <family val="2"/>
            <charset val="238"/>
          </rPr>
          <t>Autor:</t>
        </r>
        <r>
          <rPr>
            <sz val="8"/>
            <color indexed="81"/>
            <rFont val="Tahoma"/>
            <family val="2"/>
            <charset val="238"/>
          </rPr>
          <t xml:space="preserve">
przystepne</t>
        </r>
      </text>
    </comment>
    <comment ref="G2" authorId="0" shapeId="0" xr:uid="{00000000-0006-0000-0A00-000002000000}">
      <text>
        <r>
          <rPr>
            <b/>
            <sz val="9"/>
            <color indexed="81"/>
            <rFont val="Tahoma"/>
            <family val="2"/>
          </rPr>
          <t>Autor:</t>
        </r>
        <r>
          <rPr>
            <sz val="9"/>
            <color indexed="81"/>
            <rFont val="Tahoma"/>
            <family val="2"/>
          </rPr>
          <t xml:space="preserve">
Data podstawowa</t>
        </r>
      </text>
    </comment>
    <comment ref="E3" authorId="0" shapeId="0" xr:uid="{00000000-0006-0000-0A00-000003000000}">
      <text>
        <r>
          <rPr>
            <b/>
            <sz val="8"/>
            <color indexed="81"/>
            <rFont val="Tahoma"/>
            <family val="2"/>
            <charset val="238"/>
          </rPr>
          <t>Autor:</t>
        </r>
        <r>
          <rPr>
            <sz val="8"/>
            <color indexed="81"/>
            <rFont val="Tahoma"/>
            <family val="2"/>
            <charset val="238"/>
          </rPr>
          <t xml:space="preserve">
Wybrany miesiac numerycznie</t>
        </r>
      </text>
    </comment>
    <comment ref="H17" authorId="0" shapeId="0" xr:uid="{00000000-0006-0000-0A00-000004000000}">
      <text>
        <r>
          <rPr>
            <b/>
            <sz val="8"/>
            <color indexed="81"/>
            <rFont val="Tahoma"/>
            <family val="2"/>
            <charset val="238"/>
          </rPr>
          <t>Autor:</t>
        </r>
        <r>
          <rPr>
            <sz val="8"/>
            <color indexed="81"/>
            <rFont val="Tahoma"/>
            <family val="2"/>
            <charset val="238"/>
          </rPr>
          <t xml:space="preserve">
jeśli 1 rok przystepny, jeśli 0 rok normalny</t>
        </r>
      </text>
    </comment>
  </commentList>
</comments>
</file>

<file path=xl/sharedStrings.xml><?xml version="1.0" encoding="utf-8"?>
<sst xmlns="http://schemas.openxmlformats.org/spreadsheetml/2006/main" count="2884" uniqueCount="582">
  <si>
    <t>Sierpień</t>
  </si>
  <si>
    <t>EVENTS</t>
  </si>
  <si>
    <t>HOLIDAYS</t>
  </si>
  <si>
    <t>Day number</t>
  </si>
  <si>
    <t>DATES</t>
  </si>
  <si>
    <t>ADT's</t>
  </si>
  <si>
    <t>MANAGER</t>
  </si>
  <si>
    <t>FULL</t>
  </si>
  <si>
    <t>Dawid Szeluga</t>
  </si>
  <si>
    <t>CUSTOMER AND SALES MANAGER</t>
  </si>
  <si>
    <t>OFF</t>
  </si>
  <si>
    <t>NC</t>
  </si>
  <si>
    <t>AMB</t>
  </si>
  <si>
    <t>MIB</t>
  </si>
  <si>
    <t>PM</t>
  </si>
  <si>
    <t>RET</t>
  </si>
  <si>
    <t>AM</t>
  </si>
  <si>
    <t>H</t>
  </si>
  <si>
    <t>Dawid Apel</t>
  </si>
  <si>
    <t>ASSISTANT STORE MANAGER</t>
  </si>
  <si>
    <t>SAM</t>
  </si>
  <si>
    <t>Kamil Kamiński</t>
  </si>
  <si>
    <t>SSV</t>
  </si>
  <si>
    <t>AMN</t>
  </si>
  <si>
    <t>SPM</t>
  </si>
  <si>
    <t>Zuzanna Makowska</t>
  </si>
  <si>
    <t>PMN</t>
  </si>
  <si>
    <t>INV</t>
  </si>
  <si>
    <t>Weronika Bieńkowska</t>
  </si>
  <si>
    <t>L4</t>
  </si>
  <si>
    <t>Hanna Domachowska</t>
  </si>
  <si>
    <t>Aleksandra Płużyńska</t>
  </si>
  <si>
    <t>PMB</t>
  </si>
  <si>
    <t>Gabi Znojek</t>
  </si>
  <si>
    <t>Werka NŚ</t>
  </si>
  <si>
    <t>ASM Day/ Otwarcie Miesiąca</t>
  </si>
  <si>
    <t>SM Day</t>
  </si>
  <si>
    <t>Kamil PR</t>
  </si>
  <si>
    <t>ASM Day</t>
  </si>
  <si>
    <t>ASM Day | Hania Piaseczno AM</t>
  </si>
  <si>
    <t>ASM Day | Gabi PM Piaseczno</t>
  </si>
  <si>
    <t>SM Day | Zuza PM Piaseczno</t>
  </si>
  <si>
    <t>Kamil PR | Support Sadyba</t>
  </si>
  <si>
    <t>SMMeet Kielce - Kamil Jedzie</t>
  </si>
  <si>
    <t>Niedziela handlowa</t>
  </si>
  <si>
    <t>wydarzenia w tym miesiącu</t>
  </si>
  <si>
    <t>Break</t>
  </si>
  <si>
    <t>Zmiana NC</t>
  </si>
  <si>
    <t>Nie</t>
  </si>
  <si>
    <t>ANNUAL CALENDAR</t>
  </si>
  <si>
    <t>Q1</t>
  </si>
  <si>
    <t>Q2</t>
  </si>
  <si>
    <t>Q3</t>
  </si>
  <si>
    <t>Q4</t>
  </si>
  <si>
    <t>PLANNING FY 2026</t>
  </si>
  <si>
    <t>STY</t>
  </si>
  <si>
    <t>LUT</t>
  </si>
  <si>
    <t>MAR</t>
  </si>
  <si>
    <t>KWI</t>
  </si>
  <si>
    <t>MAJ</t>
  </si>
  <si>
    <t>CZE</t>
  </si>
  <si>
    <t>LIP</t>
  </si>
  <si>
    <t>SIE</t>
  </si>
  <si>
    <t>WRZ</t>
  </si>
  <si>
    <t>PAŹ</t>
  </si>
  <si>
    <t>LIS</t>
  </si>
  <si>
    <t>GRU</t>
  </si>
  <si>
    <t>PPK Release for SM</t>
  </si>
  <si>
    <t>27.01</t>
  </si>
  <si>
    <t>24.03</t>
  </si>
  <si>
    <t>29.05</t>
  </si>
  <si>
    <t>28.07</t>
  </si>
  <si>
    <t>29.09</t>
  </si>
  <si>
    <t>01.12</t>
  </si>
  <si>
    <t>Teams meeting</t>
  </si>
  <si>
    <t>od 21.02</t>
  </si>
  <si>
    <t>od 18.04</t>
  </si>
  <si>
    <t>od 12.06</t>
  </si>
  <si>
    <t>od 22.08</t>
  </si>
  <si>
    <t>od 23.10</t>
  </si>
  <si>
    <t>od 27.12</t>
  </si>
  <si>
    <t>Pretasting</t>
  </si>
  <si>
    <t>02.01 - 05.01</t>
  </si>
  <si>
    <t>27.02 - 02.03</t>
  </si>
  <si>
    <t>24.04 - 27.04</t>
  </si>
  <si>
    <t>19.06 - 22.06</t>
  </si>
  <si>
    <t>25.08 - 31.08</t>
  </si>
  <si>
    <t>30.11 - 02.11</t>
  </si>
  <si>
    <t>CAMPAIGN IN STORE</t>
  </si>
  <si>
    <t>WINTER  06.01-02.03</t>
  </si>
  <si>
    <t>SPRING  03.03-27.04</t>
  </si>
  <si>
    <t>SUMMER I  28.04-22.06</t>
  </si>
  <si>
    <t>SUMMER II  23.06-31.08</t>
  </si>
  <si>
    <t>AUTUMN  01.09-02.11</t>
  </si>
  <si>
    <t>HOLIDAY  03.11-04.01</t>
  </si>
  <si>
    <t>HR</t>
  </si>
  <si>
    <t>PPA</t>
  </si>
  <si>
    <t>COMPETENCY CREW REVIEW</t>
  </si>
  <si>
    <t>\</t>
  </si>
  <si>
    <t>Dyspo Rano</t>
  </si>
  <si>
    <t>M</t>
  </si>
  <si>
    <t>Dyspo wieczorem</t>
  </si>
  <si>
    <t>Z</t>
  </si>
  <si>
    <t>Dyspo pełne</t>
  </si>
  <si>
    <t>SSV IN TRAINING</t>
  </si>
  <si>
    <t>TAM</t>
  </si>
  <si>
    <t>TPM</t>
  </si>
  <si>
    <t>Supporty Wilanów</t>
  </si>
  <si>
    <t>SUP</t>
  </si>
  <si>
    <t>MI4</t>
  </si>
  <si>
    <t>Maciej Chlabicz</t>
  </si>
  <si>
    <t>Weronika Stasiewicz</t>
  </si>
  <si>
    <t>T</t>
  </si>
  <si>
    <t>EN</t>
  </si>
  <si>
    <t>CZ</t>
  </si>
  <si>
    <t>HU</t>
  </si>
  <si>
    <t>PL</t>
  </si>
  <si>
    <t>n/d</t>
  </si>
  <si>
    <t>Choose year</t>
  </si>
  <si>
    <t>Vyberte rok</t>
  </si>
  <si>
    <t>Válassz évet</t>
  </si>
  <si>
    <t>Wybierz rok</t>
  </si>
  <si>
    <t>No translation</t>
  </si>
  <si>
    <t>Choose language</t>
  </si>
  <si>
    <t>Vyberte jazyk</t>
  </si>
  <si>
    <t>Válassz nyelvet</t>
  </si>
  <si>
    <t>Wybierz język</t>
  </si>
  <si>
    <t>Manager Schedule</t>
  </si>
  <si>
    <t>Manažerský rozpis směn</t>
  </si>
  <si>
    <t>Manager beoszás</t>
  </si>
  <si>
    <t>Grafik Managerski</t>
  </si>
  <si>
    <t>Choose month</t>
  </si>
  <si>
    <t>Vyber měsíc</t>
  </si>
  <si>
    <t>Válassz hónapot</t>
  </si>
  <si>
    <t>Wybierz Miesiąc</t>
  </si>
  <si>
    <t>January</t>
  </si>
  <si>
    <t>Leden</t>
  </si>
  <si>
    <t>Január</t>
  </si>
  <si>
    <t>Styczeń</t>
  </si>
  <si>
    <t>February</t>
  </si>
  <si>
    <t>Únor</t>
  </si>
  <si>
    <t>Február</t>
  </si>
  <si>
    <t>Luty</t>
  </si>
  <si>
    <t>March</t>
  </si>
  <si>
    <t>Březen</t>
  </si>
  <si>
    <t>Március</t>
  </si>
  <si>
    <t>Marzec</t>
  </si>
  <si>
    <t>April</t>
  </si>
  <si>
    <t>Duben</t>
  </si>
  <si>
    <t>Április</t>
  </si>
  <si>
    <t>Kwiecień</t>
  </si>
  <si>
    <t>May</t>
  </si>
  <si>
    <t>Květen</t>
  </si>
  <si>
    <t>Május</t>
  </si>
  <si>
    <t>Maj</t>
  </si>
  <si>
    <t>June</t>
  </si>
  <si>
    <t>Červen</t>
  </si>
  <si>
    <t>Június</t>
  </si>
  <si>
    <t>Czerwiec</t>
  </si>
  <si>
    <t>July</t>
  </si>
  <si>
    <t>Červenec</t>
  </si>
  <si>
    <t>Július</t>
  </si>
  <si>
    <t>Lipiec</t>
  </si>
  <si>
    <t>August</t>
  </si>
  <si>
    <t>Srpen</t>
  </si>
  <si>
    <t>Augusztus</t>
  </si>
  <si>
    <t>September</t>
  </si>
  <si>
    <t>Září</t>
  </si>
  <si>
    <t>Szeptember</t>
  </si>
  <si>
    <t>Wrzesień</t>
  </si>
  <si>
    <t>October</t>
  </si>
  <si>
    <t>Říjen</t>
  </si>
  <si>
    <t>Október</t>
  </si>
  <si>
    <t>Październik</t>
  </si>
  <si>
    <t>November</t>
  </si>
  <si>
    <t>Listopad</t>
  </si>
  <si>
    <t>December</t>
  </si>
  <si>
    <t>Prosinec</t>
  </si>
  <si>
    <t>Grudzień</t>
  </si>
  <si>
    <t>Monday</t>
  </si>
  <si>
    <t>Pondělí</t>
  </si>
  <si>
    <t>Hétfő</t>
  </si>
  <si>
    <t>Poniedziałek</t>
  </si>
  <si>
    <t>Tuesday</t>
  </si>
  <si>
    <t>Úterý</t>
  </si>
  <si>
    <t>Kedd</t>
  </si>
  <si>
    <t>Wtorek</t>
  </si>
  <si>
    <t>Wednesday</t>
  </si>
  <si>
    <t>Středa</t>
  </si>
  <si>
    <t>Szerda</t>
  </si>
  <si>
    <t>Środa</t>
  </si>
  <si>
    <t>Thurstday</t>
  </si>
  <si>
    <t>Čtvrtek</t>
  </si>
  <si>
    <t>Csütörtök</t>
  </si>
  <si>
    <t>Czwartek</t>
  </si>
  <si>
    <t>Friday</t>
  </si>
  <si>
    <t>Pátek</t>
  </si>
  <si>
    <t>Péntek</t>
  </si>
  <si>
    <t>Piątek</t>
  </si>
  <si>
    <t>Saturday</t>
  </si>
  <si>
    <t>Sobota</t>
  </si>
  <si>
    <t>Szombat</t>
  </si>
  <si>
    <t>Sunday</t>
  </si>
  <si>
    <t>Neděle</t>
  </si>
  <si>
    <t>Vasárnap</t>
  </si>
  <si>
    <t>Niedziela</t>
  </si>
  <si>
    <t>Mon</t>
  </si>
  <si>
    <t>PO</t>
  </si>
  <si>
    <t>Hé</t>
  </si>
  <si>
    <t>Pn</t>
  </si>
  <si>
    <t>Tue</t>
  </si>
  <si>
    <t>ÚT</t>
  </si>
  <si>
    <t>Ke</t>
  </si>
  <si>
    <t>Wt</t>
  </si>
  <si>
    <t>Wed</t>
  </si>
  <si>
    <t>ST</t>
  </si>
  <si>
    <t>Sze</t>
  </si>
  <si>
    <t>Śr</t>
  </si>
  <si>
    <t>Thu</t>
  </si>
  <si>
    <t>ČT</t>
  </si>
  <si>
    <t>Csü</t>
  </si>
  <si>
    <t>Cz</t>
  </si>
  <si>
    <t>Fri</t>
  </si>
  <si>
    <t>PÁ</t>
  </si>
  <si>
    <t>Pé</t>
  </si>
  <si>
    <t>Pt</t>
  </si>
  <si>
    <t>Sat</t>
  </si>
  <si>
    <t>SO</t>
  </si>
  <si>
    <t>Szo</t>
  </si>
  <si>
    <t>So</t>
  </si>
  <si>
    <t>Sun</t>
  </si>
  <si>
    <t>NE</t>
  </si>
  <si>
    <t>Vas</t>
  </si>
  <si>
    <t>Nd</t>
  </si>
  <si>
    <t>Day Job</t>
  </si>
  <si>
    <t>Úvazek</t>
  </si>
  <si>
    <t>Munkarend</t>
  </si>
  <si>
    <t>Etat</t>
  </si>
  <si>
    <t>Possition</t>
  </si>
  <si>
    <t>Pozice</t>
  </si>
  <si>
    <t>Pozíció</t>
  </si>
  <si>
    <t>Pozycja</t>
  </si>
  <si>
    <t>Set shift names</t>
  </si>
  <si>
    <t>Druh směny</t>
  </si>
  <si>
    <t>Állíts be műszak nevet</t>
  </si>
  <si>
    <t>Ustal nazwy zmian</t>
  </si>
  <si>
    <t>Shifts</t>
  </si>
  <si>
    <t>Směny</t>
  </si>
  <si>
    <t>Műszak</t>
  </si>
  <si>
    <t>Zmiany regularne</t>
  </si>
  <si>
    <t>Others</t>
  </si>
  <si>
    <t>Další</t>
  </si>
  <si>
    <t>Egyéb</t>
  </si>
  <si>
    <t>Inne</t>
  </si>
  <si>
    <t>From</t>
  </si>
  <si>
    <t>Od</t>
  </si>
  <si>
    <t>tól</t>
  </si>
  <si>
    <t>To</t>
  </si>
  <si>
    <t>Do</t>
  </si>
  <si>
    <t>ig</t>
  </si>
  <si>
    <t>Yes</t>
  </si>
  <si>
    <t>Ano</t>
  </si>
  <si>
    <t>Igen</t>
  </si>
  <si>
    <t>Tak</t>
  </si>
  <si>
    <t>No</t>
  </si>
  <si>
    <t>Ne</t>
  </si>
  <si>
    <t>Nem</t>
  </si>
  <si>
    <t>Shift Name</t>
  </si>
  <si>
    <t>Műszak neve</t>
  </si>
  <si>
    <t>Nazwa Zmiany</t>
  </si>
  <si>
    <t>Přestávka</t>
  </si>
  <si>
    <t>Szünet</t>
  </si>
  <si>
    <t>Przerwa</t>
  </si>
  <si>
    <t>Dur.</t>
  </si>
  <si>
    <t>Čas</t>
  </si>
  <si>
    <t>Hossz</t>
  </si>
  <si>
    <t>Czas</t>
  </si>
  <si>
    <t>Important Events</t>
  </si>
  <si>
    <t>Důležité události</t>
  </si>
  <si>
    <t>Fontos események</t>
  </si>
  <si>
    <t>Ważne wydarzenia</t>
  </si>
  <si>
    <t>Day Comments</t>
  </si>
  <si>
    <t>Komentáře</t>
  </si>
  <si>
    <t>Egyéb információ</t>
  </si>
  <si>
    <t>Komentarze</t>
  </si>
  <si>
    <t>No. Of Days OFF</t>
  </si>
  <si>
    <t>Počet dní OFF</t>
  </si>
  <si>
    <t>Szabadnapok száma</t>
  </si>
  <si>
    <t>Ilość dni OFF</t>
  </si>
  <si>
    <t>Work Callendar</t>
  </si>
  <si>
    <t>Pracovní kalendář</t>
  </si>
  <si>
    <t>Munkanapok</t>
  </si>
  <si>
    <t>Kalendarz Pracy</t>
  </si>
  <si>
    <t>*Put correct data in yellow cells</t>
  </si>
  <si>
    <t>* Vlož potřebná data do žlutých políček</t>
  </si>
  <si>
    <t>*tedd a helyes adatot a sárga mezőbe</t>
  </si>
  <si>
    <t>*Wprowadź dane w żółte komórki</t>
  </si>
  <si>
    <t>Month</t>
  </si>
  <si>
    <t>Měsíc</t>
  </si>
  <si>
    <t>Hónap</t>
  </si>
  <si>
    <t>Miesiąc</t>
  </si>
  <si>
    <t>No of days per month</t>
  </si>
  <si>
    <t>Počet dní v měsíci</t>
  </si>
  <si>
    <t>Napok száma a hónapban</t>
  </si>
  <si>
    <t>Ilość dni w miesiącu</t>
  </si>
  <si>
    <t>No of working days</t>
  </si>
  <si>
    <t>Počet pracovních dní</t>
  </si>
  <si>
    <t>Munkanapok száma a hónapban</t>
  </si>
  <si>
    <t>Ilość dni roboczych</t>
  </si>
  <si>
    <t>No of days off</t>
  </si>
  <si>
    <t>Počet volných dní</t>
  </si>
  <si>
    <t>Ilość dni wolnych</t>
  </si>
  <si>
    <t>No of work hours</t>
  </si>
  <si>
    <t>Počet pracovních hodin</t>
  </si>
  <si>
    <t>Munkaórák száma</t>
  </si>
  <si>
    <t>Ilość godzin pracy</t>
  </si>
  <si>
    <t>No of worked hours</t>
  </si>
  <si>
    <t>Počet odpracovaných hodin</t>
  </si>
  <si>
    <t>Ledolgozott órák száma</t>
  </si>
  <si>
    <t>Ilość godzin wypracowanych</t>
  </si>
  <si>
    <t>Coverage%</t>
  </si>
  <si>
    <t>Pokrytí %</t>
  </si>
  <si>
    <t>Pokrycie%</t>
  </si>
  <si>
    <t>Remaining</t>
  </si>
  <si>
    <t>Zbývá</t>
  </si>
  <si>
    <t>Fennmaradó</t>
  </si>
  <si>
    <t>Pozostało</t>
  </si>
  <si>
    <t xml:space="preserve">Holiday planning </t>
  </si>
  <si>
    <t>Plánování dovolené</t>
  </si>
  <si>
    <t>Szabadság terv</t>
  </si>
  <si>
    <t>Planowanie Urlopów</t>
  </si>
  <si>
    <t>Year schedules</t>
  </si>
  <si>
    <t>Roční rozpis směn</t>
  </si>
  <si>
    <t>Éves beosztás</t>
  </si>
  <si>
    <t>Grafiki Roczne</t>
  </si>
  <si>
    <t>No. Of Hours</t>
  </si>
  <si>
    <t>Počet hodin</t>
  </si>
  <si>
    <t>Órák száma</t>
  </si>
  <si>
    <t>Ilość Godzin</t>
  </si>
  <si>
    <t>Working Days</t>
  </si>
  <si>
    <t>Munkanapok száma</t>
  </si>
  <si>
    <t>Dni Robocze</t>
  </si>
  <si>
    <t>No of off days</t>
  </si>
  <si>
    <t xml:space="preserve">Enter holiday dates </t>
  </si>
  <si>
    <t>Vlož data dovolených</t>
  </si>
  <si>
    <t>Írd be a szabadság dátumát</t>
  </si>
  <si>
    <t>Wprowadź daty świąt</t>
  </si>
  <si>
    <t>Holiday name</t>
  </si>
  <si>
    <t>Název svátků</t>
  </si>
  <si>
    <t>Ünnepnap neve</t>
  </si>
  <si>
    <t>Nazwa święta</t>
  </si>
  <si>
    <t>Date [yyyy-mm-dd]</t>
  </si>
  <si>
    <t>Datum [rrrr-mm-dd]</t>
  </si>
  <si>
    <t>Dátum [év-hónap-nap]</t>
  </si>
  <si>
    <t>Data [rrrr-mm-dd]</t>
  </si>
  <si>
    <t>Transaction plan:</t>
  </si>
  <si>
    <t>Plán transakcí:</t>
  </si>
  <si>
    <t>Tervezett tranzakciók</t>
  </si>
  <si>
    <t>Plan transakcji:</t>
  </si>
  <si>
    <t>MANAGERS SCHEDULE EFFECTIVENESS
Recomendations:
Customer &amp; Sales:
- 1xSMS
- 1xDOS according to district calendar
- each Tuesday ADM
- SM should run at leat 3 operational shifts per week
- SM should run busiest Shifts at Peaktime (eg. Stores
busy on weeknds Shopping Malls - SM should work on weekends)
People:
- each Thursday LST NC - 4 hours
- each Thursday Observe&amp;Coach or other adding Value tasks
agreed with SM, if not - 4 C
Product
- Last day of month 1xINV
- If store is underperforming (PCA, Effectivness) 1 midmonth 
full inventory and if necessary inv on top items
Facility
- First or second day of month 1xNC for preventive Maintenance</t>
  </si>
  <si>
    <t>EFEKTIVITA MANAŽERSKÉHO ROZPISU
Doporučení:
Customer &amp; Sales:
- 1xSMS
- 1xDOS v závislosti na regionálním kalendáři
- každé úterý ADM
- každý SM by měl vést minimálně 3 směny týdně
- SM by měl vést nejvytíženější směny (např. kavárny, které jsou busy o víkendu, např. nákupní centra - SM by měl vést tyto směny)
People:
- každý čtvrtek LST NC - 4 hours
- každý čtvrtek nábory, Observe&amp;Coach, aj.
souhlas SM, pokud ne - 4 C
Product
- poslední den v měsíci 1xINV
Facility
- První nebo druhý den v měsíci 1xNC na Preventive Maintenance checklist</t>
  </si>
  <si>
    <t xml:space="preserve">Hatékonyság                                                                                                               tanácsok:                                                                                         Customer&amp;Sales:                                  -1XSMS                                                      -1xDOS                                                       -minden kedd ADM                               -SM legalább 3 műszakot vezessen hetente                                 -SM-nek a legforgalmasabb műszakot kellene vezetni PEAK-ben                                                               PEOPLE:                                                     -minden csütörtök LST 4 órában      -minden csütörtök Megfigyelés&amp;Coach vagy bármilyen feladat ami hozzátesz a sikerhez SM-mel megbeszélve, ha nem 4 óra coverage                              PRODUCT:                                                -hónap utolsó napja 1xINV               -ha az üzlet alulteljesít (PCA, Effectiveness) 1 hónapközi teljes leltár ha szükséges.        </t>
  </si>
  <si>
    <t xml:space="preserve">EFEKTYWNOŚĆ GRAFIKU MANAGERSKIEGO
Rekomendacje:
Customer &amp; Sales:
- 1xSMS
- 1xDOS uwzględniając kalendarz regionalny
- każdy wtorek ADM
- SM powinien prowadzić conajmniej 3 zmiany w tyg.
- SM powinien prowadzić zmiany podczas największego ruchu 
People:
- Każdy Poniedziałek ASM NC - 4 godziny
- Każdy Poniedziałek Observe&amp;Coach albo inne wartościowe zadania
po porozumieniu z SM'em, jeśli nie - 4 C
Product
- Ostatni dzień miesiąca 1xINV
- Jeżeli store ma problem (PCA, Efektywność) jedna
inwentaryacja w środku miesiąca albo inwentaryzacja
topowych itemów
Facility
- Pierwszy albo Drugi dzień miesiąca NC dla Prev Maintenance
</t>
  </si>
  <si>
    <t>Holidays</t>
  </si>
  <si>
    <t>Dovolená</t>
  </si>
  <si>
    <t>Szabadságok</t>
  </si>
  <si>
    <t>Urlopy</t>
  </si>
  <si>
    <t>Do You want to delete all data from "Schedules" and "Holidays"?</t>
  </si>
  <si>
    <t>Chceš vymazat data ze "Schedules" a "Holidays"?</t>
  </si>
  <si>
    <t>Törölni akarod az adatokat a Schedules és Holidays fülekről?</t>
  </si>
  <si>
    <t>Czy chesz usunąć wszystkie dane z arkuszy "Holidays" oraz "Schedules"?</t>
  </si>
  <si>
    <t>Do You want delete all data from this schedule?</t>
  </si>
  <si>
    <t>Chceš vymazat všechna data z tohoto rozpisu?</t>
  </si>
  <si>
    <t>Törölsz mindent erről a fülről?</t>
  </si>
  <si>
    <t>Czy chcesz usunąć wszystkie zadania NC?</t>
  </si>
  <si>
    <t>No. of all holidays</t>
  </si>
  <si>
    <t>Počet dní dovolené</t>
  </si>
  <si>
    <t>Összes szabadság száma</t>
  </si>
  <si>
    <t>Ilość dni urlopowych w roku</t>
  </si>
  <si>
    <t>No. of picked up holidays</t>
  </si>
  <si>
    <t>Počet využité dovolené</t>
  </si>
  <si>
    <t>Letöltött szabadságok száma</t>
  </si>
  <si>
    <t>Ilość dni odebranego urlopu</t>
  </si>
  <si>
    <t>Planed Holidays</t>
  </si>
  <si>
    <t>Plánovaná dovolené</t>
  </si>
  <si>
    <t>Tervezett szabadság</t>
  </si>
  <si>
    <t>Ilość zaplanowanego urlopu</t>
  </si>
  <si>
    <t>1. Enable Macros in Workbook. Warning! If macros are disabled file don't work correctly.</t>
  </si>
  <si>
    <t>1. Je nutné povolit Makra! POZOR! Pokud nejsou makra povolena, nebude soubor správně fungovat!</t>
  </si>
  <si>
    <t>1. Engedélyezd a Macrot a Munkafüzetben. Figyelem! Ha nincs engedélyezve, a munkafüzet nem működik tökéletesen.</t>
  </si>
  <si>
    <t>1. Uruchom Makra. Uwaga! Jeżeli nie uruchomisz makr plik nie będzie działał prawidłowo.</t>
  </si>
  <si>
    <t>2. Edition of work callendar</t>
  </si>
  <si>
    <t>2. Úprava pracovního kalednáře</t>
  </si>
  <si>
    <t>2. Aktuális munkarend</t>
  </si>
  <si>
    <t>2. Edycja kalendarza pracy</t>
  </si>
  <si>
    <t>Enter in admin Panel using button in schedule sheet. Then use Show/Hide callendar button. There in callendar You can enter all required data. Bellow enter dates of all holidays what should be visible in schedules sheets. Warining! Remember to check if date in admin panell is correct.</t>
  </si>
  <si>
    <t>Vstup do Admin listu pomocí tlačítka ve Schedule listu a po té stiskni tlačítko Show/Hide Calendar. V kalendáři můžeš vyplnit všechna potřebná data. Níže vyplň státní svátky, které budou v rozpisu zaznačeny šedou barvou. Pozor! Ujisti se, že v máš v Admin listu správně nastaveno datum!</t>
  </si>
  <si>
    <t>Lépj be az Admin felületre a gombot használva a "schedule" fülön. Aztán használd a Show/Hide Calendar gombot. Van egy naptár, ahova minden fontos információt beírhatsz. Alatta írj be minden fontos munkaszüneti napot/ünnepnapot, amit látni szeretnél a "schedules" fülön. Figyelem! Ne felejtsd el megnézni, hogy a dátum korrekt az admin oldalon.</t>
  </si>
  <si>
    <t xml:space="preserve">Wejdź do panelu administratora używając przycisku "Admin Panel" w arkuszu Schedules. Następnie w Panelu Administratora użyj przycisku "Show/Hide Callendar". W kalendarzu możesz wprowadzić wszystkie wymagane dane. Poniżej wprowadź daty dni świątecznych, które powinny być zaznaczone na grafiku jako szare pola. Uwaga! Pamiętaj aby data w panelu administratora była ustawiona właściwie. </t>
  </si>
  <si>
    <t>2. Setting Shift Names</t>
  </si>
  <si>
    <t>3. Úprava názvů směn</t>
  </si>
  <si>
    <t>3. Állíts be Műszak neveket</t>
  </si>
  <si>
    <t>2. Ustalanie nazw zmian</t>
  </si>
  <si>
    <t>In Admin Panel you can change shifts names and their shortcuts. As Administrator You should set these names for all Your region.</t>
  </si>
  <si>
    <t>V Admin listu můžeš měnit názvy směn a jejich zkratky. Administrátor by měl určit tyto názvy pro celý region.</t>
  </si>
  <si>
    <t>Az Admin felületen tudsz műszaknevet változtatni és a rövidítésüket. Adminisztrátorként az egész régióra vonatkozó neveket kell megadnod.</t>
  </si>
  <si>
    <t>W panelu administratora możesz zmienić nazwy zmian. Jako administrator powinieneś ustalić ich nazwy jednakowe dla całego regionu.</t>
  </si>
  <si>
    <t>Store name:</t>
  </si>
  <si>
    <t>Název kavárny:</t>
  </si>
  <si>
    <t>Üzlet neve:</t>
  </si>
  <si>
    <t>Nazwa kawiarni:</t>
  </si>
  <si>
    <t>3. Enter store name</t>
  </si>
  <si>
    <t>4. Vlož název kavárny</t>
  </si>
  <si>
    <t>4. Írd be az üzlet nevét</t>
  </si>
  <si>
    <t>3. Wprowadź nazwę kawiarni</t>
  </si>
  <si>
    <t>4. Select first month</t>
  </si>
  <si>
    <t>5. Vyber první měsíc</t>
  </si>
  <si>
    <t>5. Válaszd ki az első hónapot</t>
  </si>
  <si>
    <t>4. Wybierz pierwszy miesiąc</t>
  </si>
  <si>
    <t>5. Enter managers names, possitions and day job's</t>
  </si>
  <si>
    <t>6. Vlož jména manažerů, jejich úvazek a pozici</t>
  </si>
  <si>
    <t>6. Írd be a Managerek nevét, pozícióját és munkarendjét</t>
  </si>
  <si>
    <t>5. Wprowadź imiona, pozycje i etaty managerów</t>
  </si>
  <si>
    <t>Then use "Hide/Show Rows Button"</t>
  </si>
  <si>
    <t>Po té stiskni "Hide/Show Rows" tlačítko</t>
  </si>
  <si>
    <t>Aztán használd a "Hide/Show Rows" gombot</t>
  </si>
  <si>
    <t>Następnie wciśnij przycisk "Hide/Show rows"</t>
  </si>
  <si>
    <t xml:space="preserve">6. Set shifts duration and half-hour breaks </t>
  </si>
  <si>
    <t>7. Nastav délku směn a půlhodinové přestávky</t>
  </si>
  <si>
    <t>7. Állítsd be a műszakok hosszát és a szüneteket</t>
  </si>
  <si>
    <t>6. Ustaw czas trwania zmian oraz pół-godzinne przerwy</t>
  </si>
  <si>
    <t>1. In Colum Breaks choose "Yes" if manager has half hour break during shift. 
2. In Column from set start time.
3. In Column to set end time.
4. In column "Dur." you can see how long is current shit</t>
  </si>
  <si>
    <t>1.Ve sloupečku Breaks vyber "ANO" pokud bude mít manažer v průběhu směny přestávku. 
2. Ve sloupečku Od nastav začátek času práce.
3. Ve sloupečku DO nastav konec času práce
4. Ve sloupečku "Trvání" můžeš vidět, jak je směna dlouhá</t>
  </si>
  <si>
    <t>1. A "szünet" oszlopban válaszd ki az "igen" szót, ha a managernek jár a félórás szünet.                               2. A "tól" oszlopba a kezdési időt állítsd be                                                     3. az "ig" oszlopba a munkaidő végét.                                                          4. A "hossz" oszlopban pedig láthatod hány órás az adott műszak.</t>
  </si>
  <si>
    <t>1. W kolumnie "Przerwy" wybierz "Tak" jeżeli manager będzie odbywał półgodziną bezpłatną przerwę podczas zmiany
2. W kolumnie "Od" wybierz początek zmiany
3. W kolumnie "Do" wybierz koniec zmiany
4. W kolumnie "Czas" ukazuje się czas trwania zmiany</t>
  </si>
  <si>
    <t>8. Holidays</t>
  </si>
  <si>
    <t>8. Dovolená</t>
  </si>
  <si>
    <t>8. Szabadságok</t>
  </si>
  <si>
    <t>8. Urlopy</t>
  </si>
  <si>
    <t>Here You can enter the total number of holidays for each manager. And see what number of holidays is already planed and received.</t>
  </si>
  <si>
    <t>Zde můžeš zadat celkový počet dnů dovolené pro každého manažera a zjistit množství již naplánované nebo vybrané dovolené.</t>
  </si>
  <si>
    <t>Itt tudod megadni az összes szabadság számát minden managerednek és látod hogy hányat vett ki és mennyi marad még.</t>
  </si>
  <si>
    <t>W tym miejscu możesz ustalić ogólną ilość dni urlopowych dla każdego managera, oraz zobaczyć jaka ilość urlopów jest zaplanowana oraz odebrana.</t>
  </si>
  <si>
    <t>7. Schedule planning</t>
  </si>
  <si>
    <t>9. Plánování směn</t>
  </si>
  <si>
    <t>9. Beosztás tervezés</t>
  </si>
  <si>
    <t>7. Układanie grafiku</t>
  </si>
  <si>
    <t xml:space="preserve">For each day and each manager choose shift names from list and plan all schedule. On the end of schedule you can see how much hours is already planed, what is the number of remianing hours and what is the percent of coverage for each manager. </t>
  </si>
  <si>
    <t>Pro každého manažera na jednotlivé dny zvol z výběru název směny a stejným způsobem naplánuj celý měsíc. Na konci tabulky najdeš počet naplánovaných hodin, zbývajících hodin do splnění úvazku a podíl coverage hodin za celý měsíc v % pro každého manažera.</t>
  </si>
  <si>
    <t xml:space="preserve">Minden napra, minden managernek válassz műszakot a legördülő listáról és így tervezd meg a beosztást. A beosztás végén láthatod hány órát terveztél az adott managernek, hány óra maradt, és hány százaléka ennek coverage. </t>
  </si>
  <si>
    <t>Na każdy dzień I dla każdego managera wybierz z listy nazwy zmian - planując tym samym cały grrafik. Na końcu grafiku znajdują się dane na temat ilości już zaplanowanych godzin, ilości godzin wymaganych do zaplanowania oraz procentowego pokrycia wymaganych godzin.</t>
  </si>
  <si>
    <t>10. Holidays planning</t>
  </si>
  <si>
    <t>10. Plánování dovolené</t>
  </si>
  <si>
    <t>10. Szabadság tervezés</t>
  </si>
  <si>
    <t>10. Planowanie urlopów</t>
  </si>
  <si>
    <t>In The Bookmark "Holidays" You can plan holidays for each manager. Then when you will change month to plan next schedule planned for this month will appear in schedule sheet.</t>
  </si>
  <si>
    <t>V listu Holidays naplánuj dovolenou pro každého manažera. Při plánování směn každý další měsíc se vždy zobrazí počet dnů naplánované dovolené v tabulce DOVOLENÁ v listu Schedule.</t>
  </si>
  <si>
    <t>A "Holidays" fülön tervezheted meg a managereid szabadságát. És mikor hónapot váltasz a "schedule" fülön, látszani fog az adott hónapra vonatkozó terv.</t>
  </si>
  <si>
    <t>W zakładce "Holidays" możesz zaplanować urlopy dla każdego managera. Kiedy w zakładce "Schedule" zaczniesz planować grafik na następny miesiąc, wcześniej zaplanowany grafik pojawi się automatycznie w arkuszu "Schedules"</t>
  </si>
  <si>
    <t>Event name</t>
  </si>
  <si>
    <t>Nazwa wydarzenia</t>
  </si>
  <si>
    <t>Weronika Bstok</t>
  </si>
  <si>
    <t>y</t>
  </si>
  <si>
    <t>Zmienne - stałe</t>
  </si>
  <si>
    <t>worked</t>
  </si>
  <si>
    <t>To do</t>
  </si>
  <si>
    <t>%</t>
  </si>
  <si>
    <t>Remain</t>
  </si>
  <si>
    <t xml:space="preserve">KEY PARTNER </t>
  </si>
  <si>
    <t>SM IN TRAINING</t>
  </si>
  <si>
    <t>ASM IN TRAINING</t>
  </si>
  <si>
    <t>KEY PARTNER IN TRAINING</t>
  </si>
  <si>
    <t>SUPPORT</t>
  </si>
  <si>
    <t>English</t>
  </si>
  <si>
    <t>Cesky</t>
  </si>
  <si>
    <t>Magyar</t>
  </si>
  <si>
    <t>Polski</t>
  </si>
  <si>
    <t>9/10</t>
  </si>
  <si>
    <t>Lata przystępne + kalkulator</t>
  </si>
  <si>
    <t>t</t>
  </si>
  <si>
    <r>
      <rPr>
        <sz val="16"/>
        <color rgb="FF006100"/>
        <rFont val="Calibri"/>
        <family val="2"/>
        <charset val="238"/>
        <scheme val="minor"/>
      </rPr>
      <t>T</t>
    </r>
    <r>
      <rPr>
        <sz val="16"/>
        <color theme="1"/>
        <rFont val="Calibri"/>
        <family val="2"/>
        <charset val="238"/>
        <scheme val="minor"/>
      </rPr>
      <t xml:space="preserve">rzymiesięczny </t>
    </r>
    <r>
      <rPr>
        <sz val="16"/>
        <color rgb="FF006100"/>
        <rFont val="Calibri"/>
        <family val="2"/>
        <charset val="238"/>
        <scheme val="minor"/>
      </rPr>
      <t>O</t>
    </r>
    <r>
      <rPr>
        <sz val="16"/>
        <color theme="1"/>
        <rFont val="Calibri"/>
        <family val="2"/>
        <charset val="238"/>
        <scheme val="minor"/>
      </rPr>
      <t xml:space="preserve">kres </t>
    </r>
    <r>
      <rPr>
        <sz val="16"/>
        <color rgb="FF006100"/>
        <rFont val="Calibri"/>
        <family val="2"/>
        <charset val="238"/>
        <scheme val="minor"/>
      </rPr>
      <t>R</t>
    </r>
    <r>
      <rPr>
        <sz val="16"/>
        <color theme="1"/>
        <rFont val="Calibri"/>
        <family val="2"/>
        <charset val="238"/>
        <scheme val="minor"/>
      </rPr>
      <t>ozliczeniowy</t>
    </r>
  </si>
  <si>
    <t>STYCZEŃ</t>
  </si>
  <si>
    <t>ETAT</t>
  </si>
  <si>
    <t>LUTY</t>
  </si>
  <si>
    <t>MARZEC</t>
  </si>
  <si>
    <t>RCP</t>
  </si>
  <si>
    <t>TOTAL H</t>
  </si>
  <si>
    <t>TOTAL</t>
  </si>
  <si>
    <t>Dawid</t>
  </si>
  <si>
    <t>Kamil</t>
  </si>
  <si>
    <t>175.5</t>
  </si>
  <si>
    <t>Zuza D.</t>
  </si>
  <si>
    <t>Weronika</t>
  </si>
  <si>
    <t>Hania</t>
  </si>
  <si>
    <t>Ola</t>
  </si>
  <si>
    <t>KWIECIEŃ</t>
  </si>
  <si>
    <t>CZERWIEC</t>
  </si>
  <si>
    <t>Zuza</t>
  </si>
  <si>
    <t>Maciek</t>
  </si>
  <si>
    <t>Weronika S.</t>
  </si>
  <si>
    <t>LIPIEC</t>
  </si>
  <si>
    <t>SIERPIEŃ</t>
  </si>
  <si>
    <t>WRZESIEŃ</t>
  </si>
  <si>
    <t xml:space="preserve">SIE </t>
  </si>
  <si>
    <t>Gaba</t>
  </si>
  <si>
    <t>PAŹDZIERNIK</t>
  </si>
  <si>
    <t>LISTOPAD</t>
  </si>
  <si>
    <t>GRUDZIEŃ</t>
  </si>
  <si>
    <t>PAMIĘTAJ ABY LICZBĘ DNI ABSENCJI WPISAĆ BEZ ŚWIĄT I WEEKENDÓW</t>
  </si>
  <si>
    <t>Opening</t>
  </si>
  <si>
    <t>Closing</t>
  </si>
  <si>
    <t>Language/Jezyk</t>
  </si>
  <si>
    <t xml:space="preserve">AM Niedziela </t>
  </si>
  <si>
    <t>PM Niedziela</t>
  </si>
  <si>
    <t>Support AM</t>
  </si>
  <si>
    <t>Support PM</t>
  </si>
  <si>
    <t>Support do oddania</t>
  </si>
  <si>
    <t>MID Bar</t>
  </si>
  <si>
    <t>AM Bar</t>
  </si>
  <si>
    <t>PM Bar</t>
  </si>
  <si>
    <t>MiD 4h</t>
  </si>
  <si>
    <t>Business Trip</t>
  </si>
  <si>
    <t>BT</t>
  </si>
  <si>
    <t>Nowy rok</t>
  </si>
  <si>
    <t>Trzech Króli (Objawienie Pańskie)</t>
  </si>
  <si>
    <t>Wielkanoc</t>
  </si>
  <si>
    <t>zmiany non coverage</t>
  </si>
  <si>
    <t xml:space="preserve">NC </t>
  </si>
  <si>
    <t>Poniedziałek wielkanocny</t>
  </si>
  <si>
    <t>Szkolenie AM</t>
  </si>
  <si>
    <t>1 Maja - Święto Pracy</t>
  </si>
  <si>
    <t>Szkolenie PM</t>
  </si>
  <si>
    <t>Św. Konstytucji 3 Maja</t>
  </si>
  <si>
    <t>Odbiór nadgodziny</t>
  </si>
  <si>
    <t>Zesłanie Ducha Świętego (Zielone Świątki)</t>
  </si>
  <si>
    <t>Training</t>
  </si>
  <si>
    <t>Boże Ciało</t>
  </si>
  <si>
    <t>Praktyki dział PR</t>
  </si>
  <si>
    <t>PR</t>
  </si>
  <si>
    <t>Św. Wojska Polskiego, Wniebowzięcie NMP</t>
  </si>
  <si>
    <t>Wszystkich Świętych</t>
  </si>
  <si>
    <t>Dzień Niepodległości</t>
  </si>
  <si>
    <t>Wigilia Bożego Narodzenia</t>
  </si>
  <si>
    <t>Boże Narodzenie (pierwszy dzień)</t>
  </si>
  <si>
    <t>Boże Narodzenie (drugi dzień)</t>
  </si>
  <si>
    <t>Dzień Babci</t>
  </si>
  <si>
    <t>Dzień Dziadka</t>
  </si>
  <si>
    <t>Ofiarowanie Pańskie (MB Gromnicznej)</t>
  </si>
  <si>
    <t>Tłusty czwartek</t>
  </si>
  <si>
    <t>Dzień Zakochanych (Walentynki)</t>
  </si>
  <si>
    <t>Ostatki</t>
  </si>
  <si>
    <t>Narodowy Dzień Pamięci Żołnierzy Wyklętych</t>
  </si>
  <si>
    <t>Day Off</t>
  </si>
  <si>
    <t>Międzynarodowy Dzień Kobiet</t>
  </si>
  <si>
    <t>Holiday</t>
  </si>
  <si>
    <t>Dzień Mężczyzn</t>
  </si>
  <si>
    <t>Sick Leave</t>
  </si>
  <si>
    <t>Początek astronomicznej wiosny</t>
  </si>
  <si>
    <t>Zmiana czasu z zimowego na letni, Niedziela Palmowa</t>
  </si>
  <si>
    <t>Prima Aprilis</t>
  </si>
  <si>
    <t>Wielka Sobota</t>
  </si>
  <si>
    <t>Święto Bożego Miłosierdzia</t>
  </si>
  <si>
    <t>Międzynarodowy Dzień Ziemi</t>
  </si>
  <si>
    <t>Dzień Flagi Rzeczpospolitej Polskiej</t>
  </si>
  <si>
    <t>Wniebowstąpienie</t>
  </si>
  <si>
    <t>Dzień Matki</t>
  </si>
  <si>
    <t>Międzynarodowy Dzień Dziecka</t>
  </si>
  <si>
    <t>Pierwszy Dzień Lata - najdłuższy dzień roku</t>
  </si>
  <si>
    <t>Dzień Ojca</t>
  </si>
  <si>
    <t>Dzień Pamięci Powstania Warszawskiego</t>
  </si>
  <si>
    <t>Dzień Solidarności i Wolności</t>
  </si>
  <si>
    <t>Początek Astronomicznej Jesieni</t>
  </si>
  <si>
    <t>Dzień Chłopaka</t>
  </si>
  <si>
    <t>Dzień Nauczyciela</t>
  </si>
  <si>
    <t>Zmiana czasu z letniego na zimowy</t>
  </si>
  <si>
    <t>Dzień zaduszny</t>
  </si>
  <si>
    <t>Andrzejki (w nocy z 29 na 30)</t>
  </si>
  <si>
    <t>Barbórka</t>
  </si>
  <si>
    <t>Dzień św. Mikołaja</t>
  </si>
  <si>
    <t>Początek astr. zimy - najkrótszy dzień roku</t>
  </si>
  <si>
    <t>Dzień Zwycięskiego Powstania Wielkopolskiego</t>
  </si>
  <si>
    <t>Sylwester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</si>
</sst>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3" formatCode="_(* #,##0.00_);_(* \(#,##0.00\);_(* &quot;-&quot;??_);_(@_)"/>
    <numFmt numFmtId="164" formatCode="[$-409]d/mmm/yyyy;@"/>
    <numFmt numFmtId="165" formatCode="_-* #,##0\ _z_ł_-;\-* #,##0\ _z_ł_-;_-* &quot;-&quot;??\ _z_ł_-;_-@_-"/>
    <numFmt numFmtId="166" formatCode="[$-F800]dddd\,\ mmmm\ dd\,\ yyyy"/>
    <numFmt numFmtId="167" formatCode="h:mm;@"/>
    <numFmt numFmtId="168" formatCode="mm\/yyyy"/>
    <numFmt numFmtId="169" formatCode="ddd"/>
    <numFmt numFmtId="170" formatCode="0.00000000000000"/>
    <numFmt numFmtId="171" formatCode="0.0000000"/>
    <numFmt numFmtId="172" formatCode="[hh]:mm"/>
    <numFmt numFmtId="173" formatCode="0.0"/>
    <numFmt numFmtId="174" formatCode="d/mm;@"/>
  </numFmts>
  <fonts count="80">
    <font>
      <sz val="11"/>
      <color theme="1"/>
      <name val="Calibri"/>
      <family val="2"/>
      <scheme val="minor"/>
    </font>
    <font>
      <sz val="11"/>
      <color theme="1"/>
      <name val="Calibri"/>
      <family val="2"/>
      <charset val="238"/>
      <scheme val="minor"/>
    </font>
    <font>
      <sz val="11"/>
      <color theme="1"/>
      <name val="Calibri"/>
      <family val="2"/>
      <charset val="238"/>
      <scheme val="minor"/>
    </font>
    <font>
      <sz val="11"/>
      <color theme="1"/>
      <name val="Calibri"/>
      <family val="2"/>
      <charset val="238"/>
      <scheme val="minor"/>
    </font>
    <font>
      <sz val="11"/>
      <color theme="1"/>
      <name val="Calibri"/>
      <family val="2"/>
      <scheme val="minor"/>
    </font>
    <font>
      <sz val="8"/>
      <color theme="1"/>
      <name val="Calibri"/>
      <family val="2"/>
      <scheme val="minor"/>
    </font>
    <font>
      <b/>
      <sz val="12"/>
      <color theme="1"/>
      <name val="Calibri"/>
      <family val="2"/>
      <charset val="238"/>
      <scheme val="minor"/>
    </font>
    <font>
      <b/>
      <sz val="14"/>
      <color theme="1"/>
      <name val="Calibri"/>
      <family val="2"/>
      <charset val="238"/>
      <scheme val="minor"/>
    </font>
    <font>
      <sz val="11"/>
      <color theme="0" tint="-4.9989318521683403E-2"/>
      <name val="Calibri"/>
      <family val="2"/>
      <scheme val="minor"/>
    </font>
    <font>
      <sz val="8"/>
      <color theme="0" tint="-4.9989318521683403E-2"/>
      <name val="Calibri"/>
      <family val="2"/>
      <scheme val="minor"/>
    </font>
    <font>
      <sz val="8"/>
      <color indexed="81"/>
      <name val="Tahoma"/>
      <family val="2"/>
      <charset val="238"/>
    </font>
    <font>
      <b/>
      <sz val="8"/>
      <color indexed="81"/>
      <name val="Tahoma"/>
      <family val="2"/>
      <charset val="238"/>
    </font>
    <font>
      <sz val="10"/>
      <color theme="1"/>
      <name val="Arial CE"/>
      <charset val="238"/>
    </font>
    <font>
      <sz val="8"/>
      <color theme="1"/>
      <name val="Arial CE"/>
      <charset val="238"/>
    </font>
    <font>
      <b/>
      <sz val="10"/>
      <color theme="1"/>
      <name val="Arial CE"/>
      <charset val="238"/>
    </font>
    <font>
      <b/>
      <sz val="14"/>
      <color theme="1"/>
      <name val="Arial CE"/>
    </font>
    <font>
      <b/>
      <sz val="11"/>
      <color theme="1"/>
      <name val="Arial CE"/>
    </font>
    <font>
      <sz val="10"/>
      <color theme="1"/>
      <name val="Calibri"/>
      <family val="2"/>
      <scheme val="minor"/>
    </font>
    <font>
      <sz val="9"/>
      <color indexed="81"/>
      <name val="Tahoma"/>
      <family val="2"/>
    </font>
    <font>
      <b/>
      <sz val="9"/>
      <color indexed="81"/>
      <name val="Tahoma"/>
      <family val="2"/>
    </font>
    <font>
      <sz val="7"/>
      <color theme="1"/>
      <name val="Arial CE"/>
    </font>
    <font>
      <b/>
      <sz val="9"/>
      <color theme="1"/>
      <name val="Arial CE"/>
    </font>
    <font>
      <sz val="9"/>
      <color theme="1"/>
      <name val="Arial CE"/>
      <charset val="238"/>
    </font>
    <font>
      <sz val="12"/>
      <color theme="1"/>
      <name val="Calibri"/>
      <family val="2"/>
      <scheme val="minor"/>
    </font>
    <font>
      <sz val="18"/>
      <color theme="1"/>
      <name val="Arial CE"/>
      <charset val="238"/>
    </font>
    <font>
      <b/>
      <sz val="10"/>
      <name val="Arial"/>
      <family val="2"/>
      <charset val="238"/>
    </font>
    <font>
      <sz val="9"/>
      <color theme="0"/>
      <name val="Arial"/>
      <family val="2"/>
      <charset val="238"/>
    </font>
    <font>
      <sz val="8"/>
      <color theme="0"/>
      <name val="Arial"/>
      <family val="2"/>
      <charset val="238"/>
    </font>
    <font>
      <sz val="10"/>
      <name val="Arial CE"/>
      <family val="2"/>
      <charset val="238"/>
    </font>
    <font>
      <i/>
      <sz val="9"/>
      <name val="Arial"/>
      <family val="2"/>
      <charset val="238"/>
    </font>
    <font>
      <b/>
      <sz val="9"/>
      <color theme="1"/>
      <name val="Arial CE"/>
      <charset val="238"/>
    </font>
    <font>
      <sz val="22"/>
      <color theme="1"/>
      <name val="Calibri"/>
      <family val="2"/>
      <scheme val="minor"/>
    </font>
    <font>
      <b/>
      <sz val="11"/>
      <color theme="1"/>
      <name val="Calibri"/>
      <family val="2"/>
      <scheme val="minor"/>
    </font>
    <font>
      <b/>
      <sz val="11"/>
      <color theme="1"/>
      <name val="Arial CE"/>
      <charset val="238"/>
    </font>
    <font>
      <sz val="10"/>
      <color theme="0"/>
      <name val="Calibri"/>
      <family val="2"/>
      <scheme val="minor"/>
    </font>
    <font>
      <sz val="12"/>
      <color theme="1"/>
      <name val="Arial CE"/>
      <charset val="238"/>
    </font>
    <font>
      <sz val="8"/>
      <color theme="0"/>
      <name val="Arial CE"/>
      <charset val="238"/>
    </font>
    <font>
      <sz val="9"/>
      <color theme="1"/>
      <name val="Arial CE"/>
    </font>
    <font>
      <sz val="11"/>
      <color theme="1"/>
      <name val="Arial CE"/>
      <charset val="238"/>
    </font>
    <font>
      <sz val="14"/>
      <color theme="1"/>
      <name val="Arial CE"/>
      <charset val="238"/>
    </font>
    <font>
      <b/>
      <sz val="12"/>
      <color theme="1"/>
      <name val="Calibri"/>
      <family val="2"/>
      <scheme val="minor"/>
    </font>
    <font>
      <b/>
      <sz val="20"/>
      <color theme="1"/>
      <name val="Arial CE"/>
      <charset val="238"/>
    </font>
    <font>
      <sz val="20"/>
      <color theme="1"/>
      <name val="Arial CE"/>
      <charset val="238"/>
    </font>
    <font>
      <b/>
      <sz val="11"/>
      <color rgb="FFFF0000"/>
      <name val="Calibri"/>
      <family val="2"/>
      <scheme val="minor"/>
    </font>
    <font>
      <sz val="12"/>
      <name val="Arial CE"/>
      <charset val="238"/>
    </font>
    <font>
      <sz val="10"/>
      <color rgb="FFFF0000"/>
      <name val="Arial CE"/>
      <charset val="238"/>
    </font>
    <font>
      <sz val="9"/>
      <color theme="1"/>
      <name val="Calibri"/>
      <family val="2"/>
      <scheme val="minor"/>
    </font>
    <font>
      <i/>
      <sz val="10"/>
      <color theme="1"/>
      <name val="Arial CE"/>
      <charset val="238"/>
    </font>
    <font>
      <sz val="9"/>
      <color theme="0"/>
      <name val="Calibri"/>
      <family val="2"/>
      <scheme val="minor"/>
    </font>
    <font>
      <sz val="8"/>
      <color theme="1"/>
      <name val="Calibri"/>
      <family val="2"/>
      <charset val="238"/>
      <scheme val="minor"/>
    </font>
    <font>
      <sz val="8"/>
      <color theme="0"/>
      <name val="Calibri"/>
      <family val="2"/>
      <charset val="238"/>
      <scheme val="minor"/>
    </font>
    <font>
      <sz val="16"/>
      <color theme="1"/>
      <name val="Calibri"/>
      <family val="2"/>
      <charset val="238"/>
      <scheme val="minor"/>
    </font>
    <font>
      <sz val="16"/>
      <color rgb="FF006100"/>
      <name val="Calibri"/>
      <family val="2"/>
      <charset val="238"/>
      <scheme val="minor"/>
    </font>
    <font>
      <sz val="11"/>
      <color rgb="FF00B050"/>
      <name val="Calibri"/>
      <family val="2"/>
      <scheme val="minor"/>
    </font>
    <font>
      <sz val="11"/>
      <name val="Calibri"/>
      <family val="2"/>
      <scheme val="minor"/>
    </font>
    <font>
      <sz val="11"/>
      <color rgb="FFFF0000"/>
      <name val="Calibri"/>
      <family val="2"/>
      <scheme val="minor"/>
    </font>
    <font>
      <sz val="24"/>
      <name val="Calibri"/>
      <family val="2"/>
      <scheme val="minor"/>
    </font>
    <font>
      <sz val="22"/>
      <name val="Calibri"/>
      <family val="2"/>
      <scheme val="minor"/>
    </font>
    <font>
      <sz val="10"/>
      <name val="Arial CE"/>
      <charset val="238"/>
    </font>
    <font>
      <sz val="8"/>
      <name val="Arial CE"/>
      <charset val="238"/>
    </font>
    <font>
      <sz val="10"/>
      <color theme="0"/>
      <name val="Arial CE"/>
      <charset val="238"/>
    </font>
    <font>
      <sz val="11"/>
      <color rgb="FFFF0000"/>
      <name val="Calibri"/>
      <family val="2"/>
      <charset val="238"/>
      <scheme val="minor"/>
    </font>
    <font>
      <b/>
      <sz val="10"/>
      <color rgb="FFFF0000"/>
      <name val="Verdana"/>
      <family val="2"/>
      <charset val="238"/>
    </font>
    <font>
      <sz val="8"/>
      <color rgb="FFFF0000"/>
      <name val="Arial CE"/>
      <charset val="238"/>
    </font>
    <font>
      <sz val="14"/>
      <color rgb="FFFF0000"/>
      <name val="Arial CE"/>
      <charset val="238"/>
    </font>
    <font>
      <b/>
      <sz val="24"/>
      <color rgb="FFFF0000"/>
      <name val="Arial CE"/>
      <charset val="238"/>
    </font>
    <font>
      <b/>
      <sz val="18"/>
      <color rgb="FFFF0000"/>
      <name val="Arial CE"/>
      <charset val="238"/>
    </font>
    <font>
      <b/>
      <sz val="14"/>
      <color rgb="FFFF0000"/>
      <name val="Arial CE"/>
      <charset val="238"/>
    </font>
    <font>
      <b/>
      <sz val="10"/>
      <color rgb="FFFF0000"/>
      <name val="Arial CE"/>
      <charset val="238"/>
    </font>
    <font>
      <b/>
      <sz val="8"/>
      <color rgb="FFFF0000"/>
      <name val="Arial CE"/>
      <charset val="238"/>
    </font>
    <font>
      <sz val="12"/>
      <color theme="1"/>
      <name val="Calibri"/>
      <family val="2"/>
      <charset val="238"/>
      <scheme val="minor"/>
    </font>
    <font>
      <i/>
      <sz val="8"/>
      <color theme="1"/>
      <name val="Arial CE"/>
      <charset val="238"/>
    </font>
    <font>
      <b/>
      <sz val="12"/>
      <name val="Calibri"/>
      <family val="2"/>
      <scheme val="minor"/>
    </font>
    <font>
      <sz val="14"/>
      <name val="Arial CE"/>
      <charset val="238"/>
    </font>
    <font>
      <sz val="8"/>
      <name val="Calibri"/>
      <family val="2"/>
      <scheme val="minor"/>
    </font>
    <font>
      <sz val="10"/>
      <color theme="1"/>
      <name val="Calibri"/>
      <family val="2"/>
      <charset val="238"/>
      <scheme val="minor"/>
    </font>
    <font>
      <b/>
      <sz val="14"/>
      <color theme="0"/>
      <name val="Calibri"/>
      <family val="2"/>
      <charset val="238"/>
      <scheme val="minor"/>
    </font>
    <font>
      <sz val="14"/>
      <color theme="0"/>
      <name val="Calibri"/>
      <family val="2"/>
      <charset val="238"/>
      <scheme val="minor"/>
    </font>
    <font>
      <sz val="12"/>
      <color theme="0"/>
      <name val="Calibri"/>
      <family val="2"/>
      <charset val="238"/>
      <scheme val="minor"/>
    </font>
    <font>
      <b/>
      <sz val="12"/>
      <color theme="0"/>
      <name val="Calibri"/>
      <family val="2"/>
      <charset val="238"/>
      <scheme val="minor"/>
    </font>
  </fonts>
  <fills count="26">
    <fill>
      <patternFill patternType="none"/>
    </fill>
    <fill>
      <patternFill patternType="gray125"/>
    </fill>
    <fill>
      <patternFill patternType="solid">
        <fgColor rgb="FFFF0000"/>
        <bgColor indexed="64"/>
      </patternFill>
    </fill>
    <fill>
      <patternFill patternType="solid">
        <fgColor theme="3" tint="0.79998168889431442"/>
        <bgColor indexed="64"/>
      </patternFill>
    </fill>
    <fill>
      <patternFill patternType="solid">
        <fgColor theme="0"/>
        <bgColor indexed="64"/>
      </patternFill>
    </fill>
    <fill>
      <patternFill patternType="solid">
        <fgColor theme="8" tint="0.39997558519241921"/>
        <bgColor indexed="64"/>
      </patternFill>
    </fill>
    <fill>
      <patternFill patternType="solid">
        <fgColor theme="9" tint="0.59999389629810485"/>
        <bgColor indexed="64"/>
      </patternFill>
    </fill>
    <fill>
      <patternFill patternType="solid">
        <fgColor rgb="FFFFFF99"/>
        <bgColor indexed="64"/>
      </patternFill>
    </fill>
    <fill>
      <patternFill patternType="solid">
        <fgColor theme="3"/>
        <bgColor indexed="64"/>
      </patternFill>
    </fill>
    <fill>
      <patternFill patternType="solid">
        <fgColor theme="4" tint="0.39997558519241921"/>
        <bgColor indexed="64"/>
      </patternFill>
    </fill>
    <fill>
      <patternFill patternType="solid">
        <fgColor theme="4" tint="-0.499984740745262"/>
        <bgColor indexed="64"/>
      </patternFill>
    </fill>
    <fill>
      <patternFill patternType="solid">
        <fgColor rgb="FFFFFF00"/>
        <bgColor indexed="64"/>
      </patternFill>
    </fill>
    <fill>
      <patternFill patternType="solid">
        <fgColor rgb="FFBFBFBF"/>
        <bgColor indexed="64"/>
      </patternFill>
    </fill>
    <fill>
      <patternFill patternType="solid">
        <fgColor rgb="FFFFFFCC"/>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rgb="FFC6EFCE"/>
        <bgColor indexed="64"/>
      </patternFill>
    </fill>
    <fill>
      <patternFill patternType="solid">
        <fgColor theme="4" tint="0.79998168889431442"/>
        <bgColor indexed="64"/>
      </patternFill>
    </fill>
    <fill>
      <patternFill patternType="solid">
        <fgColor rgb="FF0F7330"/>
        <bgColor indexed="64"/>
      </patternFill>
    </fill>
    <fill>
      <patternFill patternType="solid">
        <fgColor rgb="FFFF5050"/>
        <bgColor indexed="64"/>
      </patternFill>
    </fill>
    <fill>
      <patternFill patternType="solid">
        <fgColor theme="2" tint="-0.499984740745262"/>
        <bgColor indexed="64"/>
      </patternFill>
    </fill>
    <fill>
      <patternFill patternType="solid">
        <fgColor theme="4" tint="-0.249977111117893"/>
        <bgColor indexed="64"/>
      </patternFill>
    </fill>
    <fill>
      <patternFill patternType="solid">
        <fgColor theme="6" tint="-0.249977111117893"/>
        <bgColor indexed="64"/>
      </patternFill>
    </fill>
    <fill>
      <patternFill patternType="solid">
        <fgColor theme="7" tint="-0.249977111117893"/>
        <bgColor indexed="64"/>
      </patternFill>
    </fill>
    <fill>
      <patternFill patternType="solid">
        <fgColor theme="8" tint="-0.249977111117893"/>
        <bgColor indexed="64"/>
      </patternFill>
    </fill>
    <fill>
      <patternFill patternType="solid">
        <fgColor rgb="FF92D050"/>
        <bgColor indexed="64"/>
      </patternFill>
    </fill>
  </fills>
  <borders count="93">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diagonal/>
    </border>
    <border>
      <left style="thin">
        <color indexed="64"/>
      </left>
      <right/>
      <top style="thin">
        <color indexed="64"/>
      </top>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style="thin">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medium">
        <color theme="0" tint="-0.499984740745262"/>
      </bottom>
      <diagonal/>
    </border>
    <border>
      <left style="thin">
        <color theme="0" tint="-0.499984740745262"/>
      </left>
      <right style="thin">
        <color theme="0" tint="-0.499984740745262"/>
      </right>
      <top style="thin">
        <color theme="0" tint="-0.499984740745262"/>
      </top>
      <bottom style="medium">
        <color theme="0" tint="-0.499984740745262"/>
      </bottom>
      <diagonal/>
    </border>
    <border>
      <left style="thin">
        <color theme="0" tint="-0.499984740745262"/>
      </left>
      <right style="medium">
        <color theme="0" tint="-0.499984740745262"/>
      </right>
      <top style="thin">
        <color theme="0" tint="-0.499984740745262"/>
      </top>
      <bottom style="medium">
        <color theme="0" tint="-0.499984740745262"/>
      </bottom>
      <diagonal/>
    </border>
    <border>
      <left style="thin">
        <color theme="0" tint="-0.499984740745262"/>
      </left>
      <right/>
      <top style="medium">
        <color theme="0" tint="-0.499984740745262"/>
      </top>
      <bottom style="thin">
        <color theme="0" tint="-0.499984740745262"/>
      </bottom>
      <diagonal/>
    </border>
    <border>
      <left/>
      <right style="medium">
        <color theme="0" tint="-0.499984740745262"/>
      </right>
      <top style="medium">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style="medium">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medium">
        <color theme="0" tint="-0.499984740745262"/>
      </bottom>
      <diagonal/>
    </border>
    <border>
      <left/>
      <right style="medium">
        <color theme="0" tint="-0.499984740745262"/>
      </right>
      <top style="thin">
        <color theme="0" tint="-0.499984740745262"/>
      </top>
      <bottom style="medium">
        <color theme="0" tint="-0.499984740745262"/>
      </bottom>
      <diagonal/>
    </border>
    <border>
      <left style="medium">
        <color theme="0" tint="-0.499984740745262"/>
      </left>
      <right/>
      <top style="medium">
        <color theme="0" tint="-0.499984740745262"/>
      </top>
      <bottom style="thin">
        <color theme="0" tint="-0.499984740745262"/>
      </bottom>
      <diagonal/>
    </border>
    <border>
      <left style="medium">
        <color theme="0" tint="-0.499984740745262"/>
      </left>
      <right/>
      <top style="thin">
        <color theme="0" tint="-0.499984740745262"/>
      </top>
      <bottom style="thin">
        <color theme="0" tint="-0.499984740745262"/>
      </bottom>
      <diagonal/>
    </border>
    <border>
      <left style="medium">
        <color theme="0" tint="-0.499984740745262"/>
      </left>
      <right/>
      <top style="thin">
        <color theme="0" tint="-0.499984740745262"/>
      </top>
      <bottom style="medium">
        <color theme="0" tint="-0.499984740745262"/>
      </bottom>
      <diagonal/>
    </border>
    <border>
      <left/>
      <right/>
      <top style="medium">
        <color theme="0" tint="-0.499984740745262"/>
      </top>
      <bottom style="thin">
        <color theme="0" tint="-0.499984740745262"/>
      </bottom>
      <diagonal/>
    </border>
    <border>
      <left/>
      <right style="thin">
        <color indexed="64"/>
      </right>
      <top style="thin">
        <color indexed="64"/>
      </top>
      <bottom/>
      <diagonal/>
    </border>
    <border>
      <left style="medium">
        <color indexed="64"/>
      </left>
      <right style="thin">
        <color indexed="64"/>
      </right>
      <top/>
      <bottom/>
      <diagonal/>
    </border>
    <border>
      <left style="medium">
        <color theme="0"/>
      </left>
      <right style="medium">
        <color theme="0"/>
      </right>
      <top style="medium">
        <color indexed="64"/>
      </top>
      <bottom style="thin">
        <color indexed="64"/>
      </bottom>
      <diagonal/>
    </border>
    <border>
      <left style="medium">
        <color theme="0"/>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theme="0"/>
      </right>
      <top style="medium">
        <color indexed="64"/>
      </top>
      <bottom style="thin">
        <color indexed="64"/>
      </bottom>
      <diagonal/>
    </border>
    <border>
      <left/>
      <right style="medium">
        <color theme="0"/>
      </right>
      <top style="medium">
        <color indexed="64"/>
      </top>
      <bottom/>
      <diagonal/>
    </border>
    <border>
      <left style="thin">
        <color indexed="64"/>
      </left>
      <right/>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s>
  <cellStyleXfs count="12">
    <xf numFmtId="0" fontId="0" fillId="0" borderId="0"/>
    <xf numFmtId="43" fontId="4" fillId="0" borderId="0" applyFont="0" applyFill="0" applyBorder="0" applyAlignment="0" applyProtection="0"/>
    <xf numFmtId="9" fontId="4" fillId="0" borderId="0" applyFont="0" applyFill="0" applyBorder="0" applyAlignment="0" applyProtection="0"/>
    <xf numFmtId="0" fontId="3" fillId="0" borderId="0"/>
    <xf numFmtId="0" fontId="4" fillId="0" borderId="0"/>
    <xf numFmtId="43" fontId="4" fillId="0" borderId="0" applyFont="0" applyFill="0" applyBorder="0" applyAlignment="0" applyProtection="0"/>
    <xf numFmtId="9" fontId="4" fillId="0" borderId="0" applyFont="0" applyFill="0" applyBorder="0" applyAlignment="0" applyProtection="0"/>
    <xf numFmtId="0" fontId="4" fillId="0" borderId="0"/>
    <xf numFmtId="43" fontId="4" fillId="0" borderId="0" applyFont="0" applyFill="0" applyBorder="0" applyAlignment="0" applyProtection="0"/>
    <xf numFmtId="9" fontId="4" fillId="0" borderId="0" applyFont="0" applyFill="0" applyBorder="0" applyAlignment="0" applyProtection="0"/>
    <xf numFmtId="0" fontId="2" fillId="0" borderId="0"/>
    <xf numFmtId="9" fontId="2" fillId="0" borderId="0" applyFont="0" applyFill="0" applyBorder="0" applyAlignment="0" applyProtection="0"/>
  </cellStyleXfs>
  <cellXfs count="698">
    <xf numFmtId="0" fontId="0" fillId="0" borderId="0" xfId="0"/>
    <xf numFmtId="14" fontId="5" fillId="0" borderId="0" xfId="0" applyNumberFormat="1" applyFont="1"/>
    <xf numFmtId="0" fontId="5" fillId="0" borderId="0" xfId="0" applyFont="1"/>
    <xf numFmtId="0" fontId="0" fillId="3" borderId="0" xfId="0" applyFill="1"/>
    <xf numFmtId="0" fontId="6" fillId="3" borderId="1" xfId="0" applyFont="1" applyFill="1" applyBorder="1" applyAlignment="1">
      <alignment horizontal="center"/>
    </xf>
    <xf numFmtId="0" fontId="0" fillId="4" borderId="0" xfId="0" applyFill="1"/>
    <xf numFmtId="0" fontId="8" fillId="4" borderId="0" xfId="0" applyFont="1" applyFill="1"/>
    <xf numFmtId="0" fontId="9" fillId="4" borderId="0" xfId="0" applyFont="1" applyFill="1"/>
    <xf numFmtId="0" fontId="5" fillId="3" borderId="2" xfId="1" applyNumberFormat="1" applyFont="1" applyFill="1" applyBorder="1"/>
    <xf numFmtId="0" fontId="13" fillId="0" borderId="0" xfId="0" applyFont="1" applyAlignment="1">
      <alignment horizontal="center" vertical="center"/>
    </xf>
    <xf numFmtId="14" fontId="0" fillId="0" borderId="0" xfId="0" applyNumberFormat="1"/>
    <xf numFmtId="164" fontId="0" fillId="0" borderId="0" xfId="0" applyNumberFormat="1"/>
    <xf numFmtId="14" fontId="5" fillId="5" borderId="0" xfId="0" applyNumberFormat="1" applyFont="1" applyFill="1"/>
    <xf numFmtId="164" fontId="13" fillId="0" borderId="0" xfId="0" applyNumberFormat="1" applyFont="1" applyAlignment="1">
      <alignment horizontal="center" vertical="center" textRotation="90" wrapText="1"/>
    </xf>
    <xf numFmtId="165" fontId="0" fillId="5" borderId="0" xfId="1" applyNumberFormat="1" applyFont="1" applyFill="1"/>
    <xf numFmtId="165" fontId="0" fillId="0" borderId="0" xfId="1" applyNumberFormat="1" applyFont="1"/>
    <xf numFmtId="166" fontId="17" fillId="0" borderId="0" xfId="0" applyNumberFormat="1" applyFont="1" applyAlignment="1">
      <alignment horizontal="left"/>
    </xf>
    <xf numFmtId="14" fontId="0" fillId="0" borderId="0" xfId="1" applyNumberFormat="1" applyFont="1"/>
    <xf numFmtId="165" fontId="13" fillId="0" borderId="0" xfId="1" applyNumberFormat="1" applyFont="1" applyAlignment="1">
      <alignment horizontal="center" vertical="center"/>
    </xf>
    <xf numFmtId="0" fontId="0" fillId="4" borderId="18" xfId="0" applyFill="1" applyBorder="1"/>
    <xf numFmtId="167" fontId="0" fillId="0" borderId="0" xfId="0" applyNumberFormat="1"/>
    <xf numFmtId="0" fontId="26" fillId="8" borderId="0" xfId="0" applyFont="1" applyFill="1" applyAlignment="1">
      <alignment horizontal="center" vertical="center" wrapText="1"/>
    </xf>
    <xf numFmtId="0" fontId="27" fillId="8" borderId="0" xfId="0" applyFont="1" applyFill="1" applyAlignment="1">
      <alignment horizontal="center" vertical="center" wrapText="1"/>
    </xf>
    <xf numFmtId="0" fontId="0" fillId="3" borderId="2" xfId="0" applyFill="1" applyBorder="1"/>
    <xf numFmtId="0" fontId="0" fillId="6" borderId="2" xfId="0" applyFill="1" applyBorder="1" applyAlignment="1">
      <alignment horizontal="center" vertical="center"/>
    </xf>
    <xf numFmtId="0" fontId="0" fillId="6" borderId="2" xfId="0" applyFill="1" applyBorder="1"/>
    <xf numFmtId="12" fontId="0" fillId="6" borderId="2" xfId="1" applyNumberFormat="1" applyFont="1" applyFill="1" applyBorder="1" applyAlignment="1">
      <alignment horizontal="center" vertical="center"/>
    </xf>
    <xf numFmtId="10" fontId="0" fillId="0" borderId="0" xfId="2" applyNumberFormat="1" applyFont="1"/>
    <xf numFmtId="0" fontId="21" fillId="4" borderId="21" xfId="0" applyFont="1" applyFill="1" applyBorder="1" applyAlignment="1">
      <alignment horizontal="center" vertical="center"/>
    </xf>
    <xf numFmtId="169" fontId="21" fillId="4" borderId="22" xfId="0" applyNumberFormat="1" applyFont="1" applyFill="1" applyBorder="1" applyAlignment="1">
      <alignment horizontal="center" vertical="center"/>
    </xf>
    <xf numFmtId="168" fontId="27" fillId="8" borderId="0" xfId="0" applyNumberFormat="1" applyFont="1" applyFill="1" applyAlignment="1">
      <alignment horizontal="left"/>
    </xf>
    <xf numFmtId="0" fontId="31" fillId="0" borderId="6" xfId="0" applyFont="1" applyBorder="1" applyAlignment="1">
      <alignment horizontal="center" vertical="center"/>
    </xf>
    <xf numFmtId="0" fontId="31" fillId="0" borderId="0" xfId="0" applyFont="1" applyAlignment="1">
      <alignment horizontal="center" vertical="center"/>
    </xf>
    <xf numFmtId="165" fontId="17" fillId="9" borderId="0" xfId="1" applyNumberFormat="1" applyFont="1" applyFill="1" applyAlignment="1">
      <alignment horizontal="center" vertical="center"/>
    </xf>
    <xf numFmtId="0" fontId="0" fillId="11" borderId="0" xfId="0" applyFill="1"/>
    <xf numFmtId="0" fontId="13" fillId="12" borderId="15" xfId="0" applyFont="1" applyFill="1" applyBorder="1" applyAlignment="1">
      <alignment horizontal="center" vertical="center"/>
    </xf>
    <xf numFmtId="0" fontId="13" fillId="12" borderId="17" xfId="0" applyFont="1" applyFill="1" applyBorder="1" applyAlignment="1">
      <alignment horizontal="center" vertical="center"/>
    </xf>
    <xf numFmtId="0" fontId="13" fillId="12" borderId="23" xfId="0" applyFont="1" applyFill="1" applyBorder="1" applyAlignment="1">
      <alignment horizontal="center" vertical="center"/>
    </xf>
    <xf numFmtId="0" fontId="13" fillId="12" borderId="26" xfId="0" applyFont="1" applyFill="1" applyBorder="1" applyAlignment="1">
      <alignment horizontal="center" vertical="center"/>
    </xf>
    <xf numFmtId="0" fontId="13" fillId="12" borderId="2" xfId="0" applyFont="1" applyFill="1" applyBorder="1" applyAlignment="1">
      <alignment horizontal="center" vertical="center"/>
    </xf>
    <xf numFmtId="0" fontId="13" fillId="12" borderId="27" xfId="0" applyFont="1" applyFill="1" applyBorder="1" applyAlignment="1">
      <alignment horizontal="center" vertical="center"/>
    </xf>
    <xf numFmtId="0" fontId="12" fillId="0" borderId="0" xfId="0" applyFont="1" applyAlignment="1">
      <alignment horizontal="center" vertical="center"/>
    </xf>
    <xf numFmtId="0" fontId="12" fillId="0" borderId="0" xfId="0" applyFont="1" applyAlignment="1">
      <alignment vertical="center"/>
    </xf>
    <xf numFmtId="0" fontId="0" fillId="0" borderId="0" xfId="0" applyAlignment="1">
      <alignment horizontal="center" vertical="center"/>
    </xf>
    <xf numFmtId="0" fontId="0" fillId="0" borderId="2" xfId="0" applyBorder="1" applyAlignment="1">
      <alignment wrapText="1"/>
    </xf>
    <xf numFmtId="0" fontId="0" fillId="0" borderId="0" xfId="0" applyAlignment="1">
      <alignment wrapText="1"/>
    </xf>
    <xf numFmtId="0" fontId="22" fillId="7" borderId="19" xfId="0" applyFont="1" applyFill="1" applyBorder="1" applyAlignment="1" applyProtection="1">
      <alignment horizontal="center" vertical="center"/>
      <protection locked="0"/>
    </xf>
    <xf numFmtId="0" fontId="22" fillId="7" borderId="43" xfId="0" applyFont="1" applyFill="1" applyBorder="1" applyAlignment="1" applyProtection="1">
      <alignment horizontal="center" vertical="center"/>
      <protection locked="0"/>
    </xf>
    <xf numFmtId="0" fontId="22" fillId="7" borderId="20" xfId="0" applyFont="1" applyFill="1" applyBorder="1" applyAlignment="1" applyProtection="1">
      <alignment horizontal="center" vertical="center"/>
      <protection locked="0"/>
    </xf>
    <xf numFmtId="0" fontId="6" fillId="2" borderId="2" xfId="0" applyFont="1" applyFill="1" applyBorder="1" applyAlignment="1">
      <alignment horizontal="center" wrapText="1"/>
    </xf>
    <xf numFmtId="0" fontId="7" fillId="0" borderId="2" xfId="0" applyFont="1" applyBorder="1" applyAlignment="1">
      <alignment horizontal="center" vertical="center" wrapText="1"/>
    </xf>
    <xf numFmtId="0" fontId="0" fillId="0" borderId="0" xfId="0" applyAlignment="1">
      <alignment horizontal="left" vertical="top"/>
    </xf>
    <xf numFmtId="0" fontId="0" fillId="0" borderId="6"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0" fillId="0" borderId="9" xfId="0" applyBorder="1" applyAlignment="1">
      <alignment horizontal="left" vertical="top"/>
    </xf>
    <xf numFmtId="0" fontId="0" fillId="0" borderId="10" xfId="0" applyBorder="1" applyAlignment="1">
      <alignment horizontal="left" vertical="top"/>
    </xf>
    <xf numFmtId="0" fontId="0" fillId="0" borderId="0" xfId="0" applyAlignment="1">
      <alignment vertical="top" wrapText="1"/>
    </xf>
    <xf numFmtId="0" fontId="32" fillId="0" borderId="0" xfId="0" applyFont="1" applyAlignment="1">
      <alignment vertical="top"/>
    </xf>
    <xf numFmtId="12" fontId="0" fillId="0" borderId="0" xfId="0" applyNumberFormat="1"/>
    <xf numFmtId="170" fontId="0" fillId="0" borderId="0" xfId="0" applyNumberFormat="1"/>
    <xf numFmtId="43" fontId="0" fillId="0" borderId="0" xfId="1" applyFont="1"/>
    <xf numFmtId="171" fontId="0" fillId="0" borderId="0" xfId="0" applyNumberFormat="1"/>
    <xf numFmtId="0" fontId="36" fillId="0" borderId="0" xfId="0" applyFont="1" applyAlignment="1" applyProtection="1">
      <alignment horizontal="center" vertical="center"/>
      <protection locked="0"/>
    </xf>
    <xf numFmtId="0" fontId="39" fillId="0" borderId="0" xfId="0" applyFont="1" applyAlignment="1">
      <alignment horizontal="center" vertical="center"/>
    </xf>
    <xf numFmtId="0" fontId="45" fillId="0" borderId="0" xfId="0" applyFont="1" applyAlignment="1" applyProtection="1">
      <alignment horizontal="center" vertical="center"/>
      <protection locked="0"/>
    </xf>
    <xf numFmtId="0" fontId="44" fillId="0" borderId="0" xfId="0" applyFont="1" applyAlignment="1" applyProtection="1">
      <alignment horizontal="center" vertical="center" shrinkToFit="1"/>
      <protection hidden="1"/>
    </xf>
    <xf numFmtId="167" fontId="12" fillId="0" borderId="0" xfId="0" applyNumberFormat="1" applyFont="1" applyAlignment="1">
      <alignment horizontal="center" vertical="center"/>
    </xf>
    <xf numFmtId="167" fontId="12" fillId="0" borderId="0" xfId="0" applyNumberFormat="1" applyFont="1" applyAlignment="1" applyProtection="1">
      <alignment horizontal="center" vertical="center"/>
      <protection locked="0"/>
    </xf>
    <xf numFmtId="0" fontId="35" fillId="0" borderId="0" xfId="0" applyFont="1" applyAlignment="1" applyProtection="1">
      <alignment horizontal="center" vertical="center"/>
      <protection locked="0"/>
    </xf>
    <xf numFmtId="0" fontId="38" fillId="0" borderId="0" xfId="0" applyFont="1" applyAlignment="1" applyProtection="1">
      <alignment horizontal="center" vertical="center"/>
      <protection locked="0"/>
    </xf>
    <xf numFmtId="167" fontId="12" fillId="0" borderId="18" xfId="0" applyNumberFormat="1" applyFont="1" applyBorder="1" applyAlignment="1">
      <alignment horizontal="center" vertical="center"/>
    </xf>
    <xf numFmtId="167" fontId="12" fillId="0" borderId="24" xfId="0" applyNumberFormat="1" applyFont="1" applyBorder="1" applyAlignment="1">
      <alignment horizontal="center" vertical="center"/>
    </xf>
    <xf numFmtId="0" fontId="5" fillId="0" borderId="0" xfId="0" applyFont="1" applyAlignment="1">
      <alignment vertical="center" wrapText="1"/>
    </xf>
    <xf numFmtId="0" fontId="0" fillId="3" borderId="11" xfId="0" applyFill="1" applyBorder="1"/>
    <xf numFmtId="0" fontId="17" fillId="0" borderId="0" xfId="0" applyFont="1" applyAlignment="1">
      <alignment horizontal="center" vertical="center"/>
    </xf>
    <xf numFmtId="0" fontId="46" fillId="0" borderId="0" xfId="0" applyFont="1" applyAlignment="1">
      <alignment vertical="center"/>
    </xf>
    <xf numFmtId="0" fontId="13" fillId="12" borderId="27" xfId="0" applyFont="1" applyFill="1" applyBorder="1" applyAlignment="1" applyProtection="1">
      <alignment horizontal="center" vertical="center"/>
      <protection locked="0"/>
    </xf>
    <xf numFmtId="0" fontId="13" fillId="12" borderId="24" xfId="0" applyFont="1" applyFill="1" applyBorder="1" applyAlignment="1" applyProtection="1">
      <alignment horizontal="center" vertical="center"/>
      <protection locked="0"/>
    </xf>
    <xf numFmtId="0" fontId="38" fillId="0" borderId="0" xfId="0" applyFont="1" applyAlignment="1">
      <alignment horizontal="center"/>
    </xf>
    <xf numFmtId="167" fontId="12" fillId="0" borderId="16" xfId="0" applyNumberFormat="1" applyFont="1" applyBorder="1" applyAlignment="1">
      <alignment horizontal="center" vertical="center"/>
    </xf>
    <xf numFmtId="167" fontId="38" fillId="0" borderId="0" xfId="0" applyNumberFormat="1" applyFont="1" applyAlignment="1">
      <alignment vertical="center" wrapText="1"/>
    </xf>
    <xf numFmtId="0" fontId="38" fillId="0" borderId="0" xfId="0" applyFont="1" applyAlignment="1">
      <alignment horizontal="center" vertical="center"/>
    </xf>
    <xf numFmtId="0" fontId="28" fillId="7" borderId="2" xfId="0" applyFont="1" applyFill="1" applyBorder="1" applyAlignment="1" applyProtection="1">
      <alignment horizontal="center" vertical="center"/>
      <protection locked="0"/>
    </xf>
    <xf numFmtId="0" fontId="13" fillId="12" borderId="15" xfId="0" applyFont="1" applyFill="1" applyBorder="1" applyAlignment="1" applyProtection="1">
      <alignment horizontal="center" vertical="center"/>
      <protection locked="0"/>
    </xf>
    <xf numFmtId="0" fontId="13" fillId="12" borderId="26" xfId="0" applyFont="1" applyFill="1" applyBorder="1" applyAlignment="1" applyProtection="1">
      <alignment horizontal="center" vertical="center"/>
      <protection locked="0"/>
    </xf>
    <xf numFmtId="0" fontId="13" fillId="12" borderId="17" xfId="0" applyFont="1" applyFill="1" applyBorder="1" applyAlignment="1" applyProtection="1">
      <alignment horizontal="center" vertical="center"/>
      <protection locked="0"/>
    </xf>
    <xf numFmtId="0" fontId="13" fillId="12" borderId="2" xfId="0" applyFont="1" applyFill="1" applyBorder="1" applyAlignment="1" applyProtection="1">
      <alignment horizontal="center" vertical="center"/>
      <protection locked="0"/>
    </xf>
    <xf numFmtId="0" fontId="13" fillId="12" borderId="23" xfId="0" applyFont="1" applyFill="1" applyBorder="1" applyAlignment="1" applyProtection="1">
      <alignment horizontal="center" vertical="center"/>
      <protection locked="0"/>
    </xf>
    <xf numFmtId="0" fontId="13" fillId="12" borderId="16" xfId="0" applyFont="1" applyFill="1" applyBorder="1" applyAlignment="1" applyProtection="1">
      <alignment horizontal="center" vertical="center"/>
      <protection locked="0"/>
    </xf>
    <xf numFmtId="0" fontId="13" fillId="12" borderId="18" xfId="0" applyFont="1" applyFill="1" applyBorder="1" applyAlignment="1" applyProtection="1">
      <alignment horizontal="center" vertical="center"/>
      <protection locked="0"/>
    </xf>
    <xf numFmtId="0" fontId="0" fillId="4" borderId="24" xfId="0" applyFill="1" applyBorder="1"/>
    <xf numFmtId="0" fontId="38" fillId="0" borderId="0" xfId="0" applyFont="1"/>
    <xf numFmtId="0" fontId="12" fillId="0" borderId="0" xfId="0" applyFont="1"/>
    <xf numFmtId="0" fontId="21" fillId="4" borderId="57" xfId="0" applyFont="1" applyFill="1" applyBorder="1" applyAlignment="1">
      <alignment horizontal="center" vertical="center"/>
    </xf>
    <xf numFmtId="0" fontId="21" fillId="4" borderId="58" xfId="0" applyFont="1" applyFill="1" applyBorder="1" applyAlignment="1">
      <alignment horizontal="center" vertical="center"/>
    </xf>
    <xf numFmtId="0" fontId="22" fillId="4" borderId="58" xfId="0" applyFont="1" applyFill="1" applyBorder="1" applyAlignment="1">
      <alignment horizontal="center" vertical="center"/>
    </xf>
    <xf numFmtId="0" fontId="21" fillId="4" borderId="59" xfId="0" applyFont="1" applyFill="1" applyBorder="1" applyAlignment="1">
      <alignment horizontal="center" vertical="center"/>
    </xf>
    <xf numFmtId="0" fontId="21" fillId="4" borderId="60" xfId="0" applyFont="1" applyFill="1" applyBorder="1" applyAlignment="1">
      <alignment horizontal="center" vertical="center"/>
    </xf>
    <xf numFmtId="0" fontId="21" fillId="4" borderId="28" xfId="0" applyFont="1" applyFill="1" applyBorder="1" applyAlignment="1">
      <alignment horizontal="center" vertical="center"/>
    </xf>
    <xf numFmtId="0" fontId="22" fillId="4" borderId="28" xfId="0" applyFont="1" applyFill="1" applyBorder="1" applyAlignment="1">
      <alignment horizontal="center" vertical="center"/>
    </xf>
    <xf numFmtId="0" fontId="21" fillId="4" borderId="29" xfId="0" applyFont="1" applyFill="1" applyBorder="1" applyAlignment="1">
      <alignment horizontal="center" vertical="center"/>
    </xf>
    <xf numFmtId="0" fontId="13" fillId="0" borderId="9" xfId="0" applyFont="1" applyBorder="1" applyAlignment="1">
      <alignment horizontal="center" vertical="center"/>
    </xf>
    <xf numFmtId="0" fontId="36" fillId="0" borderId="9" xfId="0" applyFont="1" applyBorder="1" applyAlignment="1">
      <alignment horizontal="center" vertical="center"/>
    </xf>
    <xf numFmtId="49" fontId="48" fillId="4" borderId="0" xfId="0" applyNumberFormat="1" applyFont="1" applyFill="1"/>
    <xf numFmtId="0" fontId="0" fillId="0" borderId="53" xfId="0" applyBorder="1" applyAlignment="1">
      <alignment wrapText="1"/>
    </xf>
    <xf numFmtId="0" fontId="49" fillId="0" borderId="0" xfId="10" applyFont="1"/>
    <xf numFmtId="0" fontId="49" fillId="0" borderId="0" xfId="10" applyFont="1" applyAlignment="1">
      <alignment horizontal="center" vertical="center"/>
    </xf>
    <xf numFmtId="0" fontId="49" fillId="0" borderId="77" xfId="10" applyFont="1" applyBorder="1" applyAlignment="1">
      <alignment horizontal="center" vertical="center"/>
    </xf>
    <xf numFmtId="173" fontId="49" fillId="0" borderId="80" xfId="10" applyNumberFormat="1" applyFont="1" applyBorder="1" applyAlignment="1">
      <alignment horizontal="center" vertical="center"/>
    </xf>
    <xf numFmtId="173" fontId="49" fillId="0" borderId="76" xfId="10" applyNumberFormat="1" applyFont="1" applyBorder="1" applyAlignment="1">
      <alignment horizontal="center" vertical="center"/>
    </xf>
    <xf numFmtId="173" fontId="49" fillId="0" borderId="70" xfId="10" applyNumberFormat="1" applyFont="1" applyBorder="1" applyAlignment="1">
      <alignment horizontal="center" vertical="center"/>
    </xf>
    <xf numFmtId="173" fontId="49" fillId="0" borderId="69" xfId="10" applyNumberFormat="1" applyFont="1" applyBorder="1" applyAlignment="1">
      <alignment horizontal="center" vertical="center"/>
    </xf>
    <xf numFmtId="173" fontId="49" fillId="0" borderId="71" xfId="10" applyNumberFormat="1" applyFont="1" applyBorder="1" applyAlignment="1">
      <alignment horizontal="center" vertical="center"/>
    </xf>
    <xf numFmtId="0" fontId="49" fillId="13" borderId="70" xfId="10" applyFont="1" applyFill="1" applyBorder="1" applyAlignment="1" applyProtection="1">
      <alignment horizontal="center" vertical="center"/>
      <protection locked="0"/>
    </xf>
    <xf numFmtId="2" fontId="49" fillId="13" borderId="70" xfId="10" applyNumberFormat="1" applyFont="1" applyFill="1" applyBorder="1" applyAlignment="1" applyProtection="1">
      <alignment horizontal="center" vertical="center"/>
      <protection locked="0"/>
    </xf>
    <xf numFmtId="0" fontId="49" fillId="13" borderId="69" xfId="10" applyFont="1" applyFill="1" applyBorder="1" applyAlignment="1" applyProtection="1">
      <alignment vertical="center"/>
      <protection locked="0"/>
    </xf>
    <xf numFmtId="0" fontId="49" fillId="0" borderId="75" xfId="10" applyFont="1" applyBorder="1" applyAlignment="1">
      <alignment horizontal="center" vertical="center"/>
    </xf>
    <xf numFmtId="173" fontId="49" fillId="0" borderId="79" xfId="10" applyNumberFormat="1" applyFont="1" applyBorder="1" applyAlignment="1">
      <alignment horizontal="center" vertical="center"/>
    </xf>
    <xf numFmtId="173" fontId="49" fillId="0" borderId="74" xfId="10" applyNumberFormat="1" applyFont="1" applyBorder="1" applyAlignment="1">
      <alignment horizontal="center" vertical="center"/>
    </xf>
    <xf numFmtId="173" fontId="49" fillId="0" borderId="63" xfId="10" applyNumberFormat="1" applyFont="1" applyBorder="1" applyAlignment="1">
      <alignment horizontal="center" vertical="center"/>
    </xf>
    <xf numFmtId="173" fontId="49" fillId="0" borderId="67" xfId="10" applyNumberFormat="1" applyFont="1" applyBorder="1" applyAlignment="1">
      <alignment horizontal="center" vertical="center"/>
    </xf>
    <xf numFmtId="173" fontId="49" fillId="0" borderId="68" xfId="10" applyNumberFormat="1" applyFont="1" applyBorder="1" applyAlignment="1">
      <alignment horizontal="center" vertical="center"/>
    </xf>
    <xf numFmtId="0" fontId="49" fillId="13" borderId="63" xfId="10" applyFont="1" applyFill="1" applyBorder="1" applyAlignment="1" applyProtection="1">
      <alignment horizontal="center" vertical="center"/>
      <protection locked="0"/>
    </xf>
    <xf numFmtId="2" fontId="49" fillId="13" borderId="63" xfId="10" applyNumberFormat="1" applyFont="1" applyFill="1" applyBorder="1" applyAlignment="1" applyProtection="1">
      <alignment horizontal="center" vertical="center"/>
      <protection locked="0"/>
    </xf>
    <xf numFmtId="0" fontId="49" fillId="13" borderId="67" xfId="10" applyFont="1" applyFill="1" applyBorder="1" applyAlignment="1" applyProtection="1">
      <alignment vertical="center"/>
      <protection locked="0"/>
    </xf>
    <xf numFmtId="0" fontId="49" fillId="0" borderId="72" xfId="10" applyFont="1" applyBorder="1" applyAlignment="1">
      <alignment horizontal="center"/>
    </xf>
    <xf numFmtId="0" fontId="49" fillId="0" borderId="65" xfId="10" applyFont="1" applyBorder="1" applyAlignment="1">
      <alignment horizontal="center"/>
    </xf>
    <xf numFmtId="0" fontId="49" fillId="0" borderId="64" xfId="10" applyFont="1" applyBorder="1" applyAlignment="1">
      <alignment horizontal="center"/>
    </xf>
    <xf numFmtId="0" fontId="49" fillId="0" borderId="68" xfId="10" applyFont="1" applyBorder="1" applyAlignment="1">
      <alignment horizontal="center" vertical="center"/>
    </xf>
    <xf numFmtId="0" fontId="49" fillId="0" borderId="63" xfId="10" applyFont="1" applyBorder="1" applyAlignment="1">
      <alignment horizontal="center" vertical="center"/>
    </xf>
    <xf numFmtId="0" fontId="49" fillId="0" borderId="67" xfId="10" applyFont="1" applyBorder="1" applyAlignment="1">
      <alignment horizontal="center" vertical="center"/>
    </xf>
    <xf numFmtId="0" fontId="49" fillId="0" borderId="67" xfId="10" applyFont="1" applyBorder="1" applyAlignment="1">
      <alignment vertical="center"/>
    </xf>
    <xf numFmtId="0" fontId="49" fillId="0" borderId="73" xfId="10" applyFont="1" applyBorder="1" applyAlignment="1">
      <alignment horizontal="center" vertical="center"/>
    </xf>
    <xf numFmtId="0" fontId="49" fillId="0" borderId="81" xfId="10" applyFont="1" applyBorder="1" applyAlignment="1">
      <alignment horizontal="center" vertical="center"/>
    </xf>
    <xf numFmtId="0" fontId="49" fillId="0" borderId="78" xfId="10" applyFont="1" applyBorder="1" applyAlignment="1">
      <alignment vertical="center"/>
    </xf>
    <xf numFmtId="0" fontId="49" fillId="0" borderId="0" xfId="10" applyFont="1" applyAlignment="1">
      <alignment vertical="center"/>
    </xf>
    <xf numFmtId="0" fontId="50" fillId="0" borderId="0" xfId="10" applyFont="1"/>
    <xf numFmtId="0" fontId="53" fillId="0" borderId="0" xfId="0" applyFont="1"/>
    <xf numFmtId="174" fontId="0" fillId="0" borderId="0" xfId="0" applyNumberFormat="1" applyAlignment="1">
      <alignment textRotation="90"/>
    </xf>
    <xf numFmtId="2" fontId="0" fillId="6" borderId="2" xfId="0" applyNumberFormat="1" applyFill="1" applyBorder="1"/>
    <xf numFmtId="2" fontId="0" fillId="0" borderId="0" xfId="0" applyNumberFormat="1"/>
    <xf numFmtId="49" fontId="0" fillId="6" borderId="2" xfId="1" applyNumberFormat="1" applyFont="1" applyFill="1" applyBorder="1" applyAlignment="1">
      <alignment horizontal="center" vertical="center"/>
    </xf>
    <xf numFmtId="12" fontId="0" fillId="0" borderId="0" xfId="0" applyNumberFormat="1" applyAlignment="1">
      <alignment horizontal="center" vertical="center"/>
    </xf>
    <xf numFmtId="0" fontId="55" fillId="0" borderId="0" xfId="0" applyFont="1"/>
    <xf numFmtId="0" fontId="55" fillId="0" borderId="0" xfId="0" applyFont="1" applyAlignment="1">
      <alignment horizontal="center" vertical="center"/>
    </xf>
    <xf numFmtId="0" fontId="54" fillId="0" borderId="0" xfId="0" applyFont="1"/>
    <xf numFmtId="0" fontId="58" fillId="0" borderId="0" xfId="0" applyFont="1" applyAlignment="1" applyProtection="1">
      <alignment horizontal="center" vertical="center"/>
      <protection locked="0"/>
    </xf>
    <xf numFmtId="0" fontId="59" fillId="0" borderId="0" xfId="0" applyFont="1" applyAlignment="1">
      <alignment horizontal="center" vertical="center"/>
    </xf>
    <xf numFmtId="0" fontId="58" fillId="0" borderId="0" xfId="0" applyFont="1" applyAlignment="1">
      <alignment horizontal="center" vertical="center"/>
    </xf>
    <xf numFmtId="2" fontId="49" fillId="0" borderId="0" xfId="10" applyNumberFormat="1" applyFont="1" applyAlignment="1">
      <alignment horizontal="center" vertical="center"/>
    </xf>
    <xf numFmtId="2" fontId="49" fillId="0" borderId="81" xfId="10" applyNumberFormat="1" applyFont="1" applyBorder="1" applyAlignment="1">
      <alignment horizontal="center" vertical="center"/>
    </xf>
    <xf numFmtId="2" fontId="49" fillId="0" borderId="63" xfId="10" applyNumberFormat="1" applyFont="1" applyBorder="1" applyAlignment="1">
      <alignment horizontal="center" vertical="center"/>
    </xf>
    <xf numFmtId="2" fontId="49" fillId="13" borderId="63" xfId="10" applyNumberFormat="1" applyFont="1" applyFill="1" applyBorder="1" applyAlignment="1">
      <alignment horizontal="center" vertical="center"/>
    </xf>
    <xf numFmtId="2" fontId="49" fillId="13" borderId="70" xfId="10" applyNumberFormat="1" applyFont="1" applyFill="1" applyBorder="1" applyAlignment="1">
      <alignment horizontal="center" vertical="center"/>
    </xf>
    <xf numFmtId="0" fontId="49" fillId="0" borderId="2" xfId="10" applyFont="1" applyBorder="1" applyAlignment="1">
      <alignment horizontal="right" vertical="center"/>
    </xf>
    <xf numFmtId="12" fontId="49" fillId="13" borderId="63" xfId="11" applyNumberFormat="1" applyFont="1" applyFill="1" applyBorder="1" applyAlignment="1" applyProtection="1">
      <alignment horizontal="center" vertical="center"/>
      <protection locked="0"/>
    </xf>
    <xf numFmtId="12" fontId="49" fillId="13" borderId="70" xfId="11" applyNumberFormat="1" applyFont="1" applyFill="1" applyBorder="1" applyAlignment="1" applyProtection="1">
      <alignment horizontal="center" vertical="center"/>
      <protection locked="0"/>
    </xf>
    <xf numFmtId="12" fontId="49" fillId="0" borderId="2" xfId="10" applyNumberFormat="1" applyFont="1" applyBorder="1" applyAlignment="1">
      <alignment horizontal="right" vertical="center"/>
    </xf>
    <xf numFmtId="12" fontId="49" fillId="13" borderId="67" xfId="11" applyNumberFormat="1" applyFont="1" applyFill="1" applyBorder="1" applyAlignment="1" applyProtection="1">
      <alignment horizontal="center" vertical="center"/>
      <protection locked="0"/>
    </xf>
    <xf numFmtId="12" fontId="49" fillId="13" borderId="69" xfId="11" applyNumberFormat="1" applyFont="1" applyFill="1" applyBorder="1" applyAlignment="1" applyProtection="1">
      <alignment horizontal="center" vertical="center"/>
      <protection locked="0"/>
    </xf>
    <xf numFmtId="0" fontId="38" fillId="0" borderId="18" xfId="0" applyFont="1" applyBorder="1" applyAlignment="1">
      <alignment horizontal="center" vertical="center"/>
    </xf>
    <xf numFmtId="0" fontId="38" fillId="0" borderId="24" xfId="0" applyFont="1" applyBorder="1" applyAlignment="1">
      <alignment horizontal="center" vertical="center"/>
    </xf>
    <xf numFmtId="0" fontId="38" fillId="0" borderId="51" xfId="0" applyFont="1" applyBorder="1" applyAlignment="1">
      <alignment horizontal="center" vertical="center"/>
    </xf>
    <xf numFmtId="0" fontId="0" fillId="4" borderId="0" xfId="0" applyFill="1" applyAlignment="1">
      <alignment vertical="center" textRotation="90"/>
    </xf>
    <xf numFmtId="0" fontId="0" fillId="4" borderId="2" xfId="0" applyFill="1" applyBorder="1"/>
    <xf numFmtId="0" fontId="0" fillId="4" borderId="27" xfId="0" applyFill="1" applyBorder="1"/>
    <xf numFmtId="0" fontId="0" fillId="4" borderId="26" xfId="0" applyFill="1" applyBorder="1"/>
    <xf numFmtId="0" fontId="0" fillId="4" borderId="16" xfId="0" applyFill="1" applyBorder="1"/>
    <xf numFmtId="0" fontId="60" fillId="4" borderId="0" xfId="0" applyFont="1" applyFill="1" applyAlignment="1">
      <alignment horizontal="center" textRotation="90"/>
    </xf>
    <xf numFmtId="0" fontId="60" fillId="4" borderId="0" xfId="0" applyFont="1" applyFill="1" applyAlignment="1">
      <alignment horizontal="center" vertical="center"/>
    </xf>
    <xf numFmtId="167" fontId="60" fillId="4" borderId="0" xfId="0" applyNumberFormat="1" applyFont="1" applyFill="1" applyAlignment="1">
      <alignment horizontal="center" vertical="center"/>
    </xf>
    <xf numFmtId="0" fontId="61" fillId="0" borderId="0" xfId="10" applyFont="1" applyAlignment="1">
      <alignment vertical="center"/>
    </xf>
    <xf numFmtId="0" fontId="38" fillId="0" borderId="16" xfId="0" applyFont="1" applyBorder="1" applyAlignment="1">
      <alignment horizontal="center" vertical="center"/>
    </xf>
    <xf numFmtId="0" fontId="40" fillId="13" borderId="26" xfId="0" applyFont="1" applyFill="1" applyBorder="1" applyAlignment="1" applyProtection="1">
      <alignment horizontal="center" vertical="center"/>
      <protection locked="0"/>
    </xf>
    <xf numFmtId="0" fontId="40" fillId="13" borderId="2" xfId="0" applyFont="1" applyFill="1" applyBorder="1" applyAlignment="1" applyProtection="1">
      <alignment horizontal="center" vertical="center"/>
      <protection locked="0"/>
    </xf>
    <xf numFmtId="0" fontId="40" fillId="13" borderId="27" xfId="0" applyFont="1" applyFill="1" applyBorder="1" applyAlignment="1" applyProtection="1">
      <alignment horizontal="center" vertical="center"/>
      <protection locked="0"/>
    </xf>
    <xf numFmtId="167" fontId="12" fillId="13" borderId="26" xfId="0" applyNumberFormat="1" applyFont="1" applyFill="1" applyBorder="1" applyAlignment="1" applyProtection="1">
      <alignment horizontal="center" vertical="center"/>
      <protection locked="0"/>
    </xf>
    <xf numFmtId="167" fontId="12" fillId="13" borderId="2" xfId="0" applyNumberFormat="1" applyFont="1" applyFill="1" applyBorder="1" applyAlignment="1" applyProtection="1">
      <alignment horizontal="center" vertical="center"/>
      <protection locked="0"/>
    </xf>
    <xf numFmtId="167" fontId="12" fillId="13" borderId="27" xfId="0" applyNumberFormat="1" applyFont="1" applyFill="1" applyBorder="1" applyAlignment="1" applyProtection="1">
      <alignment horizontal="center" vertical="center"/>
      <protection locked="0"/>
    </xf>
    <xf numFmtId="0" fontId="13" fillId="13" borderId="16" xfId="0" applyFont="1" applyFill="1" applyBorder="1" applyAlignment="1">
      <alignment horizontal="center" vertical="center"/>
    </xf>
    <xf numFmtId="0" fontId="13" fillId="13" borderId="18" xfId="0" applyFont="1" applyFill="1" applyBorder="1" applyAlignment="1">
      <alignment horizontal="center" vertical="center"/>
    </xf>
    <xf numFmtId="0" fontId="13" fillId="13" borderId="24" xfId="0" applyFont="1" applyFill="1" applyBorder="1" applyAlignment="1">
      <alignment horizontal="center" vertical="center"/>
    </xf>
    <xf numFmtId="0" fontId="13" fillId="13" borderId="16" xfId="0" applyFont="1" applyFill="1" applyBorder="1" applyAlignment="1" applyProtection="1">
      <alignment horizontal="center" vertical="center"/>
      <protection locked="0"/>
    </xf>
    <xf numFmtId="0" fontId="13" fillId="13" borderId="18" xfId="0" applyFont="1" applyFill="1" applyBorder="1" applyAlignment="1" applyProtection="1">
      <alignment horizontal="center" vertical="center"/>
      <protection locked="0"/>
    </xf>
    <xf numFmtId="0" fontId="13" fillId="13" borderId="24" xfId="0" applyFont="1" applyFill="1" applyBorder="1" applyAlignment="1" applyProtection="1">
      <alignment horizontal="center" vertical="center"/>
      <protection locked="0"/>
    </xf>
    <xf numFmtId="0" fontId="63" fillId="0" borderId="0" xfId="0" applyFont="1" applyAlignment="1">
      <alignment horizontal="center" vertical="center"/>
    </xf>
    <xf numFmtId="0" fontId="45" fillId="0" borderId="0" xfId="0" applyFont="1" applyAlignment="1">
      <alignment horizontal="center" vertical="center"/>
    </xf>
    <xf numFmtId="0" fontId="64" fillId="0" borderId="0" xfId="0" applyFont="1" applyAlignment="1">
      <alignment horizontal="center" vertical="center"/>
    </xf>
    <xf numFmtId="0" fontId="65" fillId="0" borderId="0" xfId="0" applyFont="1" applyAlignment="1">
      <alignment vertical="center"/>
    </xf>
    <xf numFmtId="0" fontId="68" fillId="0" borderId="0" xfId="0" applyFont="1" applyAlignment="1">
      <alignment horizontal="center" vertical="center"/>
    </xf>
    <xf numFmtId="0" fontId="28" fillId="13" borderId="2" xfId="0" applyFont="1" applyFill="1" applyBorder="1" applyAlignment="1" applyProtection="1">
      <alignment horizontal="center" vertical="center"/>
      <protection locked="0"/>
    </xf>
    <xf numFmtId="0" fontId="0" fillId="0" borderId="0" xfId="0" applyAlignment="1">
      <alignment horizontal="right"/>
    </xf>
    <xf numFmtId="172" fontId="0" fillId="0" borderId="0" xfId="0" applyNumberFormat="1"/>
    <xf numFmtId="0" fontId="0" fillId="6" borderId="14" xfId="0" applyFill="1" applyBorder="1"/>
    <xf numFmtId="0" fontId="5" fillId="0" borderId="0" xfId="0" applyFont="1" applyAlignment="1">
      <alignment vertical="center"/>
    </xf>
    <xf numFmtId="0" fontId="26" fillId="8" borderId="45" xfId="0" applyFont="1" applyFill="1" applyBorder="1" applyAlignment="1">
      <alignment horizontal="center" vertical="center" wrapText="1"/>
    </xf>
    <xf numFmtId="0" fontId="27" fillId="8" borderId="25" xfId="0" applyFont="1" applyFill="1" applyBorder="1" applyAlignment="1">
      <alignment horizontal="center" vertical="center" wrapText="1"/>
    </xf>
    <xf numFmtId="0" fontId="27" fillId="8" borderId="82" xfId="0" applyFont="1" applyFill="1" applyBorder="1" applyAlignment="1">
      <alignment horizontal="center" vertical="center" wrapText="1"/>
    </xf>
    <xf numFmtId="168" fontId="27" fillId="8" borderId="54" xfId="0" applyNumberFormat="1" applyFont="1" applyFill="1" applyBorder="1" applyAlignment="1">
      <alignment horizontal="left"/>
    </xf>
    <xf numFmtId="168" fontId="27" fillId="8" borderId="55" xfId="0" applyNumberFormat="1" applyFont="1" applyFill="1" applyBorder="1" applyAlignment="1">
      <alignment horizontal="left"/>
    </xf>
    <xf numFmtId="0" fontId="38" fillId="0" borderId="0" xfId="0" applyFont="1" applyAlignment="1">
      <alignment vertical="center" wrapText="1"/>
    </xf>
    <xf numFmtId="0" fontId="35" fillId="0" borderId="0" xfId="0" applyFont="1" applyAlignment="1">
      <alignment horizontal="left" vertical="center" indent="3"/>
    </xf>
    <xf numFmtId="0" fontId="13" fillId="12" borderId="16" xfId="0" applyFont="1" applyFill="1" applyBorder="1" applyAlignment="1">
      <alignment horizontal="center" vertical="center"/>
    </xf>
    <xf numFmtId="0" fontId="13" fillId="12" borderId="18" xfId="0" applyFont="1" applyFill="1" applyBorder="1" applyAlignment="1">
      <alignment horizontal="center" vertical="center"/>
    </xf>
    <xf numFmtId="0" fontId="13" fillId="12" borderId="24" xfId="0" applyFont="1" applyFill="1" applyBorder="1" applyAlignment="1">
      <alignment horizontal="center" vertical="center"/>
    </xf>
    <xf numFmtId="14" fontId="0" fillId="13" borderId="1" xfId="0" applyNumberFormat="1" applyFill="1" applyBorder="1" applyAlignment="1" applyProtection="1">
      <alignment horizontal="center" vertical="center"/>
      <protection locked="0"/>
    </xf>
    <xf numFmtId="0" fontId="0" fillId="13" borderId="1" xfId="0" applyFill="1" applyBorder="1" applyAlignment="1" applyProtection="1">
      <alignment horizontal="center" vertical="center"/>
      <protection locked="0"/>
    </xf>
    <xf numFmtId="0" fontId="0" fillId="13" borderId="26" xfId="0" applyFill="1" applyBorder="1" applyProtection="1">
      <protection locked="0"/>
    </xf>
    <xf numFmtId="0" fontId="0" fillId="13" borderId="2" xfId="0" applyFill="1" applyBorder="1" applyProtection="1">
      <protection locked="0"/>
    </xf>
    <xf numFmtId="0" fontId="0" fillId="13" borderId="27" xfId="0" applyFill="1" applyBorder="1" applyProtection="1">
      <protection locked="0"/>
    </xf>
    <xf numFmtId="0" fontId="0" fillId="13" borderId="16" xfId="0" applyFill="1" applyBorder="1" applyAlignment="1" applyProtection="1">
      <alignment shrinkToFit="1"/>
      <protection locked="0"/>
    </xf>
    <xf numFmtId="0" fontId="0" fillId="13" borderId="18" xfId="0" applyFill="1" applyBorder="1" applyAlignment="1" applyProtection="1">
      <alignment shrinkToFit="1"/>
      <protection locked="0"/>
    </xf>
    <xf numFmtId="0" fontId="0" fillId="13" borderId="24" xfId="0" applyFill="1" applyBorder="1" applyAlignment="1" applyProtection="1">
      <alignment shrinkToFit="1"/>
      <protection locked="0"/>
    </xf>
    <xf numFmtId="0" fontId="70" fillId="0" borderId="26" xfId="0" applyFont="1" applyBorder="1" applyAlignment="1">
      <alignment horizontal="center" vertical="center"/>
    </xf>
    <xf numFmtId="0" fontId="70" fillId="0" borderId="2" xfId="0" applyFont="1" applyBorder="1" applyAlignment="1">
      <alignment horizontal="center" vertical="center"/>
    </xf>
    <xf numFmtId="0" fontId="70" fillId="0" borderId="27" xfId="0" applyFont="1" applyBorder="1" applyAlignment="1">
      <alignment horizontal="center" vertical="center"/>
    </xf>
    <xf numFmtId="0" fontId="38" fillId="0" borderId="0" xfId="0" applyFont="1" applyAlignment="1">
      <alignment horizontal="left" vertical="center" wrapText="1" indent="1"/>
    </xf>
    <xf numFmtId="0" fontId="47" fillId="0" borderId="0" xfId="0" applyFont="1"/>
    <xf numFmtId="0" fontId="38" fillId="0" borderId="0" xfId="0" applyFont="1" applyAlignment="1">
      <alignment horizontal="center" vertical="center" wrapText="1"/>
    </xf>
    <xf numFmtId="0" fontId="71" fillId="0" borderId="0" xfId="0" applyFont="1" applyAlignment="1">
      <alignment horizontal="center"/>
    </xf>
    <xf numFmtId="0" fontId="70" fillId="0" borderId="14" xfId="0" applyFont="1" applyBorder="1" applyAlignment="1">
      <alignment horizontal="center" vertical="center"/>
    </xf>
    <xf numFmtId="167" fontId="12" fillId="13" borderId="14" xfId="0" applyNumberFormat="1" applyFont="1" applyFill="1" applyBorder="1" applyAlignment="1" applyProtection="1">
      <alignment horizontal="center" vertical="center"/>
      <protection locked="0"/>
    </xf>
    <xf numFmtId="167" fontId="12" fillId="0" borderId="32" xfId="0" applyNumberFormat="1" applyFont="1" applyBorder="1" applyAlignment="1">
      <alignment horizontal="center" vertical="center"/>
    </xf>
    <xf numFmtId="20" fontId="0" fillId="13" borderId="24" xfId="0" applyNumberFormat="1" applyFill="1" applyBorder="1" applyAlignment="1" applyProtection="1">
      <alignment shrinkToFit="1"/>
      <protection locked="0"/>
    </xf>
    <xf numFmtId="20" fontId="0" fillId="4" borderId="0" xfId="0" applyNumberFormat="1" applyFill="1"/>
    <xf numFmtId="0" fontId="0" fillId="0" borderId="0" xfId="0" applyAlignment="1">
      <alignment horizontal="left"/>
    </xf>
    <xf numFmtId="0" fontId="40" fillId="12" borderId="26" xfId="0" applyFont="1" applyFill="1" applyBorder="1" applyAlignment="1" applyProtection="1">
      <alignment horizontal="center" vertical="center"/>
      <protection locked="0"/>
    </xf>
    <xf numFmtId="0" fontId="40" fillId="12" borderId="2" xfId="0" applyFont="1" applyFill="1" applyBorder="1" applyAlignment="1" applyProtection="1">
      <alignment horizontal="center" vertical="center"/>
      <protection locked="0"/>
    </xf>
    <xf numFmtId="0" fontId="40" fillId="12" borderId="27" xfId="0" applyFont="1" applyFill="1" applyBorder="1" applyAlignment="1" applyProtection="1">
      <alignment horizontal="center" vertical="center"/>
      <protection locked="0"/>
    </xf>
    <xf numFmtId="0" fontId="40" fillId="13" borderId="14" xfId="0" applyFont="1" applyFill="1" applyBorder="1" applyAlignment="1" applyProtection="1">
      <alignment horizontal="center" vertical="center"/>
      <protection locked="0"/>
    </xf>
    <xf numFmtId="0" fontId="40" fillId="13" borderId="52" xfId="0" applyFont="1" applyFill="1" applyBorder="1" applyAlignment="1" applyProtection="1">
      <alignment horizontal="center" vertical="center"/>
      <protection locked="0"/>
    </xf>
    <xf numFmtId="0" fontId="28" fillId="4" borderId="2" xfId="0" applyFont="1" applyFill="1" applyBorder="1" applyAlignment="1">
      <alignment horizontal="center" vertical="center"/>
    </xf>
    <xf numFmtId="167" fontId="75" fillId="0" borderId="18" xfId="0" applyNumberFormat="1" applyFont="1" applyBorder="1" applyAlignment="1" applyProtection="1">
      <alignment horizontal="center" vertical="center"/>
      <protection locked="0"/>
    </xf>
    <xf numFmtId="0" fontId="70" fillId="0" borderId="17" xfId="0" applyFont="1" applyBorder="1" applyAlignment="1">
      <alignment vertical="center"/>
    </xf>
    <xf numFmtId="167" fontId="75" fillId="0" borderId="24" xfId="0" applyNumberFormat="1" applyFont="1" applyBorder="1" applyAlignment="1" applyProtection="1">
      <alignment horizontal="center" vertical="center"/>
      <protection locked="0"/>
    </xf>
    <xf numFmtId="0" fontId="70" fillId="0" borderId="17" xfId="0" applyFont="1" applyBorder="1" applyAlignment="1" applyProtection="1">
      <alignment vertical="center"/>
      <protection locked="0"/>
    </xf>
    <xf numFmtId="0" fontId="70" fillId="0" borderId="2" xfId="0" applyFont="1" applyBorder="1" applyAlignment="1" applyProtection="1">
      <alignment vertical="center"/>
      <protection locked="0"/>
    </xf>
    <xf numFmtId="167" fontId="70" fillId="0" borderId="2" xfId="0" applyNumberFormat="1" applyFont="1" applyBorder="1" applyAlignment="1" applyProtection="1">
      <alignment horizontal="center" vertical="center"/>
      <protection locked="0"/>
    </xf>
    <xf numFmtId="167" fontId="1" fillId="0" borderId="2" xfId="0" applyNumberFormat="1" applyFont="1" applyBorder="1" applyAlignment="1" applyProtection="1">
      <alignment horizontal="center" vertical="center" wrapText="1"/>
      <protection locked="0"/>
    </xf>
    <xf numFmtId="0" fontId="1" fillId="0" borderId="2" xfId="0" applyFont="1" applyBorder="1" applyAlignment="1" applyProtection="1">
      <alignment vertical="center" wrapText="1"/>
      <protection locked="0"/>
    </xf>
    <xf numFmtId="0" fontId="75" fillId="0" borderId="2" xfId="0" applyFont="1" applyBorder="1" applyAlignment="1" applyProtection="1">
      <alignment vertical="center" wrapText="1"/>
      <protection locked="0"/>
    </xf>
    <xf numFmtId="0" fontId="75" fillId="0" borderId="2" xfId="0" applyFont="1" applyBorder="1" applyAlignment="1" applyProtection="1">
      <alignment vertical="center"/>
      <protection locked="0"/>
    </xf>
    <xf numFmtId="0" fontId="1" fillId="0" borderId="2" xfId="0" applyFont="1" applyBorder="1" applyAlignment="1" applyProtection="1">
      <alignment wrapText="1"/>
      <protection locked="0"/>
    </xf>
    <xf numFmtId="0" fontId="75" fillId="0" borderId="2" xfId="0" applyFont="1" applyBorder="1" applyAlignment="1" applyProtection="1">
      <alignment horizontal="center" vertical="center"/>
      <protection locked="0"/>
    </xf>
    <xf numFmtId="0" fontId="75" fillId="0" borderId="18" xfId="0" applyFont="1" applyBorder="1" applyAlignment="1" applyProtection="1">
      <alignment horizontal="center" vertical="center"/>
      <protection locked="0"/>
    </xf>
    <xf numFmtId="0" fontId="70" fillId="0" borderId="23" xfId="0" applyFont="1" applyBorder="1" applyAlignment="1" applyProtection="1">
      <alignment vertical="center" wrapText="1"/>
      <protection locked="0"/>
    </xf>
    <xf numFmtId="0" fontId="70" fillId="0" borderId="27" xfId="0" applyFont="1" applyBorder="1" applyAlignment="1" applyProtection="1">
      <alignment vertical="center" wrapText="1"/>
      <protection locked="0"/>
    </xf>
    <xf numFmtId="167" fontId="70" fillId="0" borderId="27" xfId="0" applyNumberFormat="1" applyFont="1" applyBorder="1" applyAlignment="1" applyProtection="1">
      <alignment horizontal="center" vertical="center"/>
      <protection locked="0"/>
    </xf>
    <xf numFmtId="167" fontId="1" fillId="0" borderId="27" xfId="0" applyNumberFormat="1" applyFont="1" applyBorder="1" applyAlignment="1" applyProtection="1">
      <alignment horizontal="center" vertical="center" wrapText="1"/>
      <protection locked="0"/>
    </xf>
    <xf numFmtId="0" fontId="1" fillId="0" borderId="27" xfId="0" applyFont="1" applyBorder="1" applyAlignment="1" applyProtection="1">
      <alignment vertical="center" wrapText="1"/>
      <protection locked="0"/>
    </xf>
    <xf numFmtId="0" fontId="13" fillId="13" borderId="2" xfId="0" applyFont="1" applyFill="1" applyBorder="1" applyAlignment="1">
      <alignment horizontal="center" vertical="center"/>
    </xf>
    <xf numFmtId="0" fontId="13" fillId="13" borderId="26" xfId="0" applyFont="1" applyFill="1" applyBorder="1" applyAlignment="1">
      <alignment horizontal="center" vertical="center"/>
    </xf>
    <xf numFmtId="0" fontId="13" fillId="13" borderId="27" xfId="0" applyFont="1" applyFill="1" applyBorder="1" applyAlignment="1">
      <alignment horizontal="center" vertical="center"/>
    </xf>
    <xf numFmtId="0" fontId="13" fillId="13" borderId="17" xfId="0" applyFont="1" applyFill="1" applyBorder="1" applyAlignment="1" applyProtection="1">
      <alignment horizontal="center" vertical="center"/>
      <protection locked="0"/>
    </xf>
    <xf numFmtId="0" fontId="13" fillId="13" borderId="2" xfId="0" applyFont="1" applyFill="1" applyBorder="1" applyAlignment="1" applyProtection="1">
      <alignment horizontal="center" vertical="center"/>
      <protection locked="0"/>
    </xf>
    <xf numFmtId="0" fontId="13" fillId="13" borderId="15" xfId="0" applyFont="1" applyFill="1" applyBorder="1" applyAlignment="1" applyProtection="1">
      <alignment horizontal="center" vertical="center"/>
      <protection locked="0"/>
    </xf>
    <xf numFmtId="0" fontId="13" fillId="13" borderId="26" xfId="0" applyFont="1" applyFill="1" applyBorder="1" applyAlignment="1" applyProtection="1">
      <alignment horizontal="center" vertical="center"/>
      <protection locked="0"/>
    </xf>
    <xf numFmtId="0" fontId="13" fillId="13" borderId="23" xfId="0" applyFont="1" applyFill="1" applyBorder="1" applyAlignment="1" applyProtection="1">
      <alignment horizontal="center" vertical="center"/>
      <protection locked="0"/>
    </xf>
    <xf numFmtId="0" fontId="13" fillId="13" borderId="27" xfId="0" applyFont="1" applyFill="1" applyBorder="1" applyAlignment="1" applyProtection="1">
      <alignment horizontal="center" vertical="center"/>
      <protection locked="0"/>
    </xf>
    <xf numFmtId="0" fontId="6" fillId="13" borderId="2" xfId="0" applyFont="1" applyFill="1" applyBorder="1" applyAlignment="1" applyProtection="1">
      <alignment horizontal="center" vertical="center"/>
      <protection locked="0"/>
    </xf>
    <xf numFmtId="0" fontId="40" fillId="13" borderId="16" xfId="0" applyFont="1" applyFill="1" applyBorder="1" applyAlignment="1" applyProtection="1">
      <alignment horizontal="center" vertical="center"/>
      <protection locked="0"/>
    </xf>
    <xf numFmtId="0" fontId="40" fillId="13" borderId="18" xfId="0" applyFont="1" applyFill="1" applyBorder="1" applyAlignment="1" applyProtection="1">
      <alignment horizontal="center" vertical="center"/>
      <protection locked="0"/>
    </xf>
    <xf numFmtId="0" fontId="40" fillId="13" borderId="11" xfId="0" applyFont="1" applyFill="1" applyBorder="1" applyAlignment="1" applyProtection="1">
      <alignment horizontal="center" vertical="center"/>
      <protection locked="0"/>
    </xf>
    <xf numFmtId="0" fontId="72" fillId="13" borderId="2" xfId="0" applyFont="1" applyFill="1" applyBorder="1" applyAlignment="1" applyProtection="1">
      <alignment horizontal="center" vertical="center"/>
      <protection locked="0"/>
    </xf>
    <xf numFmtId="0" fontId="6" fillId="13" borderId="18" xfId="0" applyFont="1" applyFill="1" applyBorder="1" applyAlignment="1" applyProtection="1">
      <alignment horizontal="center" vertical="center"/>
      <protection locked="0"/>
    </xf>
    <xf numFmtId="0" fontId="40" fillId="13" borderId="24" xfId="0" applyFont="1" applyFill="1" applyBorder="1" applyAlignment="1" applyProtection="1">
      <alignment horizontal="center" vertical="center"/>
      <protection locked="0"/>
    </xf>
    <xf numFmtId="49" fontId="78" fillId="20" borderId="2" xfId="0" applyNumberFormat="1" applyFont="1" applyFill="1" applyBorder="1" applyAlignment="1">
      <alignment horizontal="center" vertical="center" wrapText="1"/>
    </xf>
    <xf numFmtId="49" fontId="78" fillId="0" borderId="2" xfId="0" applyNumberFormat="1" applyFont="1" applyBorder="1" applyAlignment="1">
      <alignment horizontal="center" vertical="center" wrapText="1"/>
    </xf>
    <xf numFmtId="167" fontId="70" fillId="16" borderId="11" xfId="0" applyNumberFormat="1" applyFont="1" applyFill="1" applyBorder="1" applyAlignment="1">
      <alignment horizontal="center" vertical="center" wrapText="1"/>
    </xf>
    <xf numFmtId="167" fontId="70" fillId="16" borderId="12" xfId="0" applyNumberFormat="1" applyFont="1" applyFill="1" applyBorder="1" applyAlignment="1">
      <alignment horizontal="center" vertical="center" wrapText="1"/>
    </xf>
    <xf numFmtId="167" fontId="70" fillId="16" borderId="13" xfId="0" applyNumberFormat="1" applyFont="1" applyFill="1" applyBorder="1" applyAlignment="1">
      <alignment horizontal="center" vertical="center" wrapText="1"/>
    </xf>
    <xf numFmtId="0" fontId="75" fillId="0" borderId="11" xfId="0" applyFont="1" applyBorder="1" applyAlignment="1">
      <alignment horizontal="center" vertical="center" wrapText="1"/>
    </xf>
    <xf numFmtId="0" fontId="75" fillId="0" borderId="48" xfId="0" applyFont="1" applyBorder="1" applyAlignment="1">
      <alignment horizontal="center" vertical="center" wrapText="1"/>
    </xf>
    <xf numFmtId="0" fontId="75" fillId="0" borderId="13" xfId="0" applyFont="1" applyBorder="1" applyAlignment="1">
      <alignment horizontal="center" vertical="center" wrapText="1"/>
    </xf>
    <xf numFmtId="0" fontId="70" fillId="0" borderId="11" xfId="0" applyFont="1" applyBorder="1" applyAlignment="1">
      <alignment horizontal="center" vertical="center" wrapText="1"/>
    </xf>
    <xf numFmtId="0" fontId="70" fillId="0" borderId="13" xfId="0" applyFont="1" applyBorder="1" applyAlignment="1">
      <alignment horizontal="center" vertical="center" wrapText="1"/>
    </xf>
    <xf numFmtId="49" fontId="78" fillId="19" borderId="2" xfId="0" applyNumberFormat="1" applyFont="1" applyFill="1" applyBorder="1" applyAlignment="1">
      <alignment horizontal="center" vertical="center" wrapText="1"/>
    </xf>
    <xf numFmtId="49" fontId="78" fillId="21" borderId="2" xfId="0" applyNumberFormat="1" applyFont="1" applyFill="1" applyBorder="1" applyAlignment="1">
      <alignment horizontal="center" vertical="center" wrapText="1"/>
    </xf>
    <xf numFmtId="49" fontId="78" fillId="21" borderId="18" xfId="0" applyNumberFormat="1" applyFont="1" applyFill="1" applyBorder="1" applyAlignment="1">
      <alignment horizontal="center" vertical="center" wrapText="1"/>
    </xf>
    <xf numFmtId="0" fontId="77" fillId="19" borderId="11" xfId="0" applyFont="1" applyFill="1" applyBorder="1" applyAlignment="1">
      <alignment horizontal="center" vertical="center" wrapText="1"/>
    </xf>
    <xf numFmtId="0" fontId="77" fillId="19" borderId="12" xfId="0" applyFont="1" applyFill="1" applyBorder="1" applyAlignment="1">
      <alignment horizontal="center" vertical="center" wrapText="1"/>
    </xf>
    <xf numFmtId="0" fontId="77" fillId="19" borderId="48" xfId="0" applyFont="1" applyFill="1" applyBorder="1" applyAlignment="1">
      <alignment horizontal="center" vertical="center" wrapText="1"/>
    </xf>
    <xf numFmtId="0" fontId="77" fillId="20" borderId="11" xfId="0" applyFont="1" applyFill="1" applyBorder="1" applyAlignment="1">
      <alignment horizontal="center" vertical="center" wrapText="1"/>
    </xf>
    <xf numFmtId="0" fontId="77" fillId="20" borderId="12" xfId="0" applyFont="1" applyFill="1" applyBorder="1" applyAlignment="1">
      <alignment horizontal="center" vertical="center" wrapText="1"/>
    </xf>
    <xf numFmtId="0" fontId="77" fillId="20" borderId="13" xfId="0" applyFont="1" applyFill="1" applyBorder="1" applyAlignment="1">
      <alignment horizontal="center" vertical="center" wrapText="1"/>
    </xf>
    <xf numFmtId="0" fontId="77" fillId="24" borderId="11" xfId="0" applyFont="1" applyFill="1" applyBorder="1" applyAlignment="1">
      <alignment horizontal="center" vertical="center" wrapText="1"/>
    </xf>
    <xf numFmtId="0" fontId="77" fillId="24" borderId="12" xfId="0" applyFont="1" applyFill="1" applyBorder="1" applyAlignment="1">
      <alignment horizontal="center" vertical="center" wrapText="1"/>
    </xf>
    <xf numFmtId="0" fontId="77" fillId="24" borderId="13" xfId="0" applyFont="1" applyFill="1" applyBorder="1" applyAlignment="1">
      <alignment horizontal="center" vertical="center" wrapText="1"/>
    </xf>
    <xf numFmtId="0" fontId="77" fillId="23" borderId="11" xfId="0" applyFont="1" applyFill="1" applyBorder="1" applyAlignment="1">
      <alignment horizontal="center" vertical="center" wrapText="1"/>
    </xf>
    <xf numFmtId="0" fontId="77" fillId="23" borderId="12" xfId="0" applyFont="1" applyFill="1" applyBorder="1" applyAlignment="1">
      <alignment horizontal="center" vertical="center" wrapText="1"/>
    </xf>
    <xf numFmtId="0" fontId="77" fillId="23" borderId="13" xfId="0" applyFont="1" applyFill="1" applyBorder="1" applyAlignment="1">
      <alignment horizontal="center" vertical="center" wrapText="1"/>
    </xf>
    <xf numFmtId="0" fontId="76" fillId="18" borderId="84" xfId="0" applyFont="1" applyFill="1" applyBorder="1" applyAlignment="1">
      <alignment horizontal="center" vertical="center" wrapText="1"/>
    </xf>
    <xf numFmtId="0" fontId="76" fillId="18" borderId="85" xfId="0" applyFont="1" applyFill="1" applyBorder="1" applyAlignment="1">
      <alignment horizontal="center" vertical="center" wrapText="1"/>
    </xf>
    <xf numFmtId="49" fontId="78" fillId="23" borderId="2" xfId="0" applyNumberFormat="1" applyFont="1" applyFill="1" applyBorder="1" applyAlignment="1">
      <alignment horizontal="center" vertical="center"/>
    </xf>
    <xf numFmtId="49" fontId="78" fillId="0" borderId="2" xfId="0" applyNumberFormat="1" applyFont="1" applyBorder="1" applyAlignment="1">
      <alignment horizontal="center" vertical="center"/>
    </xf>
    <xf numFmtId="49" fontId="78" fillId="22" borderId="17" xfId="0" applyNumberFormat="1" applyFont="1" applyFill="1" applyBorder="1" applyAlignment="1">
      <alignment horizontal="center" vertical="center"/>
    </xf>
    <xf numFmtId="49" fontId="78" fillId="22" borderId="2" xfId="0" applyNumberFormat="1" applyFont="1" applyFill="1" applyBorder="1" applyAlignment="1">
      <alignment horizontal="center" vertical="center"/>
    </xf>
    <xf numFmtId="49" fontId="78" fillId="24" borderId="2" xfId="0" applyNumberFormat="1" applyFont="1" applyFill="1" applyBorder="1" applyAlignment="1">
      <alignment horizontal="center" vertical="center" wrapText="1"/>
    </xf>
    <xf numFmtId="0" fontId="75" fillId="17" borderId="11" xfId="0" applyFont="1" applyFill="1" applyBorder="1" applyAlignment="1">
      <alignment horizontal="center" vertical="center" wrapText="1"/>
    </xf>
    <xf numFmtId="0" fontId="75" fillId="17" borderId="48" xfId="0" applyFont="1" applyFill="1" applyBorder="1" applyAlignment="1">
      <alignment horizontal="center" vertical="center" wrapText="1"/>
    </xf>
    <xf numFmtId="0" fontId="70" fillId="15" borderId="11" xfId="0" applyFont="1" applyFill="1" applyBorder="1" applyAlignment="1">
      <alignment horizontal="center" vertical="center"/>
    </xf>
    <xf numFmtId="0" fontId="70" fillId="15" borderId="13" xfId="0" applyFont="1" applyFill="1" applyBorder="1" applyAlignment="1">
      <alignment horizontal="center" vertical="center"/>
    </xf>
    <xf numFmtId="0" fontId="70" fillId="13" borderId="11" xfId="0" applyFont="1" applyFill="1" applyBorder="1" applyAlignment="1">
      <alignment horizontal="center" vertical="center"/>
    </xf>
    <xf numFmtId="0" fontId="70" fillId="13" borderId="13" xfId="0" applyFont="1" applyFill="1" applyBorder="1" applyAlignment="1">
      <alignment horizontal="center" vertical="center"/>
    </xf>
    <xf numFmtId="0" fontId="70" fillId="14" borderId="11" xfId="0" applyFont="1" applyFill="1" applyBorder="1" applyAlignment="1">
      <alignment horizontal="center" vertical="center"/>
    </xf>
    <xf numFmtId="0" fontId="70" fillId="14" borderId="13" xfId="0" applyFont="1" applyFill="1" applyBorder="1" applyAlignment="1">
      <alignment horizontal="center" vertical="center"/>
    </xf>
    <xf numFmtId="0" fontId="70" fillId="17" borderId="11" xfId="0" applyFont="1" applyFill="1" applyBorder="1" applyAlignment="1">
      <alignment horizontal="center" vertical="center"/>
    </xf>
    <xf numFmtId="0" fontId="70" fillId="17" borderId="13" xfId="0" applyFont="1" applyFill="1" applyBorder="1" applyAlignment="1">
      <alignment horizontal="center" vertical="center"/>
    </xf>
    <xf numFmtId="0" fontId="70" fillId="17" borderId="47" xfId="0" applyFont="1" applyFill="1" applyBorder="1" applyAlignment="1">
      <alignment horizontal="center" vertical="center"/>
    </xf>
    <xf numFmtId="0" fontId="76" fillId="18" borderId="88" xfId="0" applyFont="1" applyFill="1" applyBorder="1" applyAlignment="1">
      <alignment horizontal="center" vertical="center"/>
    </xf>
    <xf numFmtId="0" fontId="76" fillId="18" borderId="84" xfId="0" applyFont="1" applyFill="1" applyBorder="1" applyAlignment="1">
      <alignment horizontal="center" vertical="center"/>
    </xf>
    <xf numFmtId="0" fontId="70" fillId="25" borderId="11" xfId="0" applyFont="1" applyFill="1" applyBorder="1" applyAlignment="1">
      <alignment horizontal="center" vertical="center"/>
    </xf>
    <xf numFmtId="0" fontId="70" fillId="25" borderId="12" xfId="0" applyFont="1" applyFill="1" applyBorder="1" applyAlignment="1">
      <alignment horizontal="center" vertical="center"/>
    </xf>
    <xf numFmtId="0" fontId="70" fillId="25" borderId="13" xfId="0" applyFont="1" applyFill="1" applyBorder="1" applyAlignment="1">
      <alignment horizontal="center" vertical="center"/>
    </xf>
    <xf numFmtId="167" fontId="77" fillId="22" borderId="11" xfId="0" applyNumberFormat="1" applyFont="1" applyFill="1" applyBorder="1" applyAlignment="1">
      <alignment horizontal="center" vertical="center"/>
    </xf>
    <xf numFmtId="167" fontId="77" fillId="22" borderId="12" xfId="0" applyNumberFormat="1" applyFont="1" applyFill="1" applyBorder="1" applyAlignment="1">
      <alignment horizontal="center" vertical="center"/>
    </xf>
    <xf numFmtId="167" fontId="77" fillId="22" borderId="13" xfId="0" applyNumberFormat="1" applyFont="1" applyFill="1" applyBorder="1" applyAlignment="1">
      <alignment horizontal="center" vertical="center"/>
    </xf>
    <xf numFmtId="0" fontId="77" fillId="21" borderId="47" xfId="0" applyFont="1" applyFill="1" applyBorder="1" applyAlignment="1">
      <alignment horizontal="center" vertical="center" wrapText="1"/>
    </xf>
    <xf numFmtId="0" fontId="77" fillId="21" borderId="12" xfId="0" applyFont="1" applyFill="1" applyBorder="1" applyAlignment="1">
      <alignment horizontal="center" vertical="center" wrapText="1"/>
    </xf>
    <xf numFmtId="0" fontId="77" fillId="21" borderId="13" xfId="0" applyFont="1" applyFill="1" applyBorder="1" applyAlignment="1">
      <alignment horizontal="center" vertical="center" wrapText="1"/>
    </xf>
    <xf numFmtId="49" fontId="78" fillId="0" borderId="17" xfId="0" applyNumberFormat="1" applyFont="1" applyBorder="1" applyAlignment="1">
      <alignment horizontal="center" vertical="center"/>
    </xf>
    <xf numFmtId="0" fontId="35" fillId="0" borderId="17" xfId="0" applyFont="1" applyBorder="1" applyAlignment="1">
      <alignment horizontal="left" vertical="center" wrapText="1" indent="1"/>
    </xf>
    <xf numFmtId="0" fontId="35" fillId="0" borderId="2" xfId="0" applyFont="1" applyBorder="1" applyAlignment="1">
      <alignment horizontal="left" vertical="center" wrapText="1" indent="1"/>
    </xf>
    <xf numFmtId="0" fontId="38" fillId="0" borderId="0" xfId="0" applyFont="1" applyAlignment="1">
      <alignment horizontal="left" vertical="center" wrapText="1" indent="1"/>
    </xf>
    <xf numFmtId="0" fontId="35" fillId="0" borderId="50" xfId="0" applyFont="1" applyBorder="1" applyAlignment="1">
      <alignment horizontal="left" vertical="center" indent="3"/>
    </xf>
    <xf numFmtId="0" fontId="35" fillId="0" borderId="52" xfId="0" applyFont="1" applyBorder="1" applyAlignment="1">
      <alignment horizontal="left" vertical="center" indent="3"/>
    </xf>
    <xf numFmtId="0" fontId="35" fillId="0" borderId="15" xfId="0" applyFont="1" applyBorder="1" applyAlignment="1">
      <alignment horizontal="left" vertical="center" indent="3"/>
    </xf>
    <xf numFmtId="0" fontId="35" fillId="0" borderId="26" xfId="0" applyFont="1" applyBorder="1" applyAlignment="1">
      <alignment horizontal="left" vertical="center" indent="3"/>
    </xf>
    <xf numFmtId="0" fontId="70" fillId="0" borderId="47" xfId="0" applyFont="1" applyBorder="1" applyAlignment="1" applyProtection="1">
      <alignment horizontal="center" vertical="center"/>
      <protection locked="0"/>
    </xf>
    <xf numFmtId="0" fontId="70" fillId="0" borderId="12" xfId="0" applyFont="1" applyBorder="1" applyAlignment="1" applyProtection="1">
      <alignment horizontal="center" vertical="center"/>
      <protection locked="0"/>
    </xf>
    <xf numFmtId="0" fontId="70" fillId="0" borderId="48" xfId="0" applyFont="1" applyBorder="1" applyAlignment="1" applyProtection="1">
      <alignment horizontal="center" vertical="center"/>
      <protection locked="0"/>
    </xf>
    <xf numFmtId="0" fontId="70" fillId="0" borderId="37" xfId="0" applyFont="1" applyBorder="1" applyAlignment="1" applyProtection="1">
      <alignment horizontal="center" vertical="center" wrapText="1"/>
      <protection locked="0"/>
    </xf>
    <xf numFmtId="0" fontId="70" fillId="0" borderId="38" xfId="0" applyFont="1" applyBorder="1" applyAlignment="1" applyProtection="1">
      <alignment horizontal="center" vertical="center" wrapText="1"/>
      <protection locked="0"/>
    </xf>
    <xf numFmtId="0" fontId="70" fillId="0" borderId="49" xfId="0" applyFont="1" applyBorder="1" applyAlignment="1" applyProtection="1">
      <alignment horizontal="center" vertical="center" wrapText="1"/>
      <protection locked="0"/>
    </xf>
    <xf numFmtId="0" fontId="35" fillId="0" borderId="0" xfId="0" applyFont="1" applyAlignment="1">
      <alignment horizontal="left" vertical="center" indent="3"/>
    </xf>
    <xf numFmtId="0" fontId="0" fillId="0" borderId="0" xfId="0" applyAlignment="1">
      <alignment horizontal="left"/>
    </xf>
    <xf numFmtId="0" fontId="35" fillId="0" borderId="23" xfId="0" applyFont="1" applyBorder="1" applyAlignment="1">
      <alignment horizontal="left" vertical="center" wrapText="1" indent="1"/>
    </xf>
    <xf numFmtId="0" fontId="35" fillId="0" borderId="27" xfId="0" applyFont="1" applyBorder="1" applyAlignment="1">
      <alignment horizontal="left" vertical="center" wrapText="1" indent="1"/>
    </xf>
    <xf numFmtId="0" fontId="47" fillId="0" borderId="4" xfId="0" applyFont="1" applyBorder="1" applyAlignment="1">
      <alignment horizontal="center"/>
    </xf>
    <xf numFmtId="0" fontId="12" fillId="0" borderId="9" xfId="0" applyFont="1" applyBorder="1" applyAlignment="1">
      <alignment horizontal="left" indent="3"/>
    </xf>
    <xf numFmtId="0" fontId="35" fillId="0" borderId="15" xfId="0" applyFont="1" applyBorder="1" applyAlignment="1">
      <alignment horizontal="left" vertical="center" wrapText="1" indent="1"/>
    </xf>
    <xf numFmtId="0" fontId="35" fillId="0" borderId="26" xfId="0" applyFont="1" applyBorder="1" applyAlignment="1">
      <alignment horizontal="left" vertical="center" wrapText="1" indent="1"/>
    </xf>
    <xf numFmtId="0" fontId="45" fillId="0" borderId="0" xfId="0" applyFont="1" applyAlignment="1">
      <alignment horizontal="center" vertical="center"/>
    </xf>
    <xf numFmtId="0" fontId="67" fillId="0" borderId="0" xfId="0" applyFont="1" applyAlignment="1">
      <alignment horizontal="center" vertical="center"/>
    </xf>
    <xf numFmtId="0" fontId="78" fillId="21" borderId="2" xfId="0" applyFont="1" applyFill="1" applyBorder="1" applyAlignment="1">
      <alignment horizontal="center" vertical="center"/>
    </xf>
    <xf numFmtId="0" fontId="70" fillId="0" borderId="2" xfId="0" applyFont="1" applyBorder="1" applyAlignment="1">
      <alignment horizontal="center" vertical="center"/>
    </xf>
    <xf numFmtId="167" fontId="78" fillId="22" borderId="2" xfId="0" applyNumberFormat="1" applyFont="1" applyFill="1" applyBorder="1" applyAlignment="1">
      <alignment horizontal="center" vertical="center"/>
    </xf>
    <xf numFmtId="167" fontId="70" fillId="0" borderId="2" xfId="0" applyNumberFormat="1" applyFont="1" applyBorder="1" applyAlignment="1">
      <alignment vertical="center"/>
    </xf>
    <xf numFmtId="0" fontId="78" fillId="23" borderId="2" xfId="0" applyFont="1" applyFill="1" applyBorder="1" applyAlignment="1">
      <alignment horizontal="center" vertical="center" wrapText="1"/>
    </xf>
    <xf numFmtId="0" fontId="75" fillId="0" borderId="2" xfId="0" applyFont="1" applyBorder="1" applyAlignment="1">
      <alignment horizontal="center" vertical="center" wrapText="1"/>
    </xf>
    <xf numFmtId="0" fontId="78" fillId="24" borderId="2" xfId="0" applyFont="1" applyFill="1" applyBorder="1" applyAlignment="1">
      <alignment horizontal="center" vertical="center" wrapText="1"/>
    </xf>
    <xf numFmtId="0" fontId="78" fillId="20" borderId="2" xfId="0" applyFont="1" applyFill="1" applyBorder="1" applyAlignment="1">
      <alignment horizontal="center" vertical="center" wrapText="1"/>
    </xf>
    <xf numFmtId="0" fontId="78" fillId="19" borderId="2" xfId="0" applyFont="1" applyFill="1" applyBorder="1" applyAlignment="1">
      <alignment horizontal="center" vertical="center" wrapText="1"/>
    </xf>
    <xf numFmtId="0" fontId="75" fillId="0" borderId="18" xfId="0" applyFont="1" applyBorder="1" applyAlignment="1">
      <alignment horizontal="center" vertical="center" wrapText="1"/>
    </xf>
    <xf numFmtId="0" fontId="76" fillId="18" borderId="3" xfId="0" applyFont="1" applyFill="1" applyBorder="1" applyAlignment="1">
      <alignment horizontal="center" vertical="center" wrapText="1"/>
    </xf>
    <xf numFmtId="0" fontId="76" fillId="18" borderId="4" xfId="0" applyFont="1" applyFill="1" applyBorder="1" applyAlignment="1">
      <alignment horizontal="center" vertical="center" wrapText="1"/>
    </xf>
    <xf numFmtId="0" fontId="76" fillId="18" borderId="89" xfId="0" applyFont="1" applyFill="1" applyBorder="1" applyAlignment="1">
      <alignment horizontal="center" vertical="center" wrapText="1"/>
    </xf>
    <xf numFmtId="0" fontId="79" fillId="18" borderId="86" xfId="0" applyFont="1" applyFill="1" applyBorder="1" applyAlignment="1">
      <alignment horizontal="center" vertical="center" wrapText="1"/>
    </xf>
    <xf numFmtId="0" fontId="79" fillId="18" borderId="87" xfId="0" applyFont="1" applyFill="1" applyBorder="1" applyAlignment="1">
      <alignment horizontal="center" vertical="center" wrapText="1"/>
    </xf>
    <xf numFmtId="0" fontId="79" fillId="18" borderId="56" xfId="0" applyFont="1" applyFill="1" applyBorder="1" applyAlignment="1">
      <alignment horizontal="center" vertical="center" wrapText="1"/>
    </xf>
    <xf numFmtId="0" fontId="70" fillId="0" borderId="47" xfId="0" applyFont="1" applyBorder="1" applyAlignment="1">
      <alignment horizontal="center" vertical="center"/>
    </xf>
    <xf numFmtId="0" fontId="70" fillId="0" borderId="12" xfId="0" applyFont="1" applyBorder="1" applyAlignment="1">
      <alignment horizontal="center" vertical="center"/>
    </xf>
    <xf numFmtId="0" fontId="70" fillId="0" borderId="48" xfId="0" applyFont="1" applyBorder="1" applyAlignment="1">
      <alignment horizontal="center" vertical="center"/>
    </xf>
    <xf numFmtId="0" fontId="70" fillId="0" borderId="47" xfId="0" applyFont="1" applyBorder="1" applyAlignment="1">
      <alignment horizontal="center" vertical="center" wrapText="1"/>
    </xf>
    <xf numFmtId="0" fontId="70" fillId="0" borderId="12" xfId="0" applyFont="1" applyBorder="1" applyAlignment="1">
      <alignment horizontal="center" vertical="center" wrapText="1"/>
    </xf>
    <xf numFmtId="0" fontId="70" fillId="0" borderId="48" xfId="0" applyFont="1" applyBorder="1" applyAlignment="1">
      <alignment horizontal="center" vertical="center" wrapText="1"/>
    </xf>
    <xf numFmtId="0" fontId="66" fillId="0" borderId="0" xfId="0" applyFont="1" applyAlignment="1">
      <alignment horizontal="center" vertical="center"/>
    </xf>
    <xf numFmtId="0" fontId="69" fillId="0" borderId="0" xfId="0" applyFont="1" applyAlignment="1">
      <alignment horizontal="center" vertical="center" wrapText="1"/>
    </xf>
    <xf numFmtId="0" fontId="35" fillId="0" borderId="27" xfId="0" applyFont="1" applyBorder="1" applyAlignment="1">
      <alignment horizontal="center" vertical="center"/>
    </xf>
    <xf numFmtId="0" fontId="35" fillId="0" borderId="13" xfId="0" applyFont="1" applyBorder="1" applyAlignment="1">
      <alignment horizontal="center" vertical="center"/>
    </xf>
    <xf numFmtId="0" fontId="35" fillId="0" borderId="2" xfId="0" applyFont="1" applyBorder="1" applyAlignment="1">
      <alignment horizontal="center" vertical="center"/>
    </xf>
    <xf numFmtId="0" fontId="35" fillId="0" borderId="39" xfId="0" applyFont="1" applyBorder="1" applyAlignment="1">
      <alignment horizontal="center" vertical="center"/>
    </xf>
    <xf numFmtId="172" fontId="35" fillId="0" borderId="2" xfId="0" applyNumberFormat="1" applyFont="1" applyBorder="1" applyAlignment="1">
      <alignment horizontal="center" vertical="center"/>
    </xf>
    <xf numFmtId="12" fontId="35" fillId="13" borderId="15" xfId="0" applyNumberFormat="1" applyFont="1" applyFill="1" applyBorder="1" applyAlignment="1" applyProtection="1">
      <alignment horizontal="center" vertical="center"/>
      <protection locked="0"/>
    </xf>
    <xf numFmtId="12" fontId="35" fillId="13" borderId="30" xfId="0" applyNumberFormat="1" applyFont="1" applyFill="1" applyBorder="1" applyAlignment="1" applyProtection="1">
      <alignment horizontal="center" vertical="center"/>
      <protection locked="0"/>
    </xf>
    <xf numFmtId="12" fontId="35" fillId="13" borderId="47" xfId="0" applyNumberFormat="1" applyFont="1" applyFill="1" applyBorder="1" applyAlignment="1" applyProtection="1">
      <alignment horizontal="center" vertical="center"/>
      <protection locked="0"/>
    </xf>
    <xf numFmtId="12" fontId="35" fillId="13" borderId="48" xfId="0" applyNumberFormat="1" applyFont="1" applyFill="1" applyBorder="1" applyAlignment="1" applyProtection="1">
      <alignment horizontal="center" vertical="center"/>
      <protection locked="0"/>
    </xf>
    <xf numFmtId="0" fontId="39" fillId="13" borderId="47" xfId="0" applyFont="1" applyFill="1" applyBorder="1" applyAlignment="1" applyProtection="1">
      <alignment horizontal="center" vertical="center"/>
      <protection locked="0"/>
    </xf>
    <xf numFmtId="0" fontId="39" fillId="13" borderId="12" xfId="0" applyFont="1" applyFill="1" applyBorder="1" applyAlignment="1" applyProtection="1">
      <alignment horizontal="center" vertical="center"/>
      <protection locked="0"/>
    </xf>
    <xf numFmtId="0" fontId="39" fillId="13" borderId="48" xfId="0" applyFont="1" applyFill="1" applyBorder="1" applyAlignment="1" applyProtection="1">
      <alignment horizontal="center" vertical="center"/>
      <protection locked="0"/>
    </xf>
    <xf numFmtId="0" fontId="39" fillId="13" borderId="17" xfId="0" applyFont="1" applyFill="1" applyBorder="1" applyAlignment="1" applyProtection="1">
      <alignment horizontal="center" vertical="center"/>
      <protection locked="0"/>
    </xf>
    <xf numFmtId="0" fontId="39" fillId="13" borderId="2" xfId="0" applyFont="1" applyFill="1" applyBorder="1" applyAlignment="1" applyProtection="1">
      <alignment horizontal="center" vertical="center"/>
      <protection locked="0"/>
    </xf>
    <xf numFmtId="0" fontId="39" fillId="13" borderId="18" xfId="0" applyFont="1" applyFill="1" applyBorder="1" applyAlignment="1" applyProtection="1">
      <alignment horizontal="center" vertical="center"/>
      <protection locked="0"/>
    </xf>
    <xf numFmtId="0" fontId="39" fillId="13" borderId="23" xfId="0" applyFont="1" applyFill="1" applyBorder="1" applyAlignment="1" applyProtection="1">
      <alignment horizontal="center" vertical="center"/>
      <protection locked="0"/>
    </xf>
    <xf numFmtId="0" fontId="39" fillId="13" borderId="27" xfId="0" applyFont="1" applyFill="1" applyBorder="1" applyAlignment="1" applyProtection="1">
      <alignment horizontal="center" vertical="center"/>
      <protection locked="0"/>
    </xf>
    <xf numFmtId="0" fontId="39" fillId="13" borderId="24" xfId="0" applyFont="1" applyFill="1" applyBorder="1" applyAlignment="1" applyProtection="1">
      <alignment horizontal="center" vertical="center"/>
      <protection locked="0"/>
    </xf>
    <xf numFmtId="12" fontId="35" fillId="13" borderId="17" xfId="0" applyNumberFormat="1" applyFont="1" applyFill="1" applyBorder="1" applyAlignment="1" applyProtection="1">
      <alignment horizontal="center" vertical="center"/>
      <protection locked="0"/>
    </xf>
    <xf numFmtId="12" fontId="35" fillId="13" borderId="11" xfId="0" applyNumberFormat="1" applyFont="1" applyFill="1" applyBorder="1" applyAlignment="1" applyProtection="1">
      <alignment horizontal="center" vertical="center"/>
      <protection locked="0"/>
    </xf>
    <xf numFmtId="12" fontId="35" fillId="13" borderId="23" xfId="0" applyNumberFormat="1" applyFont="1" applyFill="1" applyBorder="1" applyAlignment="1" applyProtection="1">
      <alignment horizontal="center" vertical="center"/>
      <protection locked="0"/>
    </xf>
    <xf numFmtId="12" fontId="35" fillId="13" borderId="31" xfId="0" applyNumberFormat="1" applyFont="1" applyFill="1" applyBorder="1" applyAlignment="1" applyProtection="1">
      <alignment horizontal="center" vertical="center"/>
      <protection locked="0"/>
    </xf>
    <xf numFmtId="0" fontId="39" fillId="0" borderId="3" xfId="0" applyFont="1" applyBorder="1" applyAlignment="1">
      <alignment horizontal="center" vertical="center"/>
    </xf>
    <xf numFmtId="0" fontId="39" fillId="0" borderId="4" xfId="0" applyFont="1" applyBorder="1" applyAlignment="1">
      <alignment horizontal="center" vertical="center"/>
    </xf>
    <xf numFmtId="0" fontId="39" fillId="0" borderId="5" xfId="0" applyFont="1" applyBorder="1" applyAlignment="1">
      <alignment horizontal="center" vertical="center"/>
    </xf>
    <xf numFmtId="0" fontId="39" fillId="0" borderId="6" xfId="0" applyFont="1" applyBorder="1" applyAlignment="1">
      <alignment horizontal="center" vertical="center"/>
    </xf>
    <xf numFmtId="0" fontId="39" fillId="0" borderId="0" xfId="0" applyFont="1" applyAlignment="1">
      <alignment horizontal="center" vertical="center"/>
    </xf>
    <xf numFmtId="0" fontId="39" fillId="0" borderId="7" xfId="0" applyFont="1" applyBorder="1" applyAlignment="1">
      <alignment horizontal="center" vertical="center"/>
    </xf>
    <xf numFmtId="0" fontId="39" fillId="0" borderId="8" xfId="0" applyFont="1" applyBorder="1" applyAlignment="1">
      <alignment horizontal="center" vertical="center"/>
    </xf>
    <xf numFmtId="0" fontId="39" fillId="0" borderId="9" xfId="0" applyFont="1" applyBorder="1" applyAlignment="1">
      <alignment horizontal="center" vertical="center"/>
    </xf>
    <xf numFmtId="0" fontId="39" fillId="0" borderId="10" xfId="0" applyFont="1" applyBorder="1" applyAlignment="1">
      <alignment horizontal="center" vertical="center"/>
    </xf>
    <xf numFmtId="0" fontId="37" fillId="13" borderId="13" xfId="0" applyFont="1" applyFill="1" applyBorder="1" applyAlignment="1" applyProtection="1">
      <alignment horizontal="center" vertical="center" wrapText="1"/>
      <protection locked="0"/>
    </xf>
    <xf numFmtId="0" fontId="37" fillId="13" borderId="2" xfId="0" applyFont="1" applyFill="1" applyBorder="1" applyAlignment="1" applyProtection="1">
      <alignment horizontal="center" vertical="center" wrapText="1"/>
      <protection locked="0"/>
    </xf>
    <xf numFmtId="0" fontId="37" fillId="13" borderId="11" xfId="0" applyFont="1" applyFill="1" applyBorder="1" applyAlignment="1" applyProtection="1">
      <alignment horizontal="center" vertical="center" wrapText="1"/>
      <protection locked="0"/>
    </xf>
    <xf numFmtId="0" fontId="37" fillId="13" borderId="47" xfId="0" applyFont="1" applyFill="1" applyBorder="1" applyAlignment="1" applyProtection="1">
      <alignment horizontal="center" vertical="center" wrapText="1"/>
      <protection locked="0"/>
    </xf>
    <xf numFmtId="0" fontId="37" fillId="13" borderId="12" xfId="0" applyFont="1" applyFill="1" applyBorder="1" applyAlignment="1" applyProtection="1">
      <alignment horizontal="center" vertical="center" wrapText="1"/>
      <protection locked="0"/>
    </xf>
    <xf numFmtId="0" fontId="37" fillId="13" borderId="48" xfId="0" applyFont="1" applyFill="1" applyBorder="1" applyAlignment="1" applyProtection="1">
      <alignment horizontal="center" vertical="center" wrapText="1"/>
      <protection locked="0"/>
    </xf>
    <xf numFmtId="0" fontId="37" fillId="13" borderId="39" xfId="0" applyFont="1" applyFill="1" applyBorder="1" applyAlignment="1" applyProtection="1">
      <alignment horizontal="center" vertical="center" wrapText="1"/>
      <protection locked="0"/>
    </xf>
    <xf numFmtId="0" fontId="37" fillId="13" borderId="27" xfId="0" applyFont="1" applyFill="1" applyBorder="1" applyAlignment="1" applyProtection="1">
      <alignment horizontal="center" vertical="center" wrapText="1"/>
      <protection locked="0"/>
    </xf>
    <xf numFmtId="0" fontId="37" fillId="13" borderId="31" xfId="0" applyFont="1" applyFill="1" applyBorder="1" applyAlignment="1" applyProtection="1">
      <alignment horizontal="center" vertical="center" wrapText="1"/>
      <protection locked="0"/>
    </xf>
    <xf numFmtId="0" fontId="42" fillId="0" borderId="0" xfId="0" applyFont="1" applyAlignment="1">
      <alignment horizontal="center" vertical="center"/>
    </xf>
    <xf numFmtId="0" fontId="42" fillId="0" borderId="9" xfId="0" applyFont="1" applyBorder="1" applyAlignment="1">
      <alignment horizontal="center" vertical="center"/>
    </xf>
    <xf numFmtId="0" fontId="14" fillId="0" borderId="3" xfId="0" applyFont="1" applyBorder="1" applyAlignment="1">
      <alignment horizontal="left" vertical="center"/>
    </xf>
    <xf numFmtId="0" fontId="14" fillId="0" borderId="4" xfId="0" applyFont="1" applyBorder="1" applyAlignment="1">
      <alignment horizontal="left" vertical="center"/>
    </xf>
    <xf numFmtId="0" fontId="14" fillId="0" borderId="5" xfId="0" applyFont="1" applyBorder="1" applyAlignment="1">
      <alignment horizontal="left" vertical="center"/>
    </xf>
    <xf numFmtId="0" fontId="41" fillId="13" borderId="6" xfId="0" applyFont="1" applyFill="1" applyBorder="1" applyAlignment="1" applyProtection="1">
      <alignment horizontal="center" vertical="center"/>
      <protection locked="0"/>
    </xf>
    <xf numFmtId="0" fontId="41" fillId="13" borderId="0" xfId="0" applyFont="1" applyFill="1" applyAlignment="1" applyProtection="1">
      <alignment horizontal="center" vertical="center"/>
      <protection locked="0"/>
    </xf>
    <xf numFmtId="0" fontId="41" fillId="13" borderId="7" xfId="0" applyFont="1" applyFill="1" applyBorder="1" applyAlignment="1" applyProtection="1">
      <alignment horizontal="center" vertical="center"/>
      <protection locked="0"/>
    </xf>
    <xf numFmtId="0" fontId="41" fillId="13" borderId="8" xfId="0" applyFont="1" applyFill="1" applyBorder="1" applyAlignment="1" applyProtection="1">
      <alignment horizontal="center" vertical="center"/>
      <protection locked="0"/>
    </xf>
    <xf numFmtId="0" fontId="41" fillId="13" borderId="9" xfId="0" applyFont="1" applyFill="1" applyBorder="1" applyAlignment="1" applyProtection="1">
      <alignment horizontal="center" vertical="center"/>
      <protection locked="0"/>
    </xf>
    <xf numFmtId="0" fontId="41" fillId="13" borderId="10" xfId="0" applyFont="1" applyFill="1" applyBorder="1" applyAlignment="1" applyProtection="1">
      <alignment horizontal="center" vertical="center"/>
      <protection locked="0"/>
    </xf>
    <xf numFmtId="0" fontId="16" fillId="0" borderId="15" xfId="0" applyFont="1" applyBorder="1" applyAlignment="1">
      <alignment horizontal="center" vertical="center"/>
    </xf>
    <xf numFmtId="0" fontId="16" fillId="0" borderId="26" xfId="0" applyFont="1" applyBorder="1" applyAlignment="1">
      <alignment horizontal="center" vertical="center"/>
    </xf>
    <xf numFmtId="0" fontId="16" fillId="0" borderId="16" xfId="0" applyFont="1" applyBorder="1" applyAlignment="1">
      <alignment horizontal="center" vertical="center"/>
    </xf>
    <xf numFmtId="0" fontId="16" fillId="0" borderId="23" xfId="0" applyFont="1" applyBorder="1" applyAlignment="1">
      <alignment horizontal="center" vertical="center"/>
    </xf>
    <xf numFmtId="0" fontId="16" fillId="0" borderId="27" xfId="0" applyFont="1" applyBorder="1" applyAlignment="1">
      <alignment horizontal="center" vertical="center"/>
    </xf>
    <xf numFmtId="0" fontId="16" fillId="0" borderId="24" xfId="0" applyFont="1" applyBorder="1" applyAlignment="1">
      <alignment horizontal="center" vertical="center"/>
    </xf>
    <xf numFmtId="0" fontId="13" fillId="0" borderId="0" xfId="0" applyFont="1" applyAlignment="1">
      <alignment horizontal="center" vertical="center"/>
    </xf>
    <xf numFmtId="0" fontId="15" fillId="0" borderId="15" xfId="0" applyFont="1" applyBorder="1" applyAlignment="1">
      <alignment horizontal="center" vertical="center"/>
    </xf>
    <xf numFmtId="0" fontId="15" fillId="0" borderId="26" xfId="0" applyFont="1" applyBorder="1" applyAlignment="1">
      <alignment horizontal="center" vertical="center"/>
    </xf>
    <xf numFmtId="0" fontId="15" fillId="0" borderId="30" xfId="0" applyFont="1" applyBorder="1" applyAlignment="1">
      <alignment horizontal="center" vertical="center"/>
    </xf>
    <xf numFmtId="0" fontId="15" fillId="0" borderId="33" xfId="0" applyFont="1" applyBorder="1" applyAlignment="1">
      <alignment horizontal="center" vertical="center"/>
    </xf>
    <xf numFmtId="0" fontId="15" fillId="0" borderId="14" xfId="0" applyFont="1" applyBorder="1" applyAlignment="1">
      <alignment horizontal="center" vertical="center"/>
    </xf>
    <xf numFmtId="0" fontId="15" fillId="0" borderId="45" xfId="0" applyFont="1" applyBorder="1" applyAlignment="1">
      <alignment horizontal="center" vertical="center"/>
    </xf>
    <xf numFmtId="0" fontId="21" fillId="0" borderId="15" xfId="0" applyFont="1" applyBorder="1" applyAlignment="1">
      <alignment horizontal="center" vertical="center"/>
    </xf>
    <xf numFmtId="0" fontId="21" fillId="0" borderId="16" xfId="0" applyFont="1" applyBorder="1" applyAlignment="1">
      <alignment horizontal="center" vertical="center"/>
    </xf>
    <xf numFmtId="0" fontId="21" fillId="0" borderId="33" xfId="0" applyFont="1" applyBorder="1" applyAlignment="1">
      <alignment horizontal="center" vertical="center"/>
    </xf>
    <xf numFmtId="0" fontId="21" fillId="0" borderId="32" xfId="0" applyFont="1" applyBorder="1" applyAlignment="1">
      <alignment horizontal="center" vertical="center"/>
    </xf>
    <xf numFmtId="0" fontId="39" fillId="0" borderId="41" xfId="0" applyFont="1" applyBorder="1" applyAlignment="1">
      <alignment horizontal="center" vertical="center"/>
    </xf>
    <xf numFmtId="0" fontId="39" fillId="0" borderId="42" xfId="0" applyFont="1" applyBorder="1" applyAlignment="1">
      <alignment horizontal="center" vertical="center"/>
    </xf>
    <xf numFmtId="0" fontId="39" fillId="0" borderId="62" xfId="0" applyFont="1" applyBorder="1" applyAlignment="1">
      <alignment horizontal="center" vertical="center"/>
    </xf>
    <xf numFmtId="0" fontId="39" fillId="0" borderId="61" xfId="0" applyFont="1" applyBorder="1" applyAlignment="1">
      <alignment horizontal="center" vertical="center"/>
    </xf>
    <xf numFmtId="0" fontId="39" fillId="0" borderId="40" xfId="0" applyFont="1" applyBorder="1" applyAlignment="1">
      <alignment horizontal="center" vertical="center"/>
    </xf>
    <xf numFmtId="0" fontId="35" fillId="0" borderId="18" xfId="0" applyFont="1" applyBorder="1" applyAlignment="1">
      <alignment horizontal="center" vertical="center"/>
    </xf>
    <xf numFmtId="0" fontId="35" fillId="0" borderId="24" xfId="0" applyFont="1" applyBorder="1" applyAlignment="1">
      <alignment horizontal="center" vertical="center"/>
    </xf>
    <xf numFmtId="10" fontId="35" fillId="0" borderId="2" xfId="0" applyNumberFormat="1" applyFont="1" applyBorder="1" applyAlignment="1">
      <alignment horizontal="center" vertical="center"/>
    </xf>
    <xf numFmtId="10" fontId="35" fillId="0" borderId="27" xfId="0" applyNumberFormat="1" applyFont="1" applyBorder="1" applyAlignment="1">
      <alignment horizontal="center" vertical="center"/>
    </xf>
    <xf numFmtId="0" fontId="33" fillId="0" borderId="40" xfId="0" applyFont="1" applyBorder="1" applyAlignment="1">
      <alignment horizontal="left" vertical="center"/>
    </xf>
    <xf numFmtId="0" fontId="33" fillId="0" borderId="41" xfId="0" applyFont="1" applyBorder="1" applyAlignment="1">
      <alignment horizontal="left" vertical="center"/>
    </xf>
    <xf numFmtId="0" fontId="32" fillId="0" borderId="41" xfId="0" applyFont="1" applyBorder="1" applyAlignment="1">
      <alignment horizontal="left"/>
    </xf>
    <xf numFmtId="0" fontId="32" fillId="0" borderId="42" xfId="0" applyFont="1" applyBorder="1" applyAlignment="1">
      <alignment horizontal="left"/>
    </xf>
    <xf numFmtId="0" fontId="22" fillId="0" borderId="26" xfId="0" applyFont="1" applyBorder="1" applyAlignment="1">
      <alignment horizontal="center" vertical="center" wrapText="1"/>
    </xf>
    <xf numFmtId="0" fontId="22" fillId="0" borderId="2" xfId="0" applyFont="1" applyBorder="1" applyAlignment="1">
      <alignment horizontal="center" vertical="center" wrapText="1"/>
    </xf>
    <xf numFmtId="0" fontId="30" fillId="0" borderId="15" xfId="0" applyFont="1" applyBorder="1" applyAlignment="1">
      <alignment horizontal="center" vertical="center" wrapText="1"/>
    </xf>
    <xf numFmtId="0" fontId="30" fillId="0" borderId="26" xfId="0" applyFont="1" applyBorder="1" applyAlignment="1">
      <alignment horizontal="center" vertical="center" wrapText="1"/>
    </xf>
    <xf numFmtId="0" fontId="30" fillId="0" borderId="17" xfId="0" applyFont="1" applyBorder="1" applyAlignment="1">
      <alignment horizontal="center" vertical="center" wrapText="1"/>
    </xf>
    <xf numFmtId="0" fontId="30" fillId="0" borderId="2" xfId="0" applyFont="1" applyBorder="1" applyAlignment="1">
      <alignment horizontal="center" vertical="center" wrapText="1"/>
    </xf>
    <xf numFmtId="0" fontId="24" fillId="0" borderId="0" xfId="0" applyFont="1" applyAlignment="1">
      <alignment horizontal="right" vertical="center"/>
    </xf>
    <xf numFmtId="0" fontId="24" fillId="0" borderId="7" xfId="0" applyFont="1" applyBorder="1" applyAlignment="1">
      <alignment horizontal="right" vertical="center"/>
    </xf>
    <xf numFmtId="0" fontId="39" fillId="13" borderId="3" xfId="0" applyFont="1" applyFill="1" applyBorder="1" applyAlignment="1" applyProtection="1">
      <alignment horizontal="center" vertical="center" wrapText="1"/>
      <protection locked="0"/>
    </xf>
    <xf numFmtId="0" fontId="39" fillId="13" borderId="4" xfId="0" applyFont="1" applyFill="1" applyBorder="1" applyAlignment="1" applyProtection="1">
      <alignment horizontal="center" vertical="center" wrapText="1"/>
      <protection locked="0"/>
    </xf>
    <xf numFmtId="0" fontId="39" fillId="13" borderId="5" xfId="0" applyFont="1" applyFill="1" applyBorder="1" applyAlignment="1" applyProtection="1">
      <alignment horizontal="center" vertical="center" wrapText="1"/>
      <protection locked="0"/>
    </xf>
    <xf numFmtId="0" fontId="39" fillId="13" borderId="8" xfId="0" applyFont="1" applyFill="1" applyBorder="1" applyAlignment="1" applyProtection="1">
      <alignment horizontal="center" vertical="center" wrapText="1"/>
      <protection locked="0"/>
    </xf>
    <xf numFmtId="0" fontId="39" fillId="13" borderId="9" xfId="0" applyFont="1" applyFill="1" applyBorder="1" applyAlignment="1" applyProtection="1">
      <alignment horizontal="center" vertical="center" wrapText="1"/>
      <protection locked="0"/>
    </xf>
    <xf numFmtId="0" fontId="39" fillId="13" borderId="10" xfId="0" applyFont="1" applyFill="1" applyBorder="1" applyAlignment="1" applyProtection="1">
      <alignment horizontal="center" vertical="center" wrapText="1"/>
      <protection locked="0"/>
    </xf>
    <xf numFmtId="0" fontId="12" fillId="0" borderId="44" xfId="0" applyFont="1" applyBorder="1" applyAlignment="1">
      <alignment horizontal="center" vertical="center"/>
    </xf>
    <xf numFmtId="0" fontId="12" fillId="0" borderId="5" xfId="0" applyFont="1" applyBorder="1" applyAlignment="1">
      <alignment horizontal="center" vertical="center"/>
    </xf>
    <xf numFmtId="0" fontId="12" fillId="0" borderId="55" xfId="0" applyFont="1" applyBorder="1" applyAlignment="1">
      <alignment horizontal="center" vertical="center"/>
    </xf>
    <xf numFmtId="0" fontId="12" fillId="0" borderId="56" xfId="0" applyFont="1" applyBorder="1" applyAlignment="1">
      <alignment horizontal="center" vertical="center"/>
    </xf>
    <xf numFmtId="0" fontId="12" fillId="0" borderId="26" xfId="0" applyFont="1" applyBorder="1" applyAlignment="1">
      <alignment horizontal="center" vertical="center"/>
    </xf>
    <xf numFmtId="0" fontId="12" fillId="0" borderId="2" xfId="0" applyFont="1" applyBorder="1" applyAlignment="1">
      <alignment horizontal="center" vertical="center"/>
    </xf>
    <xf numFmtId="0" fontId="39" fillId="13" borderId="15" xfId="0" applyFont="1" applyFill="1" applyBorder="1" applyAlignment="1" applyProtection="1">
      <alignment horizontal="center" vertical="center"/>
      <protection locked="0"/>
    </xf>
    <xf numFmtId="0" fontId="39" fillId="13" borderId="26" xfId="0" applyFont="1" applyFill="1" applyBorder="1" applyAlignment="1" applyProtection="1">
      <alignment horizontal="center" vertical="center"/>
      <protection locked="0"/>
    </xf>
    <xf numFmtId="0" fontId="39" fillId="13" borderId="16" xfId="0" applyFont="1" applyFill="1" applyBorder="1" applyAlignment="1" applyProtection="1">
      <alignment horizontal="center" vertical="center"/>
      <protection locked="0"/>
    </xf>
    <xf numFmtId="0" fontId="37" fillId="13" borderId="36" xfId="0" applyFont="1" applyFill="1" applyBorder="1" applyAlignment="1" applyProtection="1">
      <alignment horizontal="center" vertical="center" wrapText="1"/>
      <protection locked="0"/>
    </xf>
    <xf numFmtId="0" fontId="37" fillId="13" borderId="26" xfId="0" applyFont="1" applyFill="1" applyBorder="1" applyAlignment="1" applyProtection="1">
      <alignment horizontal="center" vertical="center" wrapText="1"/>
      <protection locked="0"/>
    </xf>
    <xf numFmtId="0" fontId="37" fillId="13" borderId="30" xfId="0" applyFont="1" applyFill="1" applyBorder="1" applyAlignment="1" applyProtection="1">
      <alignment horizontal="center" vertical="center" wrapText="1"/>
      <protection locked="0"/>
    </xf>
    <xf numFmtId="0" fontId="35" fillId="0" borderId="33" xfId="0" applyFont="1" applyBorder="1" applyAlignment="1">
      <alignment horizontal="left" vertical="center" wrapText="1" indent="1"/>
    </xf>
    <xf numFmtId="0" fontId="35" fillId="0" borderId="14" xfId="0" applyFont="1" applyBorder="1" applyAlignment="1">
      <alignment horizontal="left" vertical="center" wrapText="1" indent="1"/>
    </xf>
    <xf numFmtId="0" fontId="73" fillId="12" borderId="58" xfId="0" applyFont="1" applyFill="1" applyBorder="1" applyAlignment="1" applyProtection="1">
      <alignment horizontal="center" textRotation="90" wrapText="1"/>
      <protection locked="0"/>
    </xf>
    <xf numFmtId="0" fontId="73" fillId="13" borderId="53" xfId="0" applyFont="1" applyFill="1" applyBorder="1" applyAlignment="1" applyProtection="1">
      <alignment horizontal="center" textRotation="90" wrapText="1"/>
      <protection locked="0"/>
    </xf>
    <xf numFmtId="0" fontId="73" fillId="13" borderId="28" xfId="0" applyFont="1" applyFill="1" applyBorder="1" applyAlignment="1" applyProtection="1">
      <alignment horizontal="center" textRotation="90" wrapText="1"/>
      <protection locked="0"/>
    </xf>
    <xf numFmtId="0" fontId="35" fillId="0" borderId="17" xfId="0" applyFont="1" applyBorder="1" applyAlignment="1">
      <alignment horizontal="left" vertical="center" indent="3"/>
    </xf>
    <xf numFmtId="0" fontId="35" fillId="0" borderId="2" xfId="0" applyFont="1" applyBorder="1" applyAlignment="1">
      <alignment horizontal="left" vertical="center" indent="3"/>
    </xf>
    <xf numFmtId="0" fontId="35" fillId="0" borderId="23" xfId="0" applyFont="1" applyBorder="1" applyAlignment="1">
      <alignment horizontal="left" vertical="center" indent="3"/>
    </xf>
    <xf numFmtId="0" fontId="35" fillId="0" borderId="27" xfId="0" applyFont="1" applyBorder="1" applyAlignment="1">
      <alignment horizontal="left" vertical="center" indent="3"/>
    </xf>
    <xf numFmtId="0" fontId="38" fillId="0" borderId="9" xfId="0" applyFont="1" applyBorder="1" applyAlignment="1">
      <alignment horizontal="center"/>
    </xf>
    <xf numFmtId="16" fontId="73" fillId="13" borderId="58" xfId="0" applyNumberFormat="1" applyFont="1" applyFill="1" applyBorder="1" applyAlignment="1" applyProtection="1">
      <alignment horizontal="center" textRotation="90" wrapText="1"/>
      <protection locked="0"/>
    </xf>
    <xf numFmtId="16" fontId="73" fillId="13" borderId="53" xfId="0" applyNumberFormat="1" applyFont="1" applyFill="1" applyBorder="1" applyAlignment="1" applyProtection="1">
      <alignment horizontal="center" textRotation="90" wrapText="1"/>
      <protection locked="0"/>
    </xf>
    <xf numFmtId="16" fontId="73" fillId="13" borderId="28" xfId="0" applyNumberFormat="1" applyFont="1" applyFill="1" applyBorder="1" applyAlignment="1" applyProtection="1">
      <alignment horizontal="center" textRotation="90" wrapText="1"/>
      <protection locked="0"/>
    </xf>
    <xf numFmtId="0" fontId="73" fillId="13" borderId="58" xfId="0" applyFont="1" applyFill="1" applyBorder="1" applyAlignment="1" applyProtection="1">
      <alignment horizontal="center" textRotation="90" wrapText="1"/>
      <protection locked="0"/>
    </xf>
    <xf numFmtId="0" fontId="47" fillId="0" borderId="9" xfId="0" applyFont="1" applyBorder="1" applyAlignment="1">
      <alignment horizontal="left" indent="1"/>
    </xf>
    <xf numFmtId="14" fontId="12" fillId="0" borderId="17" xfId="0" applyNumberFormat="1" applyFont="1" applyBorder="1" applyAlignment="1">
      <alignment horizontal="center" vertical="center"/>
    </xf>
    <xf numFmtId="14" fontId="12" fillId="0" borderId="2" xfId="0" applyNumberFormat="1" applyFont="1" applyBorder="1" applyAlignment="1">
      <alignment horizontal="center" vertical="center"/>
    </xf>
    <xf numFmtId="14" fontId="12" fillId="0" borderId="23" xfId="0" applyNumberFormat="1" applyFont="1" applyBorder="1" applyAlignment="1">
      <alignment horizontal="center" vertical="center"/>
    </xf>
    <xf numFmtId="14" fontId="12" fillId="0" borderId="27" xfId="0" applyNumberFormat="1" applyFont="1" applyBorder="1" applyAlignment="1">
      <alignment horizontal="center" vertical="center"/>
    </xf>
    <xf numFmtId="0" fontId="12" fillId="0" borderId="26" xfId="0" applyFont="1" applyBorder="1" applyAlignment="1">
      <alignment vertical="center"/>
    </xf>
    <xf numFmtId="0" fontId="12" fillId="0" borderId="16" xfId="0" applyFont="1" applyBorder="1" applyAlignment="1">
      <alignment vertical="center"/>
    </xf>
    <xf numFmtId="0" fontId="12" fillId="0" borderId="2" xfId="0" applyFont="1" applyBorder="1" applyAlignment="1">
      <alignment vertical="center"/>
    </xf>
    <xf numFmtId="0" fontId="12" fillId="0" borderId="18" xfId="0" applyFont="1" applyBorder="1" applyAlignment="1">
      <alignment vertical="center"/>
    </xf>
    <xf numFmtId="0" fontId="12" fillId="0" borderId="27" xfId="0" applyFont="1" applyBorder="1" applyAlignment="1">
      <alignment vertical="center"/>
    </xf>
    <xf numFmtId="0" fontId="12" fillId="0" borderId="24" xfId="0" applyFont="1" applyBorder="1" applyAlignment="1">
      <alignment vertical="center"/>
    </xf>
    <xf numFmtId="14" fontId="12" fillId="0" borderId="15" xfId="0" applyNumberFormat="1" applyFont="1" applyBorder="1" applyAlignment="1">
      <alignment horizontal="center" vertical="center"/>
    </xf>
    <xf numFmtId="14" fontId="12" fillId="0" borderId="26" xfId="0" applyNumberFormat="1" applyFont="1" applyBorder="1" applyAlignment="1">
      <alignment horizontal="center" vertical="center"/>
    </xf>
    <xf numFmtId="0" fontId="43" fillId="0" borderId="3" xfId="0" applyFont="1" applyBorder="1" applyAlignment="1">
      <alignment horizontal="left" vertical="top"/>
    </xf>
    <xf numFmtId="0" fontId="43" fillId="0" borderId="4" xfId="0" applyFont="1" applyBorder="1" applyAlignment="1">
      <alignment horizontal="left" vertical="top"/>
    </xf>
    <xf numFmtId="0" fontId="43" fillId="0" borderId="5" xfId="0" applyFont="1" applyBorder="1" applyAlignment="1">
      <alignment horizontal="left" vertical="top"/>
    </xf>
    <xf numFmtId="0" fontId="43" fillId="0" borderId="6" xfId="0" applyFont="1" applyBorder="1" applyAlignment="1">
      <alignment horizontal="left" vertical="top"/>
    </xf>
    <xf numFmtId="0" fontId="43" fillId="0" borderId="0" xfId="0" applyFont="1" applyAlignment="1">
      <alignment horizontal="left" vertical="top"/>
    </xf>
    <xf numFmtId="0" fontId="43" fillId="0" borderId="7" xfId="0" applyFont="1" applyBorder="1" applyAlignment="1">
      <alignment horizontal="left" vertical="top"/>
    </xf>
    <xf numFmtId="0" fontId="0" fillId="0" borderId="6" xfId="0" applyBorder="1" applyAlignment="1">
      <alignment horizontal="left" vertical="top" wrapText="1"/>
    </xf>
    <xf numFmtId="0" fontId="0" fillId="0" borderId="0" xfId="0"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0" fontId="32" fillId="0" borderId="3" xfId="0" applyFont="1" applyBorder="1" applyAlignment="1">
      <alignment horizontal="left" vertical="top"/>
    </xf>
    <xf numFmtId="0" fontId="32" fillId="0" borderId="4" xfId="0" applyFont="1" applyBorder="1" applyAlignment="1">
      <alignment horizontal="left" vertical="top"/>
    </xf>
    <xf numFmtId="0" fontId="32" fillId="0" borderId="5" xfId="0" applyFont="1" applyBorder="1" applyAlignment="1">
      <alignment horizontal="left" vertical="top"/>
    </xf>
    <xf numFmtId="0" fontId="32" fillId="0" borderId="3" xfId="0" applyFont="1" applyBorder="1" applyAlignment="1">
      <alignment horizontal="left" vertical="top" wrapText="1"/>
    </xf>
    <xf numFmtId="0" fontId="32" fillId="0" borderId="4" xfId="0" applyFont="1" applyBorder="1" applyAlignment="1">
      <alignment horizontal="left" vertical="top" wrapText="1"/>
    </xf>
    <xf numFmtId="0" fontId="32" fillId="0" borderId="5" xfId="0" applyFont="1" applyBorder="1" applyAlignment="1">
      <alignment horizontal="left" vertical="top" wrapText="1"/>
    </xf>
    <xf numFmtId="0" fontId="0" fillId="0" borderId="7" xfId="0" applyBorder="1" applyAlignment="1">
      <alignment horizontal="left" vertical="top" wrapText="1"/>
    </xf>
    <xf numFmtId="0" fontId="0" fillId="0" borderId="10" xfId="0" applyBorder="1" applyAlignment="1">
      <alignment horizontal="left" vertical="top" wrapText="1"/>
    </xf>
    <xf numFmtId="0" fontId="0" fillId="0" borderId="0" xfId="0" applyAlignment="1">
      <alignment horizontal="left" vertical="top"/>
    </xf>
    <xf numFmtId="0" fontId="0" fillId="0" borderId="7" xfId="0" applyBorder="1" applyAlignment="1">
      <alignment horizontal="left" vertical="top"/>
    </xf>
    <xf numFmtId="12" fontId="13" fillId="13" borderId="17" xfId="0" applyNumberFormat="1" applyFont="1" applyFill="1" applyBorder="1" applyAlignment="1" applyProtection="1">
      <alignment horizontal="center" vertical="center"/>
      <protection locked="0"/>
    </xf>
    <xf numFmtId="12" fontId="13" fillId="13" borderId="18" xfId="0" applyNumberFormat="1" applyFont="1" applyFill="1" applyBorder="1" applyAlignment="1" applyProtection="1">
      <alignment horizontal="center" vertical="center"/>
      <protection locked="0"/>
    </xf>
    <xf numFmtId="0" fontId="13" fillId="13" borderId="17" xfId="0" applyFont="1" applyFill="1" applyBorder="1" applyAlignment="1" applyProtection="1">
      <alignment horizontal="center" vertical="center"/>
      <protection locked="0"/>
    </xf>
    <xf numFmtId="0" fontId="13" fillId="13" borderId="2" xfId="0" applyFont="1" applyFill="1" applyBorder="1" applyAlignment="1" applyProtection="1">
      <alignment horizontal="center" vertical="center"/>
      <protection locked="0"/>
    </xf>
    <xf numFmtId="0" fontId="20" fillId="13" borderId="2" xfId="0" applyFont="1" applyFill="1" applyBorder="1" applyAlignment="1" applyProtection="1">
      <alignment horizontal="center" vertical="center" wrapText="1"/>
      <protection locked="0"/>
    </xf>
    <xf numFmtId="0" fontId="20" fillId="13" borderId="18" xfId="0" applyFont="1" applyFill="1" applyBorder="1" applyAlignment="1" applyProtection="1">
      <alignment horizontal="center" vertical="center" wrapText="1"/>
      <protection locked="0"/>
    </xf>
    <xf numFmtId="12" fontId="13" fillId="13" borderId="23" xfId="0" applyNumberFormat="1" applyFont="1" applyFill="1" applyBorder="1" applyAlignment="1" applyProtection="1">
      <alignment horizontal="center" vertical="center"/>
      <protection locked="0"/>
    </xf>
    <xf numFmtId="12" fontId="13" fillId="13" borderId="24" xfId="0" applyNumberFormat="1" applyFont="1" applyFill="1" applyBorder="1" applyAlignment="1" applyProtection="1">
      <alignment horizontal="center" vertical="center"/>
      <protection locked="0"/>
    </xf>
    <xf numFmtId="0" fontId="13" fillId="13" borderId="23" xfId="0" applyFont="1" applyFill="1" applyBorder="1" applyAlignment="1" applyProtection="1">
      <alignment horizontal="center" vertical="center"/>
      <protection locked="0"/>
    </xf>
    <xf numFmtId="0" fontId="13" fillId="13" borderId="27" xfId="0" applyFont="1" applyFill="1" applyBorder="1" applyAlignment="1" applyProtection="1">
      <alignment horizontal="center" vertical="center"/>
      <protection locked="0"/>
    </xf>
    <xf numFmtId="0" fontId="20" fillId="13" borderId="27" xfId="0" applyFont="1" applyFill="1" applyBorder="1" applyAlignment="1" applyProtection="1">
      <alignment horizontal="center" vertical="center" wrapText="1"/>
      <protection locked="0"/>
    </xf>
    <xf numFmtId="0" fontId="20" fillId="13" borderId="24" xfId="0" applyFont="1" applyFill="1" applyBorder="1" applyAlignment="1" applyProtection="1">
      <alignment horizontal="center" vertical="center" wrapText="1"/>
      <protection locked="0"/>
    </xf>
    <xf numFmtId="0" fontId="13" fillId="13" borderId="15" xfId="0" applyFont="1" applyFill="1" applyBorder="1" applyAlignment="1" applyProtection="1">
      <alignment horizontal="center" vertical="center"/>
      <protection locked="0"/>
    </xf>
    <xf numFmtId="0" fontId="13" fillId="13" borderId="26" xfId="0" applyFont="1" applyFill="1" applyBorder="1" applyAlignment="1" applyProtection="1">
      <alignment horizontal="center" vertical="center"/>
      <protection locked="0"/>
    </xf>
    <xf numFmtId="0" fontId="20" fillId="13" borderId="26" xfId="0" applyFont="1" applyFill="1" applyBorder="1" applyAlignment="1" applyProtection="1">
      <alignment horizontal="center" vertical="center" wrapText="1"/>
      <protection locked="0"/>
    </xf>
    <xf numFmtId="0" fontId="20" fillId="13" borderId="16" xfId="0" applyFont="1" applyFill="1" applyBorder="1" applyAlignment="1" applyProtection="1">
      <alignment horizontal="center" vertical="center" wrapText="1"/>
      <protection locked="0"/>
    </xf>
    <xf numFmtId="0" fontId="31" fillId="0" borderId="3" xfId="0" applyFont="1" applyBorder="1" applyAlignment="1">
      <alignment horizontal="center" vertical="center"/>
    </xf>
    <xf numFmtId="0" fontId="31" fillId="0" borderId="4" xfId="0" applyFont="1" applyBorder="1" applyAlignment="1">
      <alignment horizontal="center" vertical="center"/>
    </xf>
    <xf numFmtId="0" fontId="31" fillId="0" borderId="5" xfId="0" applyFont="1" applyBorder="1" applyAlignment="1">
      <alignment horizontal="center" vertical="center"/>
    </xf>
    <xf numFmtId="0" fontId="31" fillId="0" borderId="8" xfId="0" applyFont="1" applyBorder="1" applyAlignment="1">
      <alignment horizontal="center" vertical="center"/>
    </xf>
    <xf numFmtId="0" fontId="31" fillId="0" borderId="9" xfId="0" applyFont="1" applyBorder="1" applyAlignment="1">
      <alignment horizontal="center" vertical="center"/>
    </xf>
    <xf numFmtId="0" fontId="31" fillId="0" borderId="10" xfId="0" applyFont="1" applyBorder="1" applyAlignment="1">
      <alignment horizontal="center" vertical="center"/>
    </xf>
    <xf numFmtId="0" fontId="21" fillId="0" borderId="17" xfId="0" applyFont="1" applyBorder="1" applyAlignment="1">
      <alignment horizontal="center" vertical="center"/>
    </xf>
    <xf numFmtId="0" fontId="21" fillId="0" borderId="18" xfId="0" applyFont="1" applyBorder="1" applyAlignment="1">
      <alignment horizontal="center" vertical="center"/>
    </xf>
    <xf numFmtId="0" fontId="15" fillId="0" borderId="23" xfId="0" applyFont="1" applyBorder="1" applyAlignment="1">
      <alignment horizontal="center" vertical="center"/>
    </xf>
    <xf numFmtId="0" fontId="15" fillId="0" borderId="27" xfId="0" applyFont="1" applyBorder="1" applyAlignment="1">
      <alignment horizontal="center" vertical="center"/>
    </xf>
    <xf numFmtId="0" fontId="16" fillId="0" borderId="30" xfId="0" applyFont="1" applyBorder="1" applyAlignment="1">
      <alignment horizontal="center" vertical="center"/>
    </xf>
    <xf numFmtId="0" fontId="16" fillId="0" borderId="31" xfId="0" applyFont="1" applyBorder="1" applyAlignment="1">
      <alignment horizontal="center" vertical="center"/>
    </xf>
    <xf numFmtId="12" fontId="13" fillId="13" borderId="47" xfId="0" applyNumberFormat="1" applyFont="1" applyFill="1" applyBorder="1" applyAlignment="1" applyProtection="1">
      <alignment horizontal="center" vertical="center"/>
      <protection locked="0"/>
    </xf>
    <xf numFmtId="12" fontId="13" fillId="13" borderId="48" xfId="0" applyNumberFormat="1" applyFont="1" applyFill="1" applyBorder="1" applyAlignment="1" applyProtection="1">
      <alignment horizontal="center" vertical="center"/>
      <protection locked="0"/>
    </xf>
    <xf numFmtId="0" fontId="13" fillId="13" borderId="47" xfId="0" applyFont="1" applyFill="1" applyBorder="1" applyAlignment="1" applyProtection="1">
      <alignment horizontal="center" vertical="center"/>
      <protection locked="0"/>
    </xf>
    <xf numFmtId="0" fontId="13" fillId="13" borderId="12" xfId="0" applyFont="1" applyFill="1" applyBorder="1" applyAlignment="1" applyProtection="1">
      <alignment horizontal="center" vertical="center"/>
      <protection locked="0"/>
    </xf>
    <xf numFmtId="0" fontId="13" fillId="13" borderId="13" xfId="0" applyFont="1" applyFill="1" applyBorder="1" applyAlignment="1" applyProtection="1">
      <alignment horizontal="center" vertical="center"/>
      <protection locked="0"/>
    </xf>
    <xf numFmtId="0" fontId="20" fillId="13" borderId="11" xfId="0" applyFont="1" applyFill="1" applyBorder="1" applyAlignment="1" applyProtection="1">
      <alignment horizontal="center" vertical="center" wrapText="1"/>
      <protection locked="0"/>
    </xf>
    <xf numFmtId="0" fontId="20" fillId="13" borderId="12" xfId="0" applyFont="1" applyFill="1" applyBorder="1" applyAlignment="1" applyProtection="1">
      <alignment horizontal="center" vertical="center" wrapText="1"/>
      <protection locked="0"/>
    </xf>
    <xf numFmtId="0" fontId="20" fillId="13" borderId="48" xfId="0" applyFont="1" applyFill="1" applyBorder="1" applyAlignment="1" applyProtection="1">
      <alignment horizontal="center" vertical="center" wrapText="1"/>
      <protection locked="0"/>
    </xf>
    <xf numFmtId="0" fontId="21" fillId="0" borderId="3" xfId="0" applyFont="1" applyBorder="1" applyAlignment="1">
      <alignment horizontal="center" vertical="center"/>
    </xf>
    <xf numFmtId="0" fontId="21" fillId="0" borderId="5" xfId="0" applyFont="1" applyBorder="1" applyAlignment="1">
      <alignment horizontal="center" vertical="center"/>
    </xf>
    <xf numFmtId="0" fontId="21" fillId="0" borderId="86" xfId="0" applyFont="1" applyBorder="1" applyAlignment="1">
      <alignment horizontal="center" vertical="center"/>
    </xf>
    <xf numFmtId="0" fontId="21" fillId="0" borderId="56" xfId="0" applyFont="1" applyBorder="1" applyAlignment="1">
      <alignment horizontal="center" vertical="center"/>
    </xf>
    <xf numFmtId="0" fontId="15" fillId="0" borderId="3" xfId="0" applyFont="1" applyBorder="1" applyAlignment="1">
      <alignment horizontal="center" vertical="center"/>
    </xf>
    <xf numFmtId="0" fontId="15" fillId="0" borderId="4" xfId="0" applyFont="1" applyBorder="1" applyAlignment="1">
      <alignment horizontal="center" vertical="center"/>
    </xf>
    <xf numFmtId="0" fontId="15" fillId="0" borderId="91" xfId="0" applyFont="1" applyBorder="1" applyAlignment="1">
      <alignment horizontal="center" vertical="center"/>
    </xf>
    <xf numFmtId="0" fontId="15" fillId="0" borderId="8" xfId="0" applyFont="1" applyBorder="1" applyAlignment="1">
      <alignment horizontal="center" vertical="center"/>
    </xf>
    <xf numFmtId="0" fontId="15" fillId="0" borderId="9" xfId="0" applyFont="1" applyBorder="1" applyAlignment="1">
      <alignment horizontal="center" vertical="center"/>
    </xf>
    <xf numFmtId="0" fontId="15" fillId="0" borderId="92" xfId="0" applyFont="1" applyBorder="1" applyAlignment="1">
      <alignment horizontal="center" vertical="center"/>
    </xf>
    <xf numFmtId="0" fontId="16" fillId="0" borderId="44" xfId="0" applyFont="1" applyBorder="1" applyAlignment="1">
      <alignment horizontal="center" vertical="center"/>
    </xf>
    <xf numFmtId="0" fontId="16" fillId="0" borderId="4" xfId="0" applyFont="1" applyBorder="1" applyAlignment="1">
      <alignment horizontal="center" vertical="center"/>
    </xf>
    <xf numFmtId="0" fontId="16" fillId="0" borderId="5" xfId="0" applyFont="1" applyBorder="1" applyAlignment="1">
      <alignment horizontal="center" vertical="center"/>
    </xf>
    <xf numFmtId="0" fontId="16" fillId="0" borderId="90" xfId="0" applyFont="1" applyBorder="1" applyAlignment="1">
      <alignment horizontal="center" vertical="center"/>
    </xf>
    <xf numFmtId="0" fontId="16" fillId="0" borderId="9" xfId="0" applyFont="1" applyBorder="1" applyAlignment="1">
      <alignment horizontal="center" vertical="center"/>
    </xf>
    <xf numFmtId="0" fontId="16" fillId="0" borderId="10" xfId="0" applyFont="1" applyBorder="1" applyAlignment="1">
      <alignment horizontal="center" vertical="center"/>
    </xf>
    <xf numFmtId="0" fontId="13" fillId="13" borderId="34" xfId="0" applyFont="1" applyFill="1" applyBorder="1" applyAlignment="1" applyProtection="1">
      <alignment horizontal="center" vertical="center"/>
      <protection locked="0"/>
    </xf>
    <xf numFmtId="0" fontId="13" fillId="13" borderId="35" xfId="0" applyFont="1" applyFill="1" applyBorder="1" applyAlignment="1" applyProtection="1">
      <alignment horizontal="center" vertical="center"/>
      <protection locked="0"/>
    </xf>
    <xf numFmtId="0" fontId="13" fillId="13" borderId="36" xfId="0" applyFont="1" applyFill="1" applyBorder="1" applyAlignment="1" applyProtection="1">
      <alignment horizontal="center" vertical="center"/>
      <protection locked="0"/>
    </xf>
    <xf numFmtId="0" fontId="20" fillId="13" borderId="30" xfId="0" applyFont="1" applyFill="1" applyBorder="1" applyAlignment="1" applyProtection="1">
      <alignment horizontal="center" vertical="center" wrapText="1"/>
      <protection locked="0"/>
    </xf>
    <xf numFmtId="0" fontId="20" fillId="13" borderId="35" xfId="0" applyFont="1" applyFill="1" applyBorder="1" applyAlignment="1" applyProtection="1">
      <alignment horizontal="center" vertical="center" wrapText="1"/>
      <protection locked="0"/>
    </xf>
    <xf numFmtId="0" fontId="20" fillId="13" borderId="46" xfId="0" applyFont="1" applyFill="1" applyBorder="1" applyAlignment="1" applyProtection="1">
      <alignment horizontal="center" vertical="center" wrapText="1"/>
      <protection locked="0"/>
    </xf>
    <xf numFmtId="12" fontId="13" fillId="13" borderId="37" xfId="0" applyNumberFormat="1" applyFont="1" applyFill="1" applyBorder="1" applyAlignment="1" applyProtection="1">
      <alignment horizontal="center" vertical="center"/>
      <protection locked="0"/>
    </xf>
    <xf numFmtId="12" fontId="13" fillId="13" borderId="49" xfId="0" applyNumberFormat="1" applyFont="1" applyFill="1" applyBorder="1" applyAlignment="1" applyProtection="1">
      <alignment horizontal="center" vertical="center"/>
      <protection locked="0"/>
    </xf>
    <xf numFmtId="0" fontId="13" fillId="13" borderId="37" xfId="0" applyFont="1" applyFill="1" applyBorder="1" applyAlignment="1" applyProtection="1">
      <alignment horizontal="center" vertical="center"/>
      <protection locked="0"/>
    </xf>
    <xf numFmtId="0" fontId="13" fillId="13" borderId="38" xfId="0" applyFont="1" applyFill="1" applyBorder="1" applyAlignment="1" applyProtection="1">
      <alignment horizontal="center" vertical="center"/>
      <protection locked="0"/>
    </xf>
    <xf numFmtId="0" fontId="13" fillId="13" borderId="39" xfId="0" applyFont="1" applyFill="1" applyBorder="1" applyAlignment="1" applyProtection="1">
      <alignment horizontal="center" vertical="center"/>
      <protection locked="0"/>
    </xf>
    <xf numFmtId="0" fontId="20" fillId="13" borderId="31" xfId="0" applyFont="1" applyFill="1" applyBorder="1" applyAlignment="1" applyProtection="1">
      <alignment horizontal="center" vertical="center" wrapText="1"/>
      <protection locked="0"/>
    </xf>
    <xf numFmtId="0" fontId="20" fillId="13" borderId="38" xfId="0" applyFont="1" applyFill="1" applyBorder="1" applyAlignment="1" applyProtection="1">
      <alignment horizontal="center" vertical="center" wrapText="1"/>
      <protection locked="0"/>
    </xf>
    <xf numFmtId="0" fontId="20" fillId="13" borderId="49" xfId="0" applyFont="1" applyFill="1" applyBorder="1" applyAlignment="1" applyProtection="1">
      <alignment horizontal="center" vertical="center" wrapText="1"/>
      <protection locked="0"/>
    </xf>
    <xf numFmtId="12" fontId="35" fillId="13" borderId="34" xfId="0" applyNumberFormat="1" applyFont="1" applyFill="1" applyBorder="1" applyAlignment="1" applyProtection="1">
      <alignment horizontal="center" vertical="center"/>
      <protection locked="0"/>
    </xf>
    <xf numFmtId="12" fontId="35" fillId="13" borderId="46" xfId="0" applyNumberFormat="1" applyFont="1" applyFill="1" applyBorder="1" applyAlignment="1" applyProtection="1">
      <alignment horizontal="center" vertical="center"/>
      <protection locked="0"/>
    </xf>
    <xf numFmtId="12" fontId="13" fillId="13" borderId="17" xfId="0" applyNumberFormat="1" applyFont="1" applyFill="1" applyBorder="1" applyAlignment="1">
      <alignment horizontal="center" vertical="center"/>
    </xf>
    <xf numFmtId="12" fontId="13" fillId="13" borderId="18" xfId="0" applyNumberFormat="1" applyFont="1" applyFill="1" applyBorder="1" applyAlignment="1">
      <alignment horizontal="center" vertical="center"/>
    </xf>
    <xf numFmtId="0" fontId="13" fillId="13" borderId="17" xfId="0" applyFont="1" applyFill="1" applyBorder="1" applyAlignment="1">
      <alignment horizontal="center" vertical="center"/>
    </xf>
    <xf numFmtId="0" fontId="13" fillId="13" borderId="2" xfId="0" applyFont="1" applyFill="1" applyBorder="1" applyAlignment="1">
      <alignment horizontal="center" vertical="center"/>
    </xf>
    <xf numFmtId="0" fontId="20" fillId="13" borderId="2" xfId="0" applyFont="1" applyFill="1" applyBorder="1" applyAlignment="1">
      <alignment horizontal="center" vertical="center" wrapText="1"/>
    </xf>
    <xf numFmtId="0" fontId="20" fillId="13" borderId="18" xfId="0" applyFont="1" applyFill="1" applyBorder="1" applyAlignment="1">
      <alignment horizontal="center" vertical="center" wrapText="1"/>
    </xf>
    <xf numFmtId="12" fontId="13" fillId="13" borderId="23" xfId="0" applyNumberFormat="1" applyFont="1" applyFill="1" applyBorder="1" applyAlignment="1">
      <alignment horizontal="center" vertical="center"/>
    </xf>
    <xf numFmtId="12" fontId="13" fillId="13" borderId="24" xfId="0" applyNumberFormat="1" applyFont="1" applyFill="1" applyBorder="1" applyAlignment="1">
      <alignment horizontal="center" vertical="center"/>
    </xf>
    <xf numFmtId="0" fontId="13" fillId="13" borderId="23" xfId="0" applyFont="1" applyFill="1" applyBorder="1" applyAlignment="1">
      <alignment horizontal="center" vertical="center"/>
    </xf>
    <xf numFmtId="0" fontId="13" fillId="13" borderId="27" xfId="0" applyFont="1" applyFill="1" applyBorder="1" applyAlignment="1">
      <alignment horizontal="center" vertical="center"/>
    </xf>
    <xf numFmtId="0" fontId="20" fillId="13" borderId="27" xfId="0" applyFont="1" applyFill="1" applyBorder="1" applyAlignment="1">
      <alignment horizontal="center" vertical="center" wrapText="1"/>
    </xf>
    <xf numFmtId="0" fontId="20" fillId="13" borderId="24" xfId="0" applyFont="1" applyFill="1" applyBorder="1" applyAlignment="1">
      <alignment horizontal="center" vertical="center" wrapText="1"/>
    </xf>
    <xf numFmtId="0" fontId="13" fillId="13" borderId="15" xfId="0" applyFont="1" applyFill="1" applyBorder="1" applyAlignment="1">
      <alignment horizontal="center" vertical="center"/>
    </xf>
    <xf numFmtId="0" fontId="13" fillId="13" borderId="26" xfId="0" applyFont="1" applyFill="1" applyBorder="1" applyAlignment="1">
      <alignment horizontal="center" vertical="center"/>
    </xf>
    <xf numFmtId="0" fontId="20" fillId="13" borderId="26" xfId="0" applyFont="1" applyFill="1" applyBorder="1" applyAlignment="1">
      <alignment horizontal="center" vertical="center" wrapText="1"/>
    </xf>
    <xf numFmtId="0" fontId="20" fillId="13" borderId="16" xfId="0" applyFont="1" applyFill="1" applyBorder="1" applyAlignment="1">
      <alignment horizontal="center" vertical="center" wrapText="1"/>
    </xf>
    <xf numFmtId="12" fontId="13" fillId="13" borderId="37" xfId="0" applyNumberFormat="1" applyFont="1" applyFill="1" applyBorder="1" applyAlignment="1">
      <alignment horizontal="center" vertical="center"/>
    </xf>
    <xf numFmtId="12" fontId="13" fillId="13" borderId="49" xfId="0" applyNumberFormat="1" applyFont="1" applyFill="1" applyBorder="1" applyAlignment="1">
      <alignment horizontal="center" vertical="center"/>
    </xf>
    <xf numFmtId="0" fontId="13" fillId="13" borderId="37" xfId="0" applyFont="1" applyFill="1" applyBorder="1" applyAlignment="1">
      <alignment horizontal="center" vertical="center"/>
    </xf>
    <xf numFmtId="0" fontId="13" fillId="13" borderId="38" xfId="0" applyFont="1" applyFill="1" applyBorder="1" applyAlignment="1">
      <alignment horizontal="center" vertical="center"/>
    </xf>
    <xf numFmtId="0" fontId="13" fillId="13" borderId="39" xfId="0" applyFont="1" applyFill="1" applyBorder="1" applyAlignment="1">
      <alignment horizontal="center" vertical="center"/>
    </xf>
    <xf numFmtId="0" fontId="20" fillId="13" borderId="31" xfId="0" applyFont="1" applyFill="1" applyBorder="1" applyAlignment="1">
      <alignment horizontal="center" vertical="center" wrapText="1"/>
    </xf>
    <xf numFmtId="0" fontId="20" fillId="13" borderId="38" xfId="0" applyFont="1" applyFill="1" applyBorder="1" applyAlignment="1">
      <alignment horizontal="center" vertical="center" wrapText="1"/>
    </xf>
    <xf numFmtId="0" fontId="20" fillId="13" borderId="49" xfId="0" applyFont="1" applyFill="1" applyBorder="1" applyAlignment="1">
      <alignment horizontal="center" vertical="center" wrapText="1"/>
    </xf>
    <xf numFmtId="12" fontId="13" fillId="13" borderId="47" xfId="0" applyNumberFormat="1" applyFont="1" applyFill="1" applyBorder="1" applyAlignment="1">
      <alignment horizontal="center" vertical="center"/>
    </xf>
    <xf numFmtId="12" fontId="13" fillId="13" borderId="48" xfId="0" applyNumberFormat="1" applyFont="1" applyFill="1" applyBorder="1" applyAlignment="1">
      <alignment horizontal="center" vertical="center"/>
    </xf>
    <xf numFmtId="0" fontId="13" fillId="13" borderId="47" xfId="0" applyFont="1" applyFill="1" applyBorder="1" applyAlignment="1">
      <alignment horizontal="center" vertical="center"/>
    </xf>
    <xf numFmtId="0" fontId="13" fillId="13" borderId="12" xfId="0" applyFont="1" applyFill="1" applyBorder="1" applyAlignment="1">
      <alignment horizontal="center" vertical="center"/>
    </xf>
    <xf numFmtId="0" fontId="13" fillId="13" borderId="13" xfId="0" applyFont="1" applyFill="1" applyBorder="1" applyAlignment="1">
      <alignment horizontal="center" vertical="center"/>
    </xf>
    <xf numFmtId="0" fontId="20" fillId="13" borderId="11" xfId="0" applyFont="1" applyFill="1" applyBorder="1" applyAlignment="1">
      <alignment horizontal="center" vertical="center" wrapText="1"/>
    </xf>
    <xf numFmtId="0" fontId="20" fillId="13" borderId="12" xfId="0" applyFont="1" applyFill="1" applyBorder="1" applyAlignment="1">
      <alignment horizontal="center" vertical="center" wrapText="1"/>
    </xf>
    <xf numFmtId="0" fontId="20" fillId="13" borderId="48" xfId="0" applyFont="1" applyFill="1" applyBorder="1" applyAlignment="1">
      <alignment horizontal="center" vertical="center" wrapText="1"/>
    </xf>
    <xf numFmtId="0" fontId="56" fillId="0" borderId="0" xfId="0" applyFont="1" applyAlignment="1">
      <alignment horizontal="left" vertical="center"/>
    </xf>
    <xf numFmtId="0" fontId="57" fillId="0" borderId="3" xfId="0" applyFont="1" applyBorder="1" applyAlignment="1">
      <alignment horizontal="center" vertical="center"/>
    </xf>
    <xf numFmtId="0" fontId="57" fillId="0" borderId="4" xfId="0" applyFont="1" applyBorder="1" applyAlignment="1">
      <alignment horizontal="center" vertical="center"/>
    </xf>
    <xf numFmtId="0" fontId="57" fillId="0" borderId="5" xfId="0" applyFont="1" applyBorder="1" applyAlignment="1">
      <alignment horizontal="center" vertical="center"/>
    </xf>
    <xf numFmtId="0" fontId="57" fillId="0" borderId="8" xfId="0" applyFont="1" applyBorder="1" applyAlignment="1">
      <alignment horizontal="center" vertical="center"/>
    </xf>
    <xf numFmtId="0" fontId="57" fillId="0" borderId="9" xfId="0" applyFont="1" applyBorder="1" applyAlignment="1">
      <alignment horizontal="center" vertical="center"/>
    </xf>
    <xf numFmtId="0" fontId="57" fillId="0" borderId="10" xfId="0" applyFont="1" applyBorder="1" applyAlignment="1">
      <alignment horizontal="center" vertical="center"/>
    </xf>
    <xf numFmtId="0" fontId="21" fillId="0" borderId="23" xfId="0" applyFont="1" applyBorder="1" applyAlignment="1">
      <alignment horizontal="center" vertical="center"/>
    </xf>
    <xf numFmtId="0" fontId="21" fillId="0" borderId="24" xfId="0" applyFont="1" applyBorder="1" applyAlignment="1">
      <alignment horizontal="center" vertical="center"/>
    </xf>
    <xf numFmtId="12" fontId="13" fillId="13" borderId="34" xfId="0" applyNumberFormat="1" applyFont="1" applyFill="1" applyBorder="1" applyAlignment="1">
      <alignment horizontal="center" vertical="center"/>
    </xf>
    <xf numFmtId="12" fontId="13" fillId="13" borderId="46" xfId="0" applyNumberFormat="1" applyFont="1" applyFill="1" applyBorder="1" applyAlignment="1">
      <alignment horizontal="center" vertical="center"/>
    </xf>
    <xf numFmtId="0" fontId="13" fillId="13" borderId="34" xfId="0" applyFont="1" applyFill="1" applyBorder="1" applyAlignment="1">
      <alignment horizontal="center" vertical="center"/>
    </xf>
    <xf numFmtId="0" fontId="13" fillId="13" borderId="35" xfId="0" applyFont="1" applyFill="1" applyBorder="1" applyAlignment="1">
      <alignment horizontal="center" vertical="center"/>
    </xf>
    <xf numFmtId="0" fontId="13" fillId="13" borderId="36" xfId="0" applyFont="1" applyFill="1" applyBorder="1" applyAlignment="1">
      <alignment horizontal="center" vertical="center"/>
    </xf>
    <xf numFmtId="0" fontId="20" fillId="13" borderId="30" xfId="0" applyFont="1" applyFill="1" applyBorder="1" applyAlignment="1">
      <alignment horizontal="center" vertical="center" wrapText="1"/>
    </xf>
    <xf numFmtId="0" fontId="20" fillId="13" borderId="35" xfId="0" applyFont="1" applyFill="1" applyBorder="1" applyAlignment="1">
      <alignment horizontal="center" vertical="center" wrapText="1"/>
    </xf>
    <xf numFmtId="0" fontId="20" fillId="13" borderId="46" xfId="0" applyFont="1" applyFill="1" applyBorder="1" applyAlignment="1">
      <alignment horizontal="center" vertical="center" wrapText="1"/>
    </xf>
    <xf numFmtId="0" fontId="25" fillId="4" borderId="0" xfId="0" applyFont="1" applyFill="1" applyAlignment="1">
      <alignment horizontal="center"/>
    </xf>
    <xf numFmtId="0" fontId="32" fillId="4" borderId="0" xfId="0" applyFont="1" applyFill="1" applyAlignment="1">
      <alignment horizontal="center"/>
    </xf>
    <xf numFmtId="0" fontId="34" fillId="10" borderId="19" xfId="0" applyFont="1" applyFill="1" applyBorder="1" applyAlignment="1">
      <alignment horizontal="center"/>
    </xf>
    <xf numFmtId="0" fontId="34" fillId="10" borderId="43" xfId="0" applyFont="1" applyFill="1" applyBorder="1" applyAlignment="1">
      <alignment horizontal="center"/>
    </xf>
    <xf numFmtId="0" fontId="34" fillId="10" borderId="20" xfId="0" applyFont="1" applyFill="1" applyBorder="1" applyAlignment="1">
      <alignment horizontal="center"/>
    </xf>
    <xf numFmtId="14" fontId="0" fillId="7" borderId="50" xfId="0" applyNumberFormat="1" applyFill="1" applyBorder="1" applyAlignment="1" applyProtection="1">
      <alignment horizontal="center"/>
      <protection locked="0"/>
    </xf>
    <xf numFmtId="0" fontId="0" fillId="7" borderId="52" xfId="0" applyFill="1" applyBorder="1" applyAlignment="1" applyProtection="1">
      <alignment horizontal="center"/>
      <protection locked="0"/>
    </xf>
    <xf numFmtId="0" fontId="46" fillId="7" borderId="52" xfId="0" applyFont="1" applyFill="1" applyBorder="1" applyAlignment="1" applyProtection="1">
      <alignment horizontal="left" vertical="center"/>
      <protection locked="0"/>
    </xf>
    <xf numFmtId="0" fontId="46" fillId="7" borderId="51" xfId="0" applyFont="1" applyFill="1" applyBorder="1" applyAlignment="1" applyProtection="1">
      <alignment horizontal="left" vertical="center"/>
      <protection locked="0"/>
    </xf>
    <xf numFmtId="0" fontId="46" fillId="7" borderId="30" xfId="4" applyFont="1" applyFill="1" applyBorder="1" applyAlignment="1" applyProtection="1">
      <alignment horizontal="left" vertical="center"/>
      <protection locked="0"/>
    </xf>
    <xf numFmtId="0" fontId="46" fillId="7" borderId="35" xfId="4" applyFont="1" applyFill="1" applyBorder="1" applyAlignment="1" applyProtection="1">
      <alignment horizontal="left" vertical="center"/>
      <protection locked="0"/>
    </xf>
    <xf numFmtId="0" fontId="46" fillId="7" borderId="36" xfId="4" applyFont="1" applyFill="1" applyBorder="1" applyAlignment="1" applyProtection="1">
      <alignment horizontal="left" vertical="center"/>
      <protection locked="0"/>
    </xf>
    <xf numFmtId="14" fontId="4" fillId="7" borderId="34" xfId="4" applyNumberFormat="1" applyFill="1" applyBorder="1" applyAlignment="1" applyProtection="1">
      <alignment horizontal="center"/>
      <protection locked="0"/>
    </xf>
    <xf numFmtId="14" fontId="4" fillId="7" borderId="36" xfId="4" applyNumberFormat="1" applyFill="1" applyBorder="1" applyAlignment="1" applyProtection="1">
      <alignment horizontal="center"/>
      <protection locked="0"/>
    </xf>
    <xf numFmtId="0" fontId="29" fillId="4" borderId="0" xfId="0" applyFont="1" applyFill="1" applyAlignment="1">
      <alignment horizontal="left"/>
    </xf>
    <xf numFmtId="0" fontId="62" fillId="0" borderId="0" xfId="10" applyFont="1" applyAlignment="1">
      <alignment horizontal="center" vertical="top"/>
    </xf>
    <xf numFmtId="0" fontId="51" fillId="0" borderId="0" xfId="10" applyFont="1" applyAlignment="1">
      <alignment horizontal="center"/>
    </xf>
    <xf numFmtId="0" fontId="49" fillId="0" borderId="64" xfId="10" applyFont="1" applyBorder="1" applyAlignment="1">
      <alignment horizontal="center" vertical="center"/>
    </xf>
    <xf numFmtId="0" fontId="49" fillId="0" borderId="66" xfId="10" applyFont="1" applyBorder="1" applyAlignment="1">
      <alignment horizontal="center" vertical="center"/>
    </xf>
    <xf numFmtId="0" fontId="49" fillId="0" borderId="81" xfId="10" applyFont="1" applyBorder="1" applyAlignment="1">
      <alignment horizontal="center" vertical="center"/>
    </xf>
    <xf numFmtId="0" fontId="49" fillId="0" borderId="78" xfId="10" applyFont="1" applyBorder="1" applyAlignment="1">
      <alignment horizontal="center" vertical="center"/>
    </xf>
    <xf numFmtId="14" fontId="0" fillId="13" borderId="17" xfId="0" applyNumberFormat="1" applyFill="1" applyBorder="1" applyAlignment="1" applyProtection="1">
      <alignment horizontal="center"/>
      <protection locked="0"/>
    </xf>
    <xf numFmtId="0" fontId="0" fillId="13" borderId="2" xfId="0" applyFill="1" applyBorder="1" applyAlignment="1" applyProtection="1">
      <alignment horizontal="center"/>
      <protection locked="0"/>
    </xf>
    <xf numFmtId="0" fontId="46" fillId="13" borderId="2" xfId="0" applyFont="1" applyFill="1" applyBorder="1" applyAlignment="1" applyProtection="1">
      <alignment horizontal="left" vertical="center"/>
      <protection locked="0"/>
    </xf>
    <xf numFmtId="0" fontId="46" fillId="13" borderId="18" xfId="0" applyFont="1" applyFill="1" applyBorder="1" applyAlignment="1" applyProtection="1">
      <alignment horizontal="left" vertical="center"/>
      <protection locked="0"/>
    </xf>
    <xf numFmtId="14" fontId="0" fillId="13" borderId="47" xfId="0" applyNumberFormat="1" applyFill="1" applyBorder="1" applyAlignment="1" applyProtection="1">
      <alignment horizontal="center"/>
      <protection locked="0"/>
    </xf>
    <xf numFmtId="14" fontId="0" fillId="13" borderId="13" xfId="0" applyNumberFormat="1" applyFill="1" applyBorder="1" applyAlignment="1" applyProtection="1">
      <alignment horizontal="center"/>
      <protection locked="0"/>
    </xf>
    <xf numFmtId="0" fontId="46" fillId="13" borderId="11" xfId="0" applyFont="1" applyFill="1" applyBorder="1" applyAlignment="1" applyProtection="1">
      <alignment horizontal="left" vertical="center"/>
      <protection locked="0"/>
    </xf>
    <xf numFmtId="0" fontId="46" fillId="13" borderId="12" xfId="0" applyFont="1" applyFill="1" applyBorder="1" applyAlignment="1" applyProtection="1">
      <alignment horizontal="left" vertical="center"/>
      <protection locked="0"/>
    </xf>
    <xf numFmtId="0" fontId="46" fillId="13" borderId="48" xfId="0" applyFont="1" applyFill="1" applyBorder="1" applyAlignment="1" applyProtection="1">
      <alignment horizontal="left" vertical="center"/>
      <protection locked="0"/>
    </xf>
    <xf numFmtId="14" fontId="0" fillId="13" borderId="50" xfId="0" applyNumberFormat="1" applyFill="1" applyBorder="1" applyAlignment="1" applyProtection="1">
      <alignment horizontal="center"/>
      <protection locked="0"/>
    </xf>
    <xf numFmtId="0" fontId="0" fillId="13" borderId="52" xfId="0" applyFill="1" applyBorder="1" applyAlignment="1" applyProtection="1">
      <alignment horizontal="center"/>
      <protection locked="0"/>
    </xf>
    <xf numFmtId="0" fontId="46" fillId="13" borderId="52" xfId="0" applyFont="1" applyFill="1" applyBorder="1" applyAlignment="1" applyProtection="1">
      <alignment horizontal="left" vertical="center"/>
      <protection locked="0"/>
    </xf>
    <xf numFmtId="0" fontId="46" fillId="13" borderId="51" xfId="0" applyFont="1" applyFill="1" applyBorder="1" applyAlignment="1" applyProtection="1">
      <alignment horizontal="left" vertical="center"/>
      <protection locked="0"/>
    </xf>
    <xf numFmtId="14" fontId="4" fillId="13" borderId="47" xfId="4" applyNumberFormat="1" applyFill="1" applyBorder="1" applyAlignment="1" applyProtection="1">
      <alignment horizontal="center"/>
      <protection locked="0"/>
    </xf>
    <xf numFmtId="14" fontId="4" fillId="13" borderId="13" xfId="4" applyNumberFormat="1" applyFill="1" applyBorder="1" applyAlignment="1" applyProtection="1">
      <alignment horizontal="center"/>
      <protection locked="0"/>
    </xf>
    <xf numFmtId="0" fontId="46" fillId="13" borderId="11" xfId="4" applyFont="1" applyFill="1" applyBorder="1" applyAlignment="1" applyProtection="1">
      <alignment horizontal="left" vertical="center"/>
      <protection locked="0"/>
    </xf>
    <xf numFmtId="0" fontId="46" fillId="13" borderId="12" xfId="4" applyFont="1" applyFill="1" applyBorder="1" applyAlignment="1" applyProtection="1">
      <alignment horizontal="left" vertical="center"/>
      <protection locked="0"/>
    </xf>
    <xf numFmtId="0" fontId="46" fillId="13" borderId="48" xfId="4" applyFont="1" applyFill="1" applyBorder="1" applyAlignment="1" applyProtection="1">
      <alignment horizontal="left" vertical="center"/>
      <protection locked="0"/>
    </xf>
    <xf numFmtId="14" fontId="4" fillId="13" borderId="34" xfId="4" applyNumberFormat="1" applyFill="1" applyBorder="1" applyAlignment="1" applyProtection="1">
      <alignment horizontal="center"/>
      <protection locked="0"/>
    </xf>
    <xf numFmtId="14" fontId="4" fillId="13" borderId="36" xfId="4" applyNumberFormat="1" applyFill="1" applyBorder="1" applyAlignment="1" applyProtection="1">
      <alignment horizontal="center"/>
      <protection locked="0"/>
    </xf>
    <xf numFmtId="0" fontId="46" fillId="13" borderId="30" xfId="4" applyFont="1" applyFill="1" applyBorder="1" applyAlignment="1" applyProtection="1">
      <alignment horizontal="left" vertical="center"/>
      <protection locked="0"/>
    </xf>
    <xf numFmtId="0" fontId="46" fillId="13" borderId="35" xfId="4" applyFont="1" applyFill="1" applyBorder="1" applyAlignment="1" applyProtection="1">
      <alignment horizontal="left" vertical="center"/>
      <protection locked="0"/>
    </xf>
    <xf numFmtId="0" fontId="46" fillId="13" borderId="46" xfId="4" applyFont="1" applyFill="1" applyBorder="1" applyAlignment="1" applyProtection="1">
      <alignment horizontal="left" vertical="center"/>
      <protection locked="0"/>
    </xf>
    <xf numFmtId="0" fontId="23" fillId="4" borderId="15" xfId="0" applyFont="1" applyFill="1" applyBorder="1" applyAlignment="1">
      <alignment horizontal="center" vertical="center" textRotation="90"/>
    </xf>
    <xf numFmtId="0" fontId="23" fillId="4" borderId="17" xfId="0" applyFont="1" applyFill="1" applyBorder="1" applyAlignment="1">
      <alignment horizontal="center" vertical="center" textRotation="90"/>
    </xf>
    <xf numFmtId="0" fontId="23" fillId="4" borderId="23" xfId="0" applyFont="1" applyFill="1" applyBorder="1" applyAlignment="1">
      <alignment horizontal="center" vertical="center" textRotation="90"/>
    </xf>
    <xf numFmtId="0" fontId="0" fillId="4" borderId="57" xfId="0" applyFill="1" applyBorder="1" applyAlignment="1">
      <alignment horizontal="center" vertical="center" textRotation="90"/>
    </xf>
    <xf numFmtId="0" fontId="0" fillId="4" borderId="83" xfId="0" applyFill="1" applyBorder="1" applyAlignment="1">
      <alignment horizontal="center" vertical="center" textRotation="90"/>
    </xf>
    <xf numFmtId="0" fontId="0" fillId="4" borderId="60" xfId="0" applyFill="1" applyBorder="1" applyAlignment="1">
      <alignment horizontal="center" vertical="center" textRotation="90"/>
    </xf>
    <xf numFmtId="14" fontId="4" fillId="13" borderId="37" xfId="4" applyNumberFormat="1" applyFill="1" applyBorder="1" applyAlignment="1" applyProtection="1">
      <alignment horizontal="center"/>
      <protection locked="0"/>
    </xf>
    <xf numFmtId="14" fontId="4" fillId="13" borderId="39" xfId="4" applyNumberFormat="1" applyFill="1" applyBorder="1" applyAlignment="1" applyProtection="1">
      <alignment horizontal="center"/>
      <protection locked="0"/>
    </xf>
    <xf numFmtId="0" fontId="46" fillId="13" borderId="31" xfId="4" applyFont="1" applyFill="1" applyBorder="1" applyAlignment="1" applyProtection="1">
      <alignment horizontal="left" vertical="center"/>
      <protection locked="0"/>
    </xf>
    <xf numFmtId="0" fontId="46" fillId="13" borderId="38" xfId="4" applyFont="1" applyFill="1" applyBorder="1" applyAlignment="1" applyProtection="1">
      <alignment horizontal="left" vertical="center"/>
      <protection locked="0"/>
    </xf>
    <xf numFmtId="0" fontId="46" fillId="13" borderId="49" xfId="4" applyFont="1" applyFill="1" applyBorder="1" applyAlignment="1" applyProtection="1">
      <alignment horizontal="left" vertical="center"/>
      <protection locked="0"/>
    </xf>
    <xf numFmtId="0" fontId="47" fillId="0" borderId="41" xfId="0" applyFont="1" applyBorder="1" applyAlignment="1"/>
    <xf numFmtId="0" fontId="47" fillId="0" borderId="4" xfId="0" applyFont="1" applyBorder="1" applyAlignment="1"/>
    <xf numFmtId="0" fontId="0" fillId="0" borderId="0" xfId="0" applyAlignment="1"/>
  </cellXfs>
  <cellStyles count="12">
    <cellStyle name="Comma" xfId="1" builtinId="3"/>
    <cellStyle name="Dziesiętny 2" xfId="5" xr:uid="{00000000-0005-0000-0000-000001000000}"/>
    <cellStyle name="Dziesiętny 3" xfId="8" xr:uid="{00000000-0005-0000-0000-000002000000}"/>
    <cellStyle name="Normal" xfId="0" builtinId="0"/>
    <cellStyle name="Normalny 2" xfId="4" xr:uid="{00000000-0005-0000-0000-000005000000}"/>
    <cellStyle name="Normalny 3" xfId="3" xr:uid="{00000000-0005-0000-0000-000006000000}"/>
    <cellStyle name="Normalny 4" xfId="7" xr:uid="{00000000-0005-0000-0000-000007000000}"/>
    <cellStyle name="Normalny 5" xfId="10" xr:uid="{00000000-0005-0000-0000-000008000000}"/>
    <cellStyle name="Percent" xfId="2" builtinId="5"/>
    <cellStyle name="Procentowy 2" xfId="6" xr:uid="{00000000-0005-0000-0000-00000A000000}"/>
    <cellStyle name="Procentowy 3" xfId="9" xr:uid="{00000000-0005-0000-0000-00000B000000}"/>
    <cellStyle name="Procentowy 4" xfId="11" xr:uid="{00000000-0005-0000-0000-00000C000000}"/>
  </cellStyles>
  <dxfs count="208">
    <dxf>
      <fill>
        <patternFill>
          <bgColor theme="5" tint="0.59996337778862885"/>
        </patternFill>
      </fill>
    </dxf>
    <dxf>
      <fill>
        <patternFill>
          <bgColor rgb="FFFFE699"/>
        </patternFill>
      </fill>
    </dxf>
    <dxf>
      <fill>
        <patternFill>
          <bgColor rgb="FFF8CBAD"/>
        </patternFill>
      </fill>
    </dxf>
    <dxf>
      <font>
        <color theme="0"/>
      </font>
    </dxf>
    <dxf>
      <font>
        <color auto="1"/>
      </font>
      <fill>
        <patternFill>
          <bgColor theme="5" tint="0.59996337778862885"/>
        </patternFill>
      </fill>
    </dxf>
    <dxf>
      <font>
        <color rgb="FF006100"/>
      </font>
      <fill>
        <patternFill>
          <bgColor rgb="FFC6EFCE"/>
        </patternFill>
      </fill>
    </dxf>
    <dxf>
      <font>
        <color auto="1"/>
      </font>
      <fill>
        <patternFill>
          <bgColor rgb="FFFF0000"/>
        </patternFill>
      </fill>
    </dxf>
    <dxf>
      <fill>
        <patternFill>
          <bgColor theme="5" tint="0.59996337778862885"/>
        </patternFill>
      </fill>
    </dxf>
    <dxf>
      <font>
        <color auto="1"/>
      </font>
      <fill>
        <patternFill>
          <bgColor theme="3" tint="0.39994506668294322"/>
        </patternFill>
      </fill>
    </dxf>
    <dxf>
      <fill>
        <patternFill>
          <bgColor theme="3" tint="0.39994506668294322"/>
        </patternFill>
      </fill>
    </dxf>
    <dxf>
      <font>
        <color rgb="FF006100"/>
      </font>
      <fill>
        <patternFill>
          <bgColor rgb="FFC6EFCE"/>
        </patternFill>
      </fill>
    </dxf>
    <dxf>
      <fill>
        <patternFill>
          <bgColor rgb="FFC6EFCE"/>
        </patternFill>
      </fill>
    </dxf>
    <dxf>
      <font>
        <color auto="1"/>
      </font>
      <fill>
        <patternFill>
          <bgColor theme="3" tint="0.39994506668294322"/>
        </patternFill>
      </fill>
    </dxf>
    <dxf>
      <fill>
        <patternFill>
          <bgColor theme="3" tint="0.39994506668294322"/>
        </patternFill>
      </fill>
    </dxf>
    <dxf>
      <font>
        <color rgb="FF006100"/>
      </font>
      <fill>
        <patternFill>
          <bgColor rgb="FFC6EFCE"/>
        </patternFill>
      </fill>
    </dxf>
    <dxf>
      <fill>
        <patternFill>
          <bgColor rgb="FFC6EFCE"/>
        </patternFill>
      </fill>
    </dxf>
    <dxf>
      <font>
        <color auto="1"/>
      </font>
      <fill>
        <patternFill>
          <bgColor theme="3" tint="0.39994506668294322"/>
        </patternFill>
      </fill>
    </dxf>
    <dxf>
      <fill>
        <patternFill>
          <bgColor theme="3" tint="0.39994506668294322"/>
        </patternFill>
      </fill>
    </dxf>
    <dxf>
      <font>
        <color rgb="FF006100"/>
      </font>
      <fill>
        <patternFill>
          <bgColor rgb="FFC6EFCE"/>
        </patternFill>
      </fill>
    </dxf>
    <dxf>
      <fill>
        <patternFill>
          <bgColor rgb="FFC6EFCE"/>
        </patternFill>
      </fill>
    </dxf>
    <dxf>
      <font>
        <color auto="1"/>
      </font>
      <fill>
        <patternFill>
          <bgColor theme="3" tint="0.39994506668294322"/>
        </patternFill>
      </fill>
    </dxf>
    <dxf>
      <fill>
        <patternFill>
          <bgColor theme="3" tint="0.39994506668294322"/>
        </patternFill>
      </fill>
    </dxf>
    <dxf>
      <font>
        <color rgb="FF006100"/>
      </font>
      <fill>
        <patternFill>
          <bgColor rgb="FFC6EFCE"/>
        </patternFill>
      </fill>
    </dxf>
    <dxf>
      <fill>
        <patternFill>
          <bgColor rgb="FFC6EFCE"/>
        </patternFill>
      </fill>
    </dxf>
    <dxf>
      <font>
        <color auto="1"/>
      </font>
      <fill>
        <patternFill>
          <bgColor theme="3" tint="0.39994506668294322"/>
        </patternFill>
      </fill>
    </dxf>
    <dxf>
      <fill>
        <patternFill>
          <bgColor theme="3" tint="0.39994506668294322"/>
        </patternFill>
      </fill>
    </dxf>
    <dxf>
      <font>
        <color rgb="FF006100"/>
      </font>
      <fill>
        <patternFill>
          <bgColor rgb="FFC6EFCE"/>
        </patternFill>
      </fill>
    </dxf>
    <dxf>
      <fill>
        <patternFill>
          <bgColor rgb="FFC6EFCE"/>
        </patternFill>
      </fill>
    </dxf>
    <dxf>
      <font>
        <color auto="1"/>
      </font>
      <fill>
        <patternFill>
          <bgColor theme="3" tint="0.39994506668294322"/>
        </patternFill>
      </fill>
    </dxf>
    <dxf>
      <fill>
        <patternFill>
          <bgColor theme="3" tint="0.39994506668294322"/>
        </patternFill>
      </fill>
    </dxf>
    <dxf>
      <font>
        <color rgb="FF006100"/>
      </font>
      <fill>
        <patternFill>
          <bgColor rgb="FFC6EFCE"/>
        </patternFill>
      </fill>
    </dxf>
    <dxf>
      <fill>
        <patternFill>
          <bgColor rgb="FFC6EFCE"/>
        </patternFill>
      </fill>
    </dxf>
    <dxf>
      <font>
        <color auto="1"/>
      </font>
      <fill>
        <patternFill>
          <bgColor theme="3" tint="0.39994506668294322"/>
        </patternFill>
      </fill>
    </dxf>
    <dxf>
      <fill>
        <patternFill>
          <bgColor theme="3" tint="0.39994506668294322"/>
        </patternFill>
      </fill>
    </dxf>
    <dxf>
      <font>
        <color rgb="FF006100"/>
      </font>
      <fill>
        <patternFill>
          <bgColor rgb="FFC6EFCE"/>
        </patternFill>
      </fill>
    </dxf>
    <dxf>
      <fill>
        <patternFill>
          <bgColor rgb="FFC6EFCE"/>
        </patternFill>
      </fill>
    </dxf>
    <dxf>
      <font>
        <color auto="1"/>
      </font>
      <fill>
        <patternFill>
          <bgColor theme="3" tint="0.39994506668294322"/>
        </patternFill>
      </fill>
    </dxf>
    <dxf>
      <fill>
        <patternFill>
          <bgColor theme="3" tint="0.39994506668294322"/>
        </patternFill>
      </fill>
    </dxf>
    <dxf>
      <font>
        <color rgb="FF006100"/>
      </font>
      <fill>
        <patternFill>
          <bgColor rgb="FFC6EFCE"/>
        </patternFill>
      </fill>
    </dxf>
    <dxf>
      <fill>
        <patternFill>
          <bgColor rgb="FFC6EFCE"/>
        </patternFill>
      </fill>
    </dxf>
    <dxf>
      <font>
        <color auto="1"/>
      </font>
      <fill>
        <patternFill>
          <bgColor theme="3" tint="0.39994506668294322"/>
        </patternFill>
      </fill>
    </dxf>
    <dxf>
      <fill>
        <patternFill>
          <bgColor theme="3" tint="0.39994506668294322"/>
        </patternFill>
      </fill>
    </dxf>
    <dxf>
      <font>
        <color rgb="FF006100"/>
      </font>
      <fill>
        <patternFill>
          <bgColor rgb="FFC6EFCE"/>
        </patternFill>
      </fill>
    </dxf>
    <dxf>
      <fill>
        <patternFill>
          <bgColor rgb="FFC6EFCE"/>
        </patternFill>
      </fill>
    </dxf>
    <dxf>
      <font>
        <color auto="1"/>
      </font>
      <fill>
        <patternFill>
          <bgColor theme="3" tint="0.39994506668294322"/>
        </patternFill>
      </fill>
    </dxf>
    <dxf>
      <fill>
        <patternFill>
          <bgColor theme="3" tint="0.39994506668294322"/>
        </patternFill>
      </fill>
    </dxf>
    <dxf>
      <font>
        <color rgb="FF006100"/>
      </font>
      <fill>
        <patternFill>
          <bgColor rgb="FFC6EFCE"/>
        </patternFill>
      </fill>
    </dxf>
    <dxf>
      <fill>
        <patternFill>
          <bgColor rgb="FFC6EFCE"/>
        </patternFill>
      </fill>
    </dxf>
    <dxf>
      <font>
        <color auto="1"/>
      </font>
      <fill>
        <patternFill>
          <bgColor theme="3" tint="0.39994506668294322"/>
        </patternFill>
      </fill>
    </dxf>
    <dxf>
      <fill>
        <patternFill>
          <bgColor theme="3" tint="0.39994506668294322"/>
        </patternFill>
      </fill>
    </dxf>
    <dxf>
      <font>
        <color rgb="FF006100"/>
      </font>
      <fill>
        <patternFill>
          <bgColor rgb="FFC6EFCE"/>
        </patternFill>
      </fill>
    </dxf>
    <dxf>
      <fill>
        <patternFill>
          <bgColor rgb="FFC6EFCE"/>
        </patternFill>
      </fill>
    </dxf>
    <dxf>
      <font>
        <color auto="1"/>
      </font>
      <fill>
        <patternFill>
          <bgColor theme="3" tint="0.39994506668294322"/>
        </patternFill>
      </fill>
    </dxf>
    <dxf>
      <fill>
        <patternFill>
          <bgColor theme="3" tint="0.39994506668294322"/>
        </patternFill>
      </fill>
    </dxf>
    <dxf>
      <font>
        <color rgb="FF006100"/>
      </font>
      <fill>
        <patternFill>
          <bgColor rgb="FFC6EFCE"/>
        </patternFill>
      </fill>
    </dxf>
    <dxf>
      <fill>
        <patternFill>
          <bgColor rgb="FFC6EFCE"/>
        </patternFill>
      </fill>
    </dxf>
    <dxf>
      <font>
        <color auto="1"/>
      </font>
      <fill>
        <patternFill>
          <bgColor theme="3" tint="0.59996337778862885"/>
        </patternFill>
      </fill>
    </dxf>
    <dxf>
      <fill>
        <patternFill>
          <bgColor rgb="FF00B050"/>
        </patternFill>
      </fill>
    </dxf>
    <dxf>
      <font>
        <color rgb="FF9C0006"/>
      </font>
      <fill>
        <patternFill>
          <bgColor rgb="FFFF7C80"/>
        </patternFill>
      </fill>
    </dxf>
    <dxf>
      <font>
        <color rgb="FF9C0006"/>
      </font>
    </dxf>
    <dxf>
      <fill>
        <patternFill>
          <bgColor rgb="FFFF0000"/>
        </patternFill>
      </fill>
    </dxf>
    <dxf>
      <fill>
        <patternFill patternType="solid">
          <fgColor theme="4" tint="0.59996337778862885"/>
          <bgColor theme="4" tint="0.59996337778862885"/>
        </patternFill>
      </fill>
    </dxf>
    <dxf>
      <fill>
        <patternFill>
          <bgColor theme="4" tint="0.59996337778862885"/>
        </patternFill>
      </fill>
    </dxf>
    <dxf>
      <fill>
        <patternFill>
          <bgColor theme="3" tint="0.39994506668294322"/>
        </patternFill>
      </fill>
    </dxf>
    <dxf>
      <fill>
        <patternFill>
          <bgColor theme="3" tint="0.39994506668294322"/>
        </patternFill>
      </fill>
    </dxf>
    <dxf>
      <font>
        <color auto="1"/>
      </font>
      <fill>
        <patternFill>
          <bgColor theme="3" tint="0.59996337778862885"/>
        </patternFill>
      </fill>
    </dxf>
    <dxf>
      <fill>
        <patternFill>
          <bgColor rgb="FF00B050"/>
        </patternFill>
      </fill>
    </dxf>
    <dxf>
      <font>
        <color rgb="FF9C0006"/>
      </font>
      <fill>
        <patternFill>
          <bgColor rgb="FFFF7C80"/>
        </patternFill>
      </fill>
    </dxf>
    <dxf>
      <font>
        <color rgb="FF9C0006"/>
      </font>
    </dxf>
    <dxf>
      <fill>
        <patternFill>
          <bgColor rgb="FFFF0000"/>
        </patternFill>
      </fill>
    </dxf>
    <dxf>
      <fill>
        <patternFill patternType="solid">
          <fgColor theme="4" tint="0.59996337778862885"/>
          <bgColor theme="4" tint="0.59996337778862885"/>
        </patternFill>
      </fill>
    </dxf>
    <dxf>
      <fill>
        <patternFill>
          <bgColor theme="4" tint="0.59996337778862885"/>
        </patternFill>
      </fill>
    </dxf>
    <dxf>
      <fill>
        <patternFill>
          <bgColor theme="3" tint="0.39994506668294322"/>
        </patternFill>
      </fill>
    </dxf>
    <dxf>
      <fill>
        <patternFill>
          <bgColor theme="3" tint="0.39994506668294322"/>
        </patternFill>
      </fill>
    </dxf>
    <dxf>
      <font>
        <color auto="1"/>
      </font>
      <fill>
        <patternFill>
          <bgColor theme="3" tint="0.59996337778862885"/>
        </patternFill>
      </fill>
    </dxf>
    <dxf>
      <fill>
        <patternFill>
          <bgColor rgb="FF00B050"/>
        </patternFill>
      </fill>
    </dxf>
    <dxf>
      <font>
        <color rgb="FF9C0006"/>
      </font>
      <fill>
        <patternFill>
          <bgColor rgb="FFFF7C80"/>
        </patternFill>
      </fill>
    </dxf>
    <dxf>
      <font>
        <color rgb="FF9C0006"/>
      </font>
    </dxf>
    <dxf>
      <fill>
        <patternFill>
          <bgColor rgb="FFFF0000"/>
        </patternFill>
      </fill>
    </dxf>
    <dxf>
      <fill>
        <patternFill patternType="solid">
          <fgColor theme="4" tint="0.59996337778862885"/>
          <bgColor theme="4" tint="0.59996337778862885"/>
        </patternFill>
      </fill>
    </dxf>
    <dxf>
      <fill>
        <patternFill>
          <bgColor theme="4" tint="0.59996337778862885"/>
        </patternFill>
      </fill>
    </dxf>
    <dxf>
      <fill>
        <patternFill>
          <bgColor theme="3" tint="0.39994506668294322"/>
        </patternFill>
      </fill>
    </dxf>
    <dxf>
      <fill>
        <patternFill>
          <bgColor theme="3" tint="0.39994506668294322"/>
        </patternFill>
      </fill>
    </dxf>
    <dxf>
      <font>
        <color auto="1"/>
      </font>
      <fill>
        <patternFill>
          <bgColor theme="3" tint="0.59996337778862885"/>
        </patternFill>
      </fill>
    </dxf>
    <dxf>
      <fill>
        <patternFill>
          <bgColor rgb="FF00B050"/>
        </patternFill>
      </fill>
    </dxf>
    <dxf>
      <font>
        <color rgb="FF9C0006"/>
      </font>
      <fill>
        <patternFill>
          <bgColor rgb="FFFF7C80"/>
        </patternFill>
      </fill>
    </dxf>
    <dxf>
      <font>
        <color rgb="FF9C0006"/>
      </font>
    </dxf>
    <dxf>
      <fill>
        <patternFill>
          <bgColor rgb="FFFF0000"/>
        </patternFill>
      </fill>
    </dxf>
    <dxf>
      <fill>
        <patternFill patternType="solid">
          <fgColor theme="4" tint="0.59996337778862885"/>
          <bgColor theme="4" tint="0.59996337778862885"/>
        </patternFill>
      </fill>
    </dxf>
    <dxf>
      <fill>
        <patternFill>
          <bgColor theme="4" tint="0.59996337778862885"/>
        </patternFill>
      </fill>
    </dxf>
    <dxf>
      <fill>
        <patternFill>
          <bgColor theme="3" tint="0.39994506668294322"/>
        </patternFill>
      </fill>
    </dxf>
    <dxf>
      <fill>
        <patternFill>
          <bgColor theme="3" tint="0.39994506668294322"/>
        </patternFill>
      </fill>
    </dxf>
    <dxf>
      <font>
        <color auto="1"/>
      </font>
      <fill>
        <patternFill>
          <bgColor theme="3" tint="0.59996337778862885"/>
        </patternFill>
      </fill>
    </dxf>
    <dxf>
      <fill>
        <patternFill>
          <bgColor rgb="FF00B050"/>
        </patternFill>
      </fill>
    </dxf>
    <dxf>
      <font>
        <color rgb="FF9C0006"/>
      </font>
      <fill>
        <patternFill>
          <bgColor rgb="FFFF7C80"/>
        </patternFill>
      </fill>
    </dxf>
    <dxf>
      <font>
        <color rgb="FF9C0006"/>
      </font>
    </dxf>
    <dxf>
      <fill>
        <patternFill>
          <bgColor rgb="FFFF0000"/>
        </patternFill>
      </fill>
    </dxf>
    <dxf>
      <fill>
        <patternFill patternType="solid">
          <fgColor theme="4" tint="0.59996337778862885"/>
          <bgColor theme="4" tint="0.59996337778862885"/>
        </patternFill>
      </fill>
    </dxf>
    <dxf>
      <fill>
        <patternFill>
          <bgColor theme="4" tint="0.59996337778862885"/>
        </patternFill>
      </fill>
    </dxf>
    <dxf>
      <fill>
        <patternFill>
          <bgColor theme="3" tint="0.39994506668294322"/>
        </patternFill>
      </fill>
    </dxf>
    <dxf>
      <fill>
        <patternFill>
          <bgColor theme="3" tint="0.39994506668294322"/>
        </patternFill>
      </fill>
    </dxf>
    <dxf>
      <font>
        <color auto="1"/>
      </font>
      <fill>
        <patternFill>
          <bgColor theme="3" tint="0.59996337778862885"/>
        </patternFill>
      </fill>
    </dxf>
    <dxf>
      <fill>
        <patternFill>
          <bgColor rgb="FF00B050"/>
        </patternFill>
      </fill>
    </dxf>
    <dxf>
      <font>
        <color rgb="FF9C0006"/>
      </font>
      <fill>
        <patternFill>
          <bgColor rgb="FFFF7C80"/>
        </patternFill>
      </fill>
    </dxf>
    <dxf>
      <font>
        <color rgb="FF9C0006"/>
      </font>
    </dxf>
    <dxf>
      <fill>
        <patternFill>
          <bgColor rgb="FFFF0000"/>
        </patternFill>
      </fill>
    </dxf>
    <dxf>
      <fill>
        <patternFill patternType="solid">
          <fgColor theme="4" tint="0.59996337778862885"/>
          <bgColor theme="4" tint="0.59996337778862885"/>
        </patternFill>
      </fill>
    </dxf>
    <dxf>
      <fill>
        <patternFill>
          <bgColor theme="4" tint="0.59996337778862885"/>
        </patternFill>
      </fill>
    </dxf>
    <dxf>
      <fill>
        <patternFill>
          <bgColor theme="3" tint="0.39994506668294322"/>
        </patternFill>
      </fill>
    </dxf>
    <dxf>
      <fill>
        <patternFill>
          <bgColor theme="3" tint="0.39994506668294322"/>
        </patternFill>
      </fill>
    </dxf>
    <dxf>
      <font>
        <color auto="1"/>
      </font>
      <fill>
        <patternFill>
          <bgColor theme="3" tint="0.59996337778862885"/>
        </patternFill>
      </fill>
    </dxf>
    <dxf>
      <fill>
        <patternFill>
          <bgColor rgb="FF00B050"/>
        </patternFill>
      </fill>
    </dxf>
    <dxf>
      <font>
        <color rgb="FF9C0006"/>
      </font>
      <fill>
        <patternFill>
          <bgColor rgb="FFFF7C80"/>
        </patternFill>
      </fill>
    </dxf>
    <dxf>
      <font>
        <color rgb="FF9C0006"/>
      </font>
    </dxf>
    <dxf>
      <fill>
        <patternFill>
          <bgColor rgb="FFFF0000"/>
        </patternFill>
      </fill>
    </dxf>
    <dxf>
      <fill>
        <patternFill patternType="solid">
          <fgColor theme="4" tint="0.59996337778862885"/>
          <bgColor theme="4" tint="0.59996337778862885"/>
        </patternFill>
      </fill>
    </dxf>
    <dxf>
      <fill>
        <patternFill>
          <bgColor theme="4" tint="0.59996337778862885"/>
        </patternFill>
      </fill>
    </dxf>
    <dxf>
      <fill>
        <patternFill>
          <bgColor theme="3" tint="0.39994506668294322"/>
        </patternFill>
      </fill>
    </dxf>
    <dxf>
      <fill>
        <patternFill>
          <bgColor theme="3" tint="0.39994506668294322"/>
        </patternFill>
      </fill>
    </dxf>
    <dxf>
      <fill>
        <patternFill>
          <bgColor theme="3" tint="0.39994506668294322"/>
        </patternFill>
      </fill>
    </dxf>
    <dxf>
      <font>
        <color auto="1"/>
      </font>
      <fill>
        <patternFill>
          <bgColor theme="3" tint="0.59996337778862885"/>
        </patternFill>
      </fill>
    </dxf>
    <dxf>
      <fill>
        <patternFill>
          <bgColor rgb="FF00B050"/>
        </patternFill>
      </fill>
    </dxf>
    <dxf>
      <font>
        <color rgb="FF9C0006"/>
      </font>
      <fill>
        <patternFill>
          <bgColor rgb="FFFF7C80"/>
        </patternFill>
      </fill>
    </dxf>
    <dxf>
      <font>
        <color rgb="FF9C0006"/>
      </font>
    </dxf>
    <dxf>
      <fill>
        <patternFill>
          <bgColor rgb="FFFF0000"/>
        </patternFill>
      </fill>
    </dxf>
    <dxf>
      <fill>
        <patternFill patternType="solid">
          <fgColor theme="4" tint="0.59996337778862885"/>
          <bgColor theme="4" tint="0.59996337778862885"/>
        </patternFill>
      </fill>
    </dxf>
    <dxf>
      <fill>
        <patternFill>
          <bgColor theme="4" tint="0.59996337778862885"/>
        </patternFill>
      </fill>
    </dxf>
    <dxf>
      <fill>
        <patternFill>
          <bgColor theme="3" tint="0.39994506668294322"/>
        </patternFill>
      </fill>
    </dxf>
    <dxf>
      <fill>
        <patternFill>
          <bgColor theme="3" tint="0.39994506668294322"/>
        </patternFill>
      </fill>
    </dxf>
    <dxf>
      <fill>
        <patternFill>
          <bgColor theme="3" tint="0.39994506668294322"/>
        </patternFill>
      </fill>
    </dxf>
    <dxf>
      <font>
        <color auto="1"/>
      </font>
      <fill>
        <patternFill>
          <bgColor theme="3" tint="0.59996337778862885"/>
        </patternFill>
      </fill>
    </dxf>
    <dxf>
      <fill>
        <patternFill>
          <bgColor rgb="FF00B050"/>
        </patternFill>
      </fill>
    </dxf>
    <dxf>
      <font>
        <color rgb="FF9C0006"/>
      </font>
      <fill>
        <patternFill>
          <bgColor rgb="FFFF7C80"/>
        </patternFill>
      </fill>
    </dxf>
    <dxf>
      <font>
        <color rgb="FF9C0006"/>
      </font>
    </dxf>
    <dxf>
      <fill>
        <patternFill>
          <bgColor rgb="FFFF0000"/>
        </patternFill>
      </fill>
    </dxf>
    <dxf>
      <fill>
        <patternFill patternType="solid">
          <fgColor theme="4" tint="0.59996337778862885"/>
          <bgColor theme="4" tint="0.59996337778862885"/>
        </patternFill>
      </fill>
    </dxf>
    <dxf>
      <fill>
        <patternFill>
          <bgColor theme="4" tint="0.59996337778862885"/>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ont>
        <color auto="1"/>
      </font>
      <fill>
        <patternFill>
          <bgColor theme="3" tint="0.59996337778862885"/>
        </patternFill>
      </fill>
    </dxf>
    <dxf>
      <fill>
        <patternFill>
          <bgColor rgb="FF00B050"/>
        </patternFill>
      </fill>
    </dxf>
    <dxf>
      <font>
        <color rgb="FF9C0006"/>
      </font>
      <fill>
        <patternFill>
          <bgColor rgb="FFFF7C80"/>
        </patternFill>
      </fill>
    </dxf>
    <dxf>
      <font>
        <color rgb="FF9C0006"/>
      </font>
    </dxf>
    <dxf>
      <fill>
        <patternFill>
          <bgColor rgb="FFFF0000"/>
        </patternFill>
      </fill>
    </dxf>
    <dxf>
      <fill>
        <patternFill patternType="solid">
          <fgColor theme="4" tint="0.59996337778862885"/>
          <bgColor theme="4" tint="0.59996337778862885"/>
        </patternFill>
      </fill>
    </dxf>
    <dxf>
      <fill>
        <patternFill>
          <bgColor theme="4" tint="0.59996337778862885"/>
        </patternFill>
      </fill>
    </dxf>
    <dxf>
      <fill>
        <patternFill>
          <bgColor theme="3" tint="0.39994506668294322"/>
        </patternFill>
      </fill>
    </dxf>
    <dxf>
      <fill>
        <patternFill>
          <bgColor theme="3" tint="0.39994506668294322"/>
        </patternFill>
      </fill>
    </dxf>
    <dxf>
      <font>
        <color auto="1"/>
      </font>
      <fill>
        <patternFill>
          <bgColor theme="3" tint="0.59996337778862885"/>
        </patternFill>
      </fill>
    </dxf>
    <dxf>
      <fill>
        <patternFill>
          <bgColor rgb="FF00B050"/>
        </patternFill>
      </fill>
    </dxf>
    <dxf>
      <font>
        <color rgb="FF9C0006"/>
      </font>
      <fill>
        <patternFill>
          <bgColor rgb="FFFF7C80"/>
        </patternFill>
      </fill>
    </dxf>
    <dxf>
      <font>
        <color rgb="FF9C0006"/>
      </font>
    </dxf>
    <dxf>
      <fill>
        <patternFill>
          <bgColor rgb="FFFF0000"/>
        </patternFill>
      </fill>
    </dxf>
    <dxf>
      <fill>
        <patternFill patternType="solid">
          <fgColor theme="4" tint="0.59996337778862885"/>
          <bgColor theme="4" tint="0.59996337778862885"/>
        </patternFill>
      </fill>
    </dxf>
    <dxf>
      <fill>
        <patternFill>
          <bgColor theme="4" tint="0.59996337778862885"/>
        </patternFill>
      </fill>
    </dxf>
    <dxf>
      <fill>
        <patternFill>
          <bgColor theme="3" tint="0.39994506668294322"/>
        </patternFill>
      </fill>
    </dxf>
    <dxf>
      <fill>
        <patternFill>
          <bgColor theme="3" tint="0.39994506668294322"/>
        </patternFill>
      </fill>
    </dxf>
    <dxf>
      <font>
        <color theme="0"/>
      </font>
    </dxf>
    <dxf>
      <font>
        <color auto="1"/>
      </font>
      <fill>
        <patternFill>
          <bgColor theme="3" tint="0.59996337778862885"/>
        </patternFill>
      </fill>
    </dxf>
    <dxf>
      <fill>
        <patternFill>
          <bgColor rgb="FF00B050"/>
        </patternFill>
      </fill>
    </dxf>
    <dxf>
      <font>
        <color rgb="FF9C0006"/>
      </font>
      <fill>
        <patternFill>
          <bgColor rgb="FFFF7C80"/>
        </patternFill>
      </fill>
    </dxf>
    <dxf>
      <font>
        <color rgb="FF9C0006"/>
      </font>
    </dxf>
    <dxf>
      <fill>
        <patternFill>
          <bgColor rgb="FFFF0000"/>
        </patternFill>
      </fill>
    </dxf>
    <dxf>
      <fill>
        <patternFill patternType="solid">
          <fgColor theme="4" tint="0.59996337778862885"/>
          <bgColor theme="4" tint="0.59996337778862885"/>
        </patternFill>
      </fill>
    </dxf>
    <dxf>
      <fill>
        <patternFill>
          <bgColor theme="4" tint="0.59996337778862885"/>
        </patternFill>
      </fill>
    </dxf>
    <dxf>
      <fill>
        <patternFill>
          <bgColor theme="3" tint="0.39994506668294322"/>
        </patternFill>
      </fill>
    </dxf>
    <dxf>
      <fill>
        <patternFill>
          <bgColor theme="3" tint="0.39994506668294322"/>
        </patternFill>
      </fill>
    </dxf>
    <dxf>
      <font>
        <color theme="0"/>
      </font>
    </dxf>
    <dxf>
      <fill>
        <patternFill>
          <bgColor theme="5" tint="0.59996337778862885"/>
        </patternFill>
      </fill>
    </dxf>
    <dxf>
      <font>
        <color rgb="FF006100"/>
      </font>
      <fill>
        <patternFill>
          <bgColor rgb="FFC6EFCE"/>
        </patternFill>
      </fill>
    </dxf>
    <dxf>
      <font>
        <color rgb="FF9C0006"/>
      </font>
      <fill>
        <patternFill>
          <bgColor rgb="FFFFC7CE"/>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59996337778862885"/>
        </patternFill>
      </fill>
    </dxf>
    <dxf>
      <fill>
        <patternFill>
          <bgColor theme="1"/>
        </patternFill>
      </fill>
    </dxf>
    <dxf>
      <fill>
        <patternFill>
          <bgColor theme="1"/>
        </patternFill>
      </fill>
    </dxf>
    <dxf>
      <fill>
        <patternFill>
          <bgColor theme="1"/>
        </patternFill>
      </fill>
    </dxf>
  </dxfs>
  <tableStyles count="0" defaultTableStyle="TableStyleMedium2" defaultPivotStyle="PivotStyleMedium9"/>
  <colors>
    <mruColors>
      <color rgb="FF0F7330"/>
      <color rgb="FFFF5050"/>
      <color rgb="FFC6EFCE"/>
      <color rgb="FF13953E"/>
      <color rgb="FFFFFFCC"/>
      <color rgb="FFFFF2CC"/>
      <color rgb="FFFFE699"/>
      <color rgb="FFFF7C80"/>
      <color rgb="FFFFFF99"/>
      <color rgb="FF9C000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jpe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xdr:col>
      <xdr:colOff>504825</xdr:colOff>
      <xdr:row>2</xdr:row>
      <xdr:rowOff>120205</xdr:rowOff>
    </xdr:from>
    <xdr:to>
      <xdr:col>7</xdr:col>
      <xdr:colOff>352425</xdr:colOff>
      <xdr:row>4</xdr:row>
      <xdr:rowOff>171895</xdr:rowOff>
    </xdr:to>
    <xdr:pic>
      <xdr:nvPicPr>
        <xdr:cNvPr id="2" name="Obraz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62050" y="501205"/>
          <a:ext cx="3790950" cy="432690"/>
        </a:xfrm>
        <a:prstGeom prst="rect">
          <a:avLst/>
        </a:prstGeom>
      </xdr:spPr>
    </xdr:pic>
    <xdr:clientData/>
  </xdr:twoCellAnchor>
  <xdr:twoCellAnchor editAs="oneCell">
    <xdr:from>
      <xdr:col>5</xdr:col>
      <xdr:colOff>342900</xdr:colOff>
      <xdr:row>22</xdr:row>
      <xdr:rowOff>133350</xdr:rowOff>
    </xdr:from>
    <xdr:to>
      <xdr:col>8</xdr:col>
      <xdr:colOff>542925</xdr:colOff>
      <xdr:row>30</xdr:row>
      <xdr:rowOff>72390</xdr:rowOff>
    </xdr:to>
    <xdr:pic>
      <xdr:nvPicPr>
        <xdr:cNvPr id="4" name="Obraz 3">
          <a:extLst>
            <a:ext uri="{FF2B5EF4-FFF2-40B4-BE49-F238E27FC236}">
              <a16:creationId xmlns:a16="http://schemas.microsoft.com/office/drawing/2014/main" id="{00000000-0008-0000-0000-000004000000}"/>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b="47738"/>
        <a:stretch/>
      </xdr:blipFill>
      <xdr:spPr bwMode="auto">
        <a:xfrm>
          <a:off x="3629025" y="4362450"/>
          <a:ext cx="2171700" cy="14630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85725</xdr:colOff>
      <xdr:row>33</xdr:row>
      <xdr:rowOff>104775</xdr:rowOff>
    </xdr:from>
    <xdr:to>
      <xdr:col>7</xdr:col>
      <xdr:colOff>600075</xdr:colOff>
      <xdr:row>38</xdr:row>
      <xdr:rowOff>95250</xdr:rowOff>
    </xdr:to>
    <xdr:pic>
      <xdr:nvPicPr>
        <xdr:cNvPr id="5" name="Obraz 4">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42950" y="6438900"/>
          <a:ext cx="4457700" cy="942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323850</xdr:colOff>
      <xdr:row>47</xdr:row>
      <xdr:rowOff>114300</xdr:rowOff>
    </xdr:from>
    <xdr:to>
      <xdr:col>7</xdr:col>
      <xdr:colOff>6350</xdr:colOff>
      <xdr:row>56</xdr:row>
      <xdr:rowOff>51050</xdr:rowOff>
    </xdr:to>
    <xdr:pic>
      <xdr:nvPicPr>
        <xdr:cNvPr id="7" name="Obraz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981075" y="9134475"/>
          <a:ext cx="3609975" cy="1651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428625</xdr:colOff>
      <xdr:row>59</xdr:row>
      <xdr:rowOff>123825</xdr:rowOff>
    </xdr:from>
    <xdr:to>
      <xdr:col>4</xdr:col>
      <xdr:colOff>200025</xdr:colOff>
      <xdr:row>68</xdr:row>
      <xdr:rowOff>14621</xdr:rowOff>
    </xdr:to>
    <xdr:pic>
      <xdr:nvPicPr>
        <xdr:cNvPr id="9" name="Obraz 8">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428625" y="11449050"/>
          <a:ext cx="2400300" cy="16052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247650</xdr:colOff>
      <xdr:row>71</xdr:row>
      <xdr:rowOff>123825</xdr:rowOff>
    </xdr:from>
    <xdr:to>
      <xdr:col>8</xdr:col>
      <xdr:colOff>650875</xdr:colOff>
      <xdr:row>89</xdr:row>
      <xdr:rowOff>38100</xdr:rowOff>
    </xdr:to>
    <xdr:pic>
      <xdr:nvPicPr>
        <xdr:cNvPr id="11" name="Obraz 10">
          <a:extLst>
            <a:ext uri="{FF2B5EF4-FFF2-40B4-BE49-F238E27FC236}">
              <a16:creationId xmlns:a16="http://schemas.microsoft.com/office/drawing/2014/main" id="{00000000-0008-0000-0000-00000B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2686050" y="9934575"/>
          <a:ext cx="2841625" cy="3343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209550</xdr:colOff>
      <xdr:row>110</xdr:row>
      <xdr:rowOff>104775</xdr:rowOff>
    </xdr:from>
    <xdr:to>
      <xdr:col>8</xdr:col>
      <xdr:colOff>641350</xdr:colOff>
      <xdr:row>117</xdr:row>
      <xdr:rowOff>5604</xdr:rowOff>
    </xdr:to>
    <xdr:pic>
      <xdr:nvPicPr>
        <xdr:cNvPr id="13" name="Obraz 12">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09550" y="13935075"/>
          <a:ext cx="5308600" cy="12343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152400</xdr:colOff>
          <xdr:row>6</xdr:row>
          <xdr:rowOff>177800</xdr:rowOff>
        </xdr:from>
        <xdr:to>
          <xdr:col>2</xdr:col>
          <xdr:colOff>12700</xdr:colOff>
          <xdr:row>9</xdr:row>
          <xdr:rowOff>139700</xdr:rowOff>
        </xdr:to>
        <xdr:sp macro="" textlink="">
          <xdr:nvSpPr>
            <xdr:cNvPr id="7176" name="Button 8" hidden="1">
              <a:extLst>
                <a:ext uri="{63B3BB69-23CF-44E3-9099-C40C66FF867C}">
                  <a14:compatExt spid="_x0000_s7176"/>
                </a:ext>
                <a:ext uri="{FF2B5EF4-FFF2-40B4-BE49-F238E27FC236}">
                  <a16:creationId xmlns:a16="http://schemas.microsoft.com/office/drawing/2014/main" id="{00000000-0008-0000-0400-0000081C0000}"/>
                </a:ext>
              </a:extLst>
            </xdr:cNvPr>
            <xdr:cNvSpPr/>
          </xdr:nvSpPr>
          <xdr:spPr bwMode="auto">
            <a:xfrm>
              <a:off x="0" y="0"/>
              <a:ext cx="0" cy="0"/>
            </a:xfrm>
            <a:prstGeom prst="rect">
              <a:avLst/>
            </a:prstGeom>
            <a:solidFill>
              <a:srgbClr val="F0F0F0"/>
            </a:solidFill>
            <a:ln w="9525">
              <a:solidFill>
                <a:srgbClr val="000000"/>
              </a:solidFill>
              <a:miter lim="800000"/>
              <a:headEnd/>
              <a:tailEnd/>
            </a:ln>
          </xdr:spPr>
          <xdr:txBody>
            <a:bodyPr vertOverflow="clip" wrap="square" lIns="27432" tIns="22860" rIns="27432" bIns="22860" anchor="ctr" upright="1"/>
            <a:lstStyle/>
            <a:p>
              <a:pPr algn="ctr" rtl="0">
                <a:defRPr sz="1000"/>
              </a:pPr>
              <a:r>
                <a:rPr lang="pl-PL" sz="1100" b="0" i="0" u="none" strike="noStrike" baseline="0">
                  <a:solidFill>
                    <a:srgbClr val="000000"/>
                  </a:solidFill>
                  <a:latin typeface="Calibri" pitchFamily="2" charset="0"/>
                  <a:cs typeface="Calibri" pitchFamily="2" charset="0"/>
                </a:rPr>
                <a:t>Employees</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8.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usz2">
    <tabColor rgb="FF00B050"/>
  </sheetPr>
  <dimension ref="A1:J138"/>
  <sheetViews>
    <sheetView showGridLines="0" showRowColHeaders="0" showRuler="0" showWhiteSpace="0" zoomScaleNormal="100" workbookViewId="0">
      <selection activeCell="A8" sqref="A8"/>
    </sheetView>
  </sheetViews>
  <sheetFormatPr defaultColWidth="0" defaultRowHeight="15" zeroHeight="1"/>
  <cols>
    <col min="1" max="8" width="9.140625" style="51" customWidth="1"/>
    <col min="9" max="9" width="10" style="51" customWidth="1"/>
    <col min="10" max="10" width="1" style="51" customWidth="1"/>
    <col min="11" max="16384" width="9.140625" style="51" hidden="1"/>
  </cols>
  <sheetData>
    <row r="1" spans="1:9">
      <c r="A1" s="503" t="str">
        <f ca="1">INDIRECT("T!"&amp;T!A1&amp;"75")</f>
        <v>1. Uruchom Makra. Uwaga! Jeżeli nie uruchomisz makr plik nie będzie działał prawidłowo.</v>
      </c>
      <c r="B1" s="504"/>
      <c r="C1" s="504"/>
      <c r="D1" s="504"/>
      <c r="E1" s="504"/>
      <c r="F1" s="504"/>
      <c r="G1" s="504"/>
      <c r="H1" s="504"/>
      <c r="I1" s="505"/>
    </row>
    <row r="2" spans="1:9">
      <c r="A2" s="506"/>
      <c r="B2" s="507"/>
      <c r="C2" s="507"/>
      <c r="D2" s="507"/>
      <c r="E2" s="507"/>
      <c r="F2" s="507"/>
      <c r="G2" s="507"/>
      <c r="H2" s="507"/>
      <c r="I2" s="508"/>
    </row>
    <row r="3" spans="1:9">
      <c r="A3" s="52"/>
      <c r="I3" s="53"/>
    </row>
    <row r="4" spans="1:9">
      <c r="A4" s="52"/>
      <c r="I4" s="53"/>
    </row>
    <row r="5" spans="1:9">
      <c r="A5" s="52"/>
      <c r="I5" s="53"/>
    </row>
    <row r="6" spans="1:9" ht="15.75" thickBot="1">
      <c r="A6" s="54"/>
      <c r="B6" s="55"/>
      <c r="C6" s="55"/>
      <c r="D6" s="55"/>
      <c r="E6" s="55"/>
      <c r="F6" s="55"/>
      <c r="G6" s="55"/>
      <c r="H6" s="55"/>
      <c r="I6" s="56"/>
    </row>
    <row r="7" spans="1:9" ht="15.75" thickBot="1"/>
    <row r="8" spans="1:9" s="58" customFormat="1" hidden="1">
      <c r="A8" s="513" t="str">
        <f ca="1">INDIRECT("T!"&amp;T!A1&amp;"76")</f>
        <v>2. Edycja kalendarza pracy</v>
      </c>
      <c r="B8" s="514"/>
      <c r="C8" s="514"/>
      <c r="D8" s="514"/>
      <c r="E8" s="514"/>
      <c r="F8" s="514"/>
      <c r="G8" s="514"/>
      <c r="H8" s="514"/>
      <c r="I8" s="515"/>
    </row>
    <row r="9" spans="1:9" hidden="1">
      <c r="A9" s="52"/>
      <c r="I9" s="53"/>
    </row>
    <row r="10" spans="1:9" ht="15" hidden="1" customHeight="1">
      <c r="A10" s="509" t="str">
        <f ca="1">INDIRECT("T!"&amp;T!A1&amp;"77")</f>
        <v xml:space="preserve">Wejdź do panelu administratora używając przycisku "Admin Panel" w arkuszu Schedules. Następnie w Panelu Administratora użyj przycisku "Show/Hide Callendar". W kalendarzu możesz wprowadzić wszystkie wymagane dane. Poniżej wprowadź daty dni świątecznych, które powinny być zaznaczone na grafiku jako szare pola. Uwaga! Pamiętaj aby data w panelu administratora była ustawiona właściwie. </v>
      </c>
      <c r="B10" s="510"/>
      <c r="C10" s="510"/>
      <c r="D10" s="510"/>
      <c r="E10" s="510"/>
      <c r="I10" s="53"/>
    </row>
    <row r="11" spans="1:9" hidden="1">
      <c r="A11" s="509"/>
      <c r="B11" s="510"/>
      <c r="C11" s="510"/>
      <c r="D11" s="510"/>
      <c r="E11" s="510"/>
      <c r="I11" s="53"/>
    </row>
    <row r="12" spans="1:9" hidden="1">
      <c r="A12" s="509"/>
      <c r="B12" s="510"/>
      <c r="C12" s="510"/>
      <c r="D12" s="510"/>
      <c r="E12" s="510"/>
      <c r="I12" s="53"/>
    </row>
    <row r="13" spans="1:9" hidden="1">
      <c r="A13" s="509"/>
      <c r="B13" s="510"/>
      <c r="C13" s="510"/>
      <c r="D13" s="510"/>
      <c r="E13" s="510"/>
      <c r="I13" s="53"/>
    </row>
    <row r="14" spans="1:9" hidden="1">
      <c r="A14" s="509"/>
      <c r="B14" s="510"/>
      <c r="C14" s="510"/>
      <c r="D14" s="510"/>
      <c r="E14" s="510"/>
      <c r="I14" s="53"/>
    </row>
    <row r="15" spans="1:9" hidden="1">
      <c r="A15" s="509"/>
      <c r="B15" s="510"/>
      <c r="C15" s="510"/>
      <c r="D15" s="510"/>
      <c r="E15" s="510"/>
      <c r="I15" s="53"/>
    </row>
    <row r="16" spans="1:9" hidden="1">
      <c r="A16" s="509"/>
      <c r="B16" s="510"/>
      <c r="C16" s="510"/>
      <c r="D16" s="510"/>
      <c r="E16" s="510"/>
      <c r="I16" s="53"/>
    </row>
    <row r="17" spans="1:9" hidden="1">
      <c r="A17" s="509"/>
      <c r="B17" s="510"/>
      <c r="C17" s="510"/>
      <c r="D17" s="510"/>
      <c r="E17" s="510"/>
      <c r="I17" s="53"/>
    </row>
    <row r="18" spans="1:9" hidden="1">
      <c r="A18" s="509"/>
      <c r="B18" s="510"/>
      <c r="C18" s="510"/>
      <c r="D18" s="510"/>
      <c r="E18" s="510"/>
      <c r="I18" s="53"/>
    </row>
    <row r="19" spans="1:9" hidden="1">
      <c r="A19" s="509"/>
      <c r="B19" s="510"/>
      <c r="C19" s="510"/>
      <c r="D19" s="510"/>
      <c r="E19" s="510"/>
      <c r="I19" s="53"/>
    </row>
    <row r="20" spans="1:9" hidden="1">
      <c r="A20" s="509"/>
      <c r="B20" s="510"/>
      <c r="C20" s="510"/>
      <c r="D20" s="510"/>
      <c r="E20" s="510"/>
      <c r="I20" s="53"/>
    </row>
    <row r="21" spans="1:9" ht="15.75" hidden="1" thickBot="1">
      <c r="A21" s="511"/>
      <c r="B21" s="512"/>
      <c r="C21" s="512"/>
      <c r="D21" s="512"/>
      <c r="E21" s="512"/>
      <c r="F21" s="55"/>
      <c r="G21" s="55"/>
      <c r="H21" s="55"/>
      <c r="I21" s="56"/>
    </row>
    <row r="22" spans="1:9" ht="15.75" hidden="1" thickBot="1">
      <c r="A22" s="57"/>
      <c r="B22" s="57"/>
      <c r="C22" s="57"/>
      <c r="D22" s="57"/>
      <c r="E22" s="57"/>
    </row>
    <row r="23" spans="1:9">
      <c r="A23" s="516" t="str">
        <f ca="1">INDIRECT("T!"&amp;T!A1&amp;"78")</f>
        <v>2. Ustalanie nazw zmian</v>
      </c>
      <c r="B23" s="517"/>
      <c r="C23" s="517"/>
      <c r="D23" s="517"/>
      <c r="E23" s="517"/>
      <c r="F23" s="517"/>
      <c r="G23" s="517"/>
      <c r="H23" s="517"/>
      <c r="I23" s="518"/>
    </row>
    <row r="24" spans="1:9">
      <c r="A24" s="509" t="str">
        <f ca="1">INDIRECT("T!"&amp;T!A1&amp;"79")</f>
        <v>W panelu administratora możesz zmienić nazwy zmian. Jako administrator powinieneś ustalić ich nazwy jednakowe dla całego regionu.</v>
      </c>
      <c r="B24" s="510"/>
      <c r="C24" s="510"/>
      <c r="D24" s="510"/>
      <c r="E24" s="510"/>
      <c r="I24" s="53"/>
    </row>
    <row r="25" spans="1:9">
      <c r="A25" s="509"/>
      <c r="B25" s="510"/>
      <c r="C25" s="510"/>
      <c r="D25" s="510"/>
      <c r="E25" s="510"/>
      <c r="I25" s="53"/>
    </row>
    <row r="26" spans="1:9">
      <c r="A26" s="509"/>
      <c r="B26" s="510"/>
      <c r="C26" s="510"/>
      <c r="D26" s="510"/>
      <c r="E26" s="510"/>
      <c r="I26" s="53"/>
    </row>
    <row r="27" spans="1:9">
      <c r="A27" s="509"/>
      <c r="B27" s="510"/>
      <c r="C27" s="510"/>
      <c r="D27" s="510"/>
      <c r="E27" s="510"/>
      <c r="I27" s="53"/>
    </row>
    <row r="28" spans="1:9">
      <c r="A28" s="509"/>
      <c r="B28" s="510"/>
      <c r="C28" s="510"/>
      <c r="D28" s="510"/>
      <c r="E28" s="510"/>
      <c r="I28" s="53"/>
    </row>
    <row r="29" spans="1:9">
      <c r="A29" s="509"/>
      <c r="B29" s="510"/>
      <c r="C29" s="510"/>
      <c r="D29" s="510"/>
      <c r="E29" s="510"/>
      <c r="I29" s="53"/>
    </row>
    <row r="30" spans="1:9">
      <c r="A30" s="509"/>
      <c r="B30" s="510"/>
      <c r="C30" s="510"/>
      <c r="D30" s="510"/>
      <c r="E30" s="510"/>
      <c r="I30" s="53"/>
    </row>
    <row r="31" spans="1:9" ht="15.75" thickBot="1">
      <c r="A31" s="54"/>
      <c r="B31" s="55"/>
      <c r="C31" s="55"/>
      <c r="D31" s="55"/>
      <c r="E31" s="55"/>
      <c r="F31" s="55"/>
      <c r="G31" s="55"/>
      <c r="H31" s="55"/>
      <c r="I31" s="56"/>
    </row>
    <row r="32" spans="1:9" ht="15.75" thickBot="1"/>
    <row r="33" spans="1:9">
      <c r="A33" s="513" t="str">
        <f ca="1">INDIRECT("T!"&amp;T!A1&amp;"81")</f>
        <v>3. Wprowadź nazwę kawiarni</v>
      </c>
      <c r="B33" s="514"/>
      <c r="C33" s="514"/>
      <c r="D33" s="514"/>
      <c r="E33" s="514"/>
      <c r="F33" s="514"/>
      <c r="G33" s="514"/>
      <c r="H33" s="514"/>
      <c r="I33" s="515"/>
    </row>
    <row r="34" spans="1:9">
      <c r="A34" s="52"/>
      <c r="I34" s="53"/>
    </row>
    <row r="35" spans="1:9">
      <c r="A35" s="52"/>
      <c r="I35" s="53"/>
    </row>
    <row r="36" spans="1:9">
      <c r="A36" s="52"/>
      <c r="I36" s="53"/>
    </row>
    <row r="37" spans="1:9">
      <c r="A37" s="52"/>
      <c r="I37" s="53"/>
    </row>
    <row r="38" spans="1:9">
      <c r="A38" s="52"/>
      <c r="I38" s="53"/>
    </row>
    <row r="39" spans="1:9">
      <c r="A39" s="52"/>
      <c r="I39" s="53"/>
    </row>
    <row r="40" spans="1:9" ht="15.75" thickBot="1">
      <c r="A40" s="54"/>
      <c r="B40" s="55"/>
      <c r="C40" s="55"/>
      <c r="D40" s="55"/>
      <c r="E40" s="55"/>
      <c r="F40" s="55"/>
      <c r="G40" s="55"/>
      <c r="H40" s="55"/>
      <c r="I40" s="56"/>
    </row>
    <row r="41" spans="1:9" ht="15.75" thickBot="1"/>
    <row r="46" spans="1:9" ht="15.75" hidden="1" thickBot="1"/>
    <row r="47" spans="1:9">
      <c r="A47" s="513" t="str">
        <f ca="1">INDIRECT("T!"&amp;T!A1&amp;"82")</f>
        <v>4. Wybierz pierwszy miesiąc</v>
      </c>
      <c r="B47" s="514"/>
      <c r="C47" s="514"/>
      <c r="D47" s="514"/>
      <c r="E47" s="514"/>
      <c r="F47" s="514"/>
      <c r="G47" s="514"/>
      <c r="H47" s="514"/>
      <c r="I47" s="515"/>
    </row>
    <row r="48" spans="1:9">
      <c r="A48" s="52"/>
      <c r="I48" s="53"/>
    </row>
    <row r="49" spans="1:9">
      <c r="A49" s="52"/>
      <c r="I49" s="53"/>
    </row>
    <row r="50" spans="1:9">
      <c r="A50" s="52"/>
      <c r="I50" s="53"/>
    </row>
    <row r="51" spans="1:9">
      <c r="A51" s="52"/>
      <c r="I51" s="53"/>
    </row>
    <row r="52" spans="1:9">
      <c r="A52" s="52"/>
      <c r="I52" s="53"/>
    </row>
    <row r="53" spans="1:9">
      <c r="A53" s="52"/>
      <c r="I53" s="53"/>
    </row>
    <row r="54" spans="1:9">
      <c r="A54" s="52"/>
      <c r="I54" s="53"/>
    </row>
    <row r="55" spans="1:9">
      <c r="A55" s="52"/>
      <c r="I55" s="53"/>
    </row>
    <row r="56" spans="1:9">
      <c r="A56" s="52"/>
      <c r="I56" s="53"/>
    </row>
    <row r="57" spans="1:9" ht="15.75" thickBot="1">
      <c r="A57" s="54"/>
      <c r="B57" s="55"/>
      <c r="C57" s="55"/>
      <c r="D57" s="55"/>
      <c r="E57" s="55"/>
      <c r="F57" s="55"/>
      <c r="G57" s="55"/>
      <c r="H57" s="55"/>
      <c r="I57" s="56"/>
    </row>
    <row r="58" spans="1:9" ht="15.75" thickBot="1"/>
    <row r="59" spans="1:9">
      <c r="A59" s="513" t="str">
        <f ca="1">INDIRECT("T!"&amp;T!A1&amp;"83")</f>
        <v>5. Wprowadź imiona, pozycje i etaty managerów</v>
      </c>
      <c r="B59" s="514"/>
      <c r="C59" s="514"/>
      <c r="D59" s="514"/>
      <c r="E59" s="514"/>
      <c r="F59" s="514"/>
      <c r="G59" s="514"/>
      <c r="H59" s="514"/>
      <c r="I59" s="515"/>
    </row>
    <row r="60" spans="1:9">
      <c r="A60" s="52"/>
      <c r="I60" s="53"/>
    </row>
    <row r="61" spans="1:9">
      <c r="A61" s="52"/>
      <c r="I61" s="53"/>
    </row>
    <row r="62" spans="1:9">
      <c r="A62" s="52"/>
      <c r="F62" s="521"/>
      <c r="G62" s="521"/>
      <c r="H62" s="521"/>
      <c r="I62" s="522"/>
    </row>
    <row r="63" spans="1:9">
      <c r="A63" s="52"/>
      <c r="I63" s="53"/>
    </row>
    <row r="64" spans="1:9">
      <c r="A64" s="52"/>
      <c r="I64" s="53"/>
    </row>
    <row r="65" spans="1:9">
      <c r="A65" s="52"/>
      <c r="I65" s="53"/>
    </row>
    <row r="66" spans="1:9">
      <c r="A66" s="52"/>
      <c r="I66" s="53"/>
    </row>
    <row r="67" spans="1:9">
      <c r="A67" s="52"/>
      <c r="I67" s="53"/>
    </row>
    <row r="68" spans="1:9">
      <c r="A68" s="52"/>
      <c r="I68" s="53"/>
    </row>
    <row r="69" spans="1:9" ht="15.75" thickBot="1">
      <c r="A69" s="54"/>
      <c r="B69" s="55"/>
      <c r="C69" s="55"/>
      <c r="D69" s="55"/>
      <c r="E69" s="55"/>
      <c r="F69" s="55"/>
      <c r="G69" s="55"/>
      <c r="H69" s="55"/>
      <c r="I69" s="56"/>
    </row>
    <row r="70" spans="1:9" ht="15.75" thickBot="1"/>
    <row r="71" spans="1:9">
      <c r="A71" s="513" t="str">
        <f ca="1">INDIRECT("T!"&amp;T!A1&amp;"85")</f>
        <v>6. Ustaw czas trwania zmian oraz pół-godzinne przerwy</v>
      </c>
      <c r="B71" s="514"/>
      <c r="C71" s="514"/>
      <c r="D71" s="514"/>
      <c r="E71" s="514"/>
      <c r="F71" s="514"/>
      <c r="G71" s="514"/>
      <c r="H71" s="514"/>
      <c r="I71" s="515"/>
    </row>
    <row r="72" spans="1:9">
      <c r="A72" s="52"/>
      <c r="I72" s="53"/>
    </row>
    <row r="73" spans="1:9">
      <c r="A73" s="509" t="str">
        <f ca="1">INDIRECT("T!"&amp;T!A1&amp;"86")</f>
        <v>1. W kolumnie "Przerwy" wybierz "Tak" jeżeli manager będzie odbywał półgodziną bezpłatną przerwę podczas zmiany
2. W kolumnie "Od" wybierz początek zmiany
3. W kolumnie "Do" wybierz koniec zmiany
4. W kolumnie "Czas" ukazuje się czas trwania zmiany</v>
      </c>
      <c r="B73" s="510"/>
      <c r="C73" s="510"/>
      <c r="D73" s="510"/>
      <c r="I73" s="53"/>
    </row>
    <row r="74" spans="1:9">
      <c r="A74" s="509"/>
      <c r="B74" s="510"/>
      <c r="C74" s="510"/>
      <c r="D74" s="510"/>
      <c r="I74" s="53"/>
    </row>
    <row r="75" spans="1:9">
      <c r="A75" s="509"/>
      <c r="B75" s="510"/>
      <c r="C75" s="510"/>
      <c r="D75" s="510"/>
      <c r="I75" s="53"/>
    </row>
    <row r="76" spans="1:9">
      <c r="A76" s="509"/>
      <c r="B76" s="510"/>
      <c r="C76" s="510"/>
      <c r="D76" s="510"/>
      <c r="I76" s="53"/>
    </row>
    <row r="77" spans="1:9">
      <c r="A77" s="509"/>
      <c r="B77" s="510"/>
      <c r="C77" s="510"/>
      <c r="D77" s="510"/>
      <c r="I77" s="53"/>
    </row>
    <row r="78" spans="1:9">
      <c r="A78" s="509"/>
      <c r="B78" s="510"/>
      <c r="C78" s="510"/>
      <c r="D78" s="510"/>
      <c r="I78" s="53"/>
    </row>
    <row r="79" spans="1:9">
      <c r="A79" s="509"/>
      <c r="B79" s="510"/>
      <c r="C79" s="510"/>
      <c r="D79" s="510"/>
      <c r="I79" s="53"/>
    </row>
    <row r="80" spans="1:9">
      <c r="A80" s="509"/>
      <c r="B80" s="510"/>
      <c r="C80" s="510"/>
      <c r="D80" s="510"/>
      <c r="I80" s="53"/>
    </row>
    <row r="81" spans="1:9">
      <c r="A81" s="509"/>
      <c r="B81" s="510"/>
      <c r="C81" s="510"/>
      <c r="D81" s="510"/>
      <c r="I81" s="53"/>
    </row>
    <row r="82" spans="1:9">
      <c r="A82" s="509"/>
      <c r="B82" s="510"/>
      <c r="C82" s="510"/>
      <c r="D82" s="510"/>
      <c r="I82" s="53"/>
    </row>
    <row r="83" spans="1:9">
      <c r="A83" s="509"/>
      <c r="B83" s="510"/>
      <c r="C83" s="510"/>
      <c r="D83" s="510"/>
      <c r="I83" s="53"/>
    </row>
    <row r="84" spans="1:9">
      <c r="A84" s="509"/>
      <c r="B84" s="510"/>
      <c r="C84" s="510"/>
      <c r="D84" s="510"/>
      <c r="I84" s="53"/>
    </row>
    <row r="85" spans="1:9">
      <c r="A85" s="509"/>
      <c r="B85" s="510"/>
      <c r="C85" s="510"/>
      <c r="D85" s="510"/>
      <c r="I85" s="53"/>
    </row>
    <row r="86" spans="1:9">
      <c r="A86" s="509"/>
      <c r="B86" s="510"/>
      <c r="C86" s="510"/>
      <c r="D86" s="510"/>
      <c r="I86" s="53"/>
    </row>
    <row r="87" spans="1:9">
      <c r="A87" s="509"/>
      <c r="B87" s="510"/>
      <c r="C87" s="510"/>
      <c r="D87" s="510"/>
      <c r="I87" s="53"/>
    </row>
    <row r="88" spans="1:9">
      <c r="A88" s="509"/>
      <c r="B88" s="510"/>
      <c r="C88" s="510"/>
      <c r="D88" s="510"/>
      <c r="I88" s="53"/>
    </row>
    <row r="89" spans="1:9">
      <c r="A89" s="509"/>
      <c r="B89" s="510"/>
      <c r="C89" s="510"/>
      <c r="D89" s="510"/>
      <c r="I89" s="53"/>
    </row>
    <row r="90" spans="1:9" ht="15.75" thickBot="1">
      <c r="A90" s="54"/>
      <c r="B90" s="55"/>
      <c r="C90" s="55"/>
      <c r="D90" s="55"/>
      <c r="E90" s="55"/>
      <c r="F90" s="55"/>
      <c r="G90" s="55"/>
      <c r="H90" s="55"/>
      <c r="I90" s="56"/>
    </row>
    <row r="93" spans="1:9" hidden="1">
      <c r="A93" s="513" t="str">
        <f ca="1">INDIRECT("T!"&amp;T!A1&amp;"87")</f>
        <v>8. Urlopy</v>
      </c>
      <c r="B93" s="514"/>
      <c r="C93" s="514"/>
      <c r="D93" s="514"/>
      <c r="E93" s="514"/>
      <c r="F93" s="514"/>
      <c r="G93" s="514"/>
      <c r="H93" s="514"/>
      <c r="I93" s="515"/>
    </row>
    <row r="94" spans="1:9" hidden="1">
      <c r="A94" s="52"/>
      <c r="I94" s="53"/>
    </row>
    <row r="95" spans="1:9" hidden="1">
      <c r="A95" s="52"/>
      <c r="I95" s="53"/>
    </row>
    <row r="96" spans="1:9" hidden="1">
      <c r="A96" s="52"/>
      <c r="I96" s="53"/>
    </row>
    <row r="97" spans="1:9" hidden="1">
      <c r="A97" s="52"/>
      <c r="I97" s="53"/>
    </row>
    <row r="98" spans="1:9" hidden="1">
      <c r="A98" s="52"/>
      <c r="I98" s="53"/>
    </row>
    <row r="99" spans="1:9" hidden="1">
      <c r="A99" s="52"/>
      <c r="I99" s="53"/>
    </row>
    <row r="100" spans="1:9" hidden="1">
      <c r="A100" s="52"/>
      <c r="I100" s="53"/>
    </row>
    <row r="101" spans="1:9" hidden="1">
      <c r="A101" s="52"/>
      <c r="I101" s="53"/>
    </row>
    <row r="102" spans="1:9" hidden="1">
      <c r="A102" s="52"/>
      <c r="I102" s="53"/>
    </row>
    <row r="103" spans="1:9" hidden="1">
      <c r="A103" s="52"/>
      <c r="I103" s="53"/>
    </row>
    <row r="104" spans="1:9" hidden="1">
      <c r="A104" s="52"/>
      <c r="I104" s="53"/>
    </row>
    <row r="105" spans="1:9" hidden="1">
      <c r="A105" s="52"/>
      <c r="I105" s="53"/>
    </row>
    <row r="106" spans="1:9" hidden="1">
      <c r="A106" s="509" t="str">
        <f ca="1">INDIRECT("T!"&amp;T!A1&amp;"88")</f>
        <v>W tym miejscu możesz ustalić ogólną ilość dni urlopowych dla każdego managera, oraz zobaczyć jaka ilość urlopów jest zaplanowana oraz odebrana.</v>
      </c>
      <c r="B106" s="510"/>
      <c r="C106" s="510"/>
      <c r="D106" s="510"/>
      <c r="E106" s="510"/>
      <c r="F106" s="510"/>
      <c r="G106" s="510"/>
      <c r="H106" s="510"/>
      <c r="I106" s="519"/>
    </row>
    <row r="107" spans="1:9" hidden="1">
      <c r="A107" s="509"/>
      <c r="B107" s="510"/>
      <c r="C107" s="510"/>
      <c r="D107" s="510"/>
      <c r="E107" s="510"/>
      <c r="F107" s="510"/>
      <c r="G107" s="510"/>
      <c r="H107" s="510"/>
      <c r="I107" s="519"/>
    </row>
    <row r="108" spans="1:9" ht="15.75" hidden="1" thickBot="1">
      <c r="A108" s="511"/>
      <c r="B108" s="512"/>
      <c r="C108" s="512"/>
      <c r="D108" s="512"/>
      <c r="E108" s="512"/>
      <c r="F108" s="512"/>
      <c r="G108" s="512"/>
      <c r="H108" s="512"/>
      <c r="I108" s="520"/>
    </row>
    <row r="109" spans="1:9" ht="15.75" thickBot="1"/>
    <row r="110" spans="1:9">
      <c r="A110" s="513" t="str">
        <f ca="1">INDIRECT("T!"&amp;T!A1&amp;"89")</f>
        <v>7. Układanie grafiku</v>
      </c>
      <c r="B110" s="514"/>
      <c r="C110" s="514"/>
      <c r="D110" s="514"/>
      <c r="E110" s="514"/>
      <c r="F110" s="514"/>
      <c r="G110" s="514"/>
      <c r="H110" s="514"/>
      <c r="I110" s="515"/>
    </row>
    <row r="111" spans="1:9">
      <c r="A111" s="52"/>
      <c r="I111" s="53"/>
    </row>
    <row r="112" spans="1:9">
      <c r="A112" s="52"/>
      <c r="I112" s="53"/>
    </row>
    <row r="113" spans="1:9">
      <c r="A113" s="52"/>
      <c r="I113" s="53"/>
    </row>
    <row r="114" spans="1:9">
      <c r="A114" s="52"/>
      <c r="I114" s="53"/>
    </row>
    <row r="115" spans="1:9">
      <c r="A115" s="52"/>
      <c r="I115" s="53"/>
    </row>
    <row r="116" spans="1:9">
      <c r="A116" s="52"/>
      <c r="I116" s="53"/>
    </row>
    <row r="117" spans="1:9">
      <c r="A117" s="52"/>
      <c r="I117" s="53"/>
    </row>
    <row r="118" spans="1:9">
      <c r="A118" s="52"/>
      <c r="I118" s="53"/>
    </row>
    <row r="119" spans="1:9">
      <c r="A119" s="509" t="str">
        <f ca="1">INDIRECT("T!"&amp;T!A1&amp;"90")</f>
        <v>Na każdy dzień I dla każdego managera wybierz z listy nazwy zmian - planując tym samym cały grrafik. Na końcu grafiku znajdują się dane na temat ilości już zaplanowanych godzin, ilości godzin wymaganych do zaplanowania oraz procentowego pokrycia wymaganych godzin.</v>
      </c>
      <c r="B119" s="510"/>
      <c r="C119" s="510"/>
      <c r="D119" s="510"/>
      <c r="E119" s="510"/>
      <c r="F119" s="510"/>
      <c r="G119" s="510"/>
      <c r="H119" s="510"/>
      <c r="I119" s="519"/>
    </row>
    <row r="120" spans="1:9">
      <c r="A120" s="509"/>
      <c r="B120" s="510"/>
      <c r="C120" s="510"/>
      <c r="D120" s="510"/>
      <c r="E120" s="510"/>
      <c r="F120" s="510"/>
      <c r="G120" s="510"/>
      <c r="H120" s="510"/>
      <c r="I120" s="519"/>
    </row>
    <row r="121" spans="1:9" ht="15.75" thickBot="1">
      <c r="A121" s="511"/>
      <c r="B121" s="512"/>
      <c r="C121" s="512"/>
      <c r="D121" s="512"/>
      <c r="E121" s="512"/>
      <c r="F121" s="512"/>
      <c r="G121" s="512"/>
      <c r="H121" s="512"/>
      <c r="I121" s="520"/>
    </row>
    <row r="122" spans="1:9"/>
    <row r="123" spans="1:9" hidden="1">
      <c r="A123" s="513" t="str">
        <f ca="1">INDIRECT("T!"&amp;T!A1&amp;"91")</f>
        <v>10. Planowanie urlopów</v>
      </c>
      <c r="B123" s="514"/>
      <c r="C123" s="514"/>
      <c r="D123" s="514"/>
      <c r="E123" s="514"/>
      <c r="F123" s="514"/>
      <c r="G123" s="514"/>
      <c r="H123" s="514"/>
      <c r="I123" s="515"/>
    </row>
    <row r="124" spans="1:9" hidden="1">
      <c r="A124" s="52"/>
      <c r="I124" s="53"/>
    </row>
    <row r="125" spans="1:9" hidden="1">
      <c r="A125" s="52"/>
      <c r="I125" s="53"/>
    </row>
    <row r="126" spans="1:9" hidden="1">
      <c r="A126" s="52"/>
      <c r="I126" s="53"/>
    </row>
    <row r="127" spans="1:9" hidden="1">
      <c r="A127" s="52"/>
      <c r="I127" s="53"/>
    </row>
    <row r="128" spans="1:9" hidden="1">
      <c r="A128" s="52"/>
      <c r="I128" s="53"/>
    </row>
    <row r="129" spans="1:9" hidden="1">
      <c r="A129" s="52"/>
      <c r="I129" s="53"/>
    </row>
    <row r="130" spans="1:9" hidden="1">
      <c r="A130" s="52"/>
      <c r="I130" s="53"/>
    </row>
    <row r="131" spans="1:9" hidden="1">
      <c r="A131" s="52"/>
      <c r="I131" s="53"/>
    </row>
    <row r="132" spans="1:9" hidden="1">
      <c r="A132" s="52"/>
      <c r="I132" s="53"/>
    </row>
    <row r="133" spans="1:9" hidden="1">
      <c r="A133" s="509" t="str">
        <f ca="1">INDIRECT("T!"&amp;T!A1&amp;"92")</f>
        <v>W zakładce "Holidays" możesz zaplanować urlopy dla każdego managera. Kiedy w zakładce "Schedule" zaczniesz planować grafik na następny miesiąc, wcześniej zaplanowany grafik pojawi się automatycznie w arkuszu "Schedules"</v>
      </c>
      <c r="B133" s="510"/>
      <c r="C133" s="510"/>
      <c r="D133" s="510"/>
      <c r="E133" s="510"/>
      <c r="F133" s="510"/>
      <c r="G133" s="510"/>
      <c r="H133" s="510"/>
      <c r="I133" s="519"/>
    </row>
    <row r="134" spans="1:9" hidden="1">
      <c r="A134" s="509"/>
      <c r="B134" s="510"/>
      <c r="C134" s="510"/>
      <c r="D134" s="510"/>
      <c r="E134" s="510"/>
      <c r="F134" s="510"/>
      <c r="G134" s="510"/>
      <c r="H134" s="510"/>
      <c r="I134" s="519"/>
    </row>
    <row r="135" spans="1:9" hidden="1">
      <c r="A135" s="509"/>
      <c r="B135" s="510"/>
      <c r="C135" s="510"/>
      <c r="D135" s="510"/>
      <c r="E135" s="510"/>
      <c r="F135" s="510"/>
      <c r="G135" s="510"/>
      <c r="H135" s="510"/>
      <c r="I135" s="519"/>
    </row>
    <row r="136" spans="1:9" hidden="1">
      <c r="A136" s="509"/>
      <c r="B136" s="510"/>
      <c r="C136" s="510"/>
      <c r="D136" s="510"/>
      <c r="E136" s="510"/>
      <c r="F136" s="510"/>
      <c r="G136" s="510"/>
      <c r="H136" s="510"/>
      <c r="I136" s="519"/>
    </row>
    <row r="137" spans="1:9" hidden="1">
      <c r="A137" s="509"/>
      <c r="B137" s="510"/>
      <c r="C137" s="510"/>
      <c r="D137" s="510"/>
      <c r="E137" s="510"/>
      <c r="F137" s="510"/>
      <c r="G137" s="510"/>
      <c r="H137" s="510"/>
      <c r="I137" s="519"/>
    </row>
    <row r="138" spans="1:9" ht="15.75" hidden="1" thickBot="1">
      <c r="A138" s="511"/>
      <c r="B138" s="512"/>
      <c r="C138" s="512"/>
      <c r="D138" s="512"/>
      <c r="E138" s="512"/>
      <c r="F138" s="512"/>
      <c r="G138" s="512"/>
      <c r="H138" s="512"/>
      <c r="I138" s="520"/>
    </row>
  </sheetData>
  <sheetProtection algorithmName="SHA-512" hashValue="nBpAyear0c1vCT4J6LRw1OwNRamkgphms20fU7tPm6PoRVZgQGGdxrFfTe7SKgjuEHTczEznR04WYMWlHniwSQ==" saltValue="GjtJKeMq8XAD78ZilBJeNw==" spinCount="100000" sheet="1" objects="1" scenarios="1" selectLockedCells="1" selectUnlockedCells="1"/>
  <mergeCells count="17">
    <mergeCell ref="A133:I138"/>
    <mergeCell ref="A33:I33"/>
    <mergeCell ref="A47:I47"/>
    <mergeCell ref="A59:I59"/>
    <mergeCell ref="F62:I62"/>
    <mergeCell ref="A71:I71"/>
    <mergeCell ref="A73:D89"/>
    <mergeCell ref="A93:I93"/>
    <mergeCell ref="A106:I108"/>
    <mergeCell ref="A110:I110"/>
    <mergeCell ref="A119:I121"/>
    <mergeCell ref="A123:I123"/>
    <mergeCell ref="A1:I2"/>
    <mergeCell ref="A10:E21"/>
    <mergeCell ref="A8:I8"/>
    <mergeCell ref="A23:I23"/>
    <mergeCell ref="A24:E30"/>
  </mergeCells>
  <pageMargins left="0.7" right="0.7" top="0.75" bottom="0.75" header="0.3" footer="0.3"/>
  <pageSetup orientation="portrait" r:id="rId1"/>
  <headerFooter>
    <oddHeader>&amp;CManager Schedule Instruction</oddHeader>
    <oddFooter>&amp;L&amp;P&amp;R&amp;8Leszek Grzywaczewski 2013/07/01</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usz1">
    <tabColor rgb="FF00B050"/>
  </sheetPr>
  <dimension ref="A1:CG110"/>
  <sheetViews>
    <sheetView showGridLines="0" showRowColHeaders="0" tabSelected="1" topLeftCell="L1" zoomScale="80" zoomScaleNormal="80" workbookViewId="0"/>
  </sheetViews>
  <sheetFormatPr defaultColWidth="0" defaultRowHeight="0" customHeight="1" zeroHeight="1"/>
  <cols>
    <col min="1" max="1" width="5" style="9" customWidth="1"/>
    <col min="2" max="2" width="5" style="148" customWidth="1"/>
    <col min="3" max="7" width="5.7109375" style="9" customWidth="1"/>
    <col min="8" max="49" width="7.140625" style="9" customWidth="1"/>
    <col min="50" max="50" width="3" style="186" customWidth="1"/>
    <col min="51" max="81" width="1.28515625" style="186" hidden="1" customWidth="1"/>
    <col min="82" max="82" width="5.7109375" style="186" hidden="1" customWidth="1"/>
    <col min="83" max="16384" width="5.7109375" style="9" hidden="1"/>
  </cols>
  <sheetData>
    <row r="1" spans="1:81" ht="14.1" customHeight="1">
      <c r="A1" s="409" t="str">
        <f ca="1">INDIRECT("T!"&amp;T!A1&amp;"5")</f>
        <v>Grafik Managerski</v>
      </c>
      <c r="B1" s="409"/>
      <c r="C1" s="409"/>
      <c r="D1" s="409"/>
      <c r="E1" s="409"/>
      <c r="F1" s="409"/>
      <c r="G1" s="409"/>
      <c r="H1" s="409"/>
      <c r="I1" s="409"/>
      <c r="J1" s="409"/>
    </row>
    <row r="2" spans="1:81" ht="14.1" customHeight="1" thickBot="1">
      <c r="A2" s="410"/>
      <c r="B2" s="410"/>
      <c r="C2" s="410"/>
      <c r="D2" s="410"/>
      <c r="E2" s="410"/>
      <c r="F2" s="410"/>
      <c r="G2" s="410"/>
      <c r="H2" s="410"/>
      <c r="I2" s="410"/>
      <c r="J2" s="410"/>
    </row>
    <row r="3" spans="1:81" ht="18" customHeight="1" thickBot="1">
      <c r="A3" s="411" t="str">
        <f ca="1">INDIRECT("T!"&amp;T!A1&amp;"6")</f>
        <v>Wybierz Miesiąc</v>
      </c>
      <c r="B3" s="412"/>
      <c r="C3" s="412"/>
      <c r="D3" s="412"/>
      <c r="E3" s="412"/>
      <c r="F3" s="412"/>
      <c r="G3" s="412"/>
      <c r="H3" s="412"/>
      <c r="I3" s="412"/>
      <c r="J3" s="413"/>
      <c r="L3" s="446" t="str">
        <f ca="1">INDIRECT("T!"&amp;T!A1&amp;"60")</f>
        <v>Ilość Godzin</v>
      </c>
      <c r="M3" s="447"/>
      <c r="N3" s="447"/>
      <c r="O3" s="447"/>
      <c r="P3" s="448" t="str">
        <f ca="1">IF(V!AH15=1,Calendar!F3,IF(V!AH15=2,Calendar!F4,IF(V!AH15=3,Calendar!F5,IF(V!AH15=4,Calendar!F6,IF(V!AH15=5,Calendar!F7,IF(V!AH15=6,Calendar!F8,IF(V!AH15=7,Calendar!F9,IF(V!AH15=8,Calendar!F10,IF(V!AH15=9,Calendar!F11,IF(V!AH15=10,Calendar!F12,IF(V!AH15=11,Calendar!F13,IF(V!AH15=12,Calendar!F14,0)))))))))))) &amp; " h"</f>
        <v>160 h</v>
      </c>
      <c r="Q3" s="449"/>
      <c r="S3" s="456" t="str">
        <f ca="1">INDIRECT("T!"&amp;T!A1&amp;"80")</f>
        <v>Nazwa kawiarni:</v>
      </c>
      <c r="T3" s="456"/>
      <c r="U3" s="456"/>
      <c r="V3" s="457"/>
      <c r="W3" s="458">
        <v>108120</v>
      </c>
      <c r="X3" s="459"/>
      <c r="Y3" s="459"/>
      <c r="Z3" s="459"/>
      <c r="AA3" s="459"/>
      <c r="AB3" s="459"/>
      <c r="AC3" s="459"/>
      <c r="AD3" s="459"/>
      <c r="AE3" s="459"/>
      <c r="AF3" s="460"/>
    </row>
    <row r="4" spans="1:81" ht="18" customHeight="1" thickBot="1">
      <c r="A4" s="414" t="s">
        <v>0</v>
      </c>
      <c r="B4" s="415"/>
      <c r="C4" s="415"/>
      <c r="D4" s="415"/>
      <c r="E4" s="415"/>
      <c r="F4" s="415"/>
      <c r="G4" s="415"/>
      <c r="H4" s="415"/>
      <c r="I4" s="415"/>
      <c r="J4" s="416"/>
      <c r="L4" s="446" t="str">
        <f ca="1">INDIRECT("T!"&amp;T!A1&amp;"61")</f>
        <v>Dni Robocze</v>
      </c>
      <c r="M4" s="447"/>
      <c r="N4" s="447"/>
      <c r="O4" s="447"/>
      <c r="P4" s="448">
        <f ca="1">IF(V!AH15=1,Calendar!D3,IF(V!AH15=2,Calendar!D4,IF(V!AH15=3,Calendar!D5,IF(V!AH15=4,Calendar!D6,IF(V!AH15=5,Calendar!D7,IF(V!AH15=6,Calendar!D8,IF(V!AH15=7,Calendar!D9,IF(V!AH15=8,Calendar!D10,IF(V!AH15=9,Calendar!D11,IF(V!AH15=10,Calendar!D12,IF(V!AH15=11,Calendar!D13,IF(V!AH15=12,Calendar!D14,0))))))))))))</f>
        <v>20</v>
      </c>
      <c r="Q4" s="449"/>
      <c r="S4" s="456"/>
      <c r="T4" s="456"/>
      <c r="U4" s="456"/>
      <c r="V4" s="457"/>
      <c r="W4" s="461"/>
      <c r="X4" s="462"/>
      <c r="Y4" s="462"/>
      <c r="Z4" s="462"/>
      <c r="AA4" s="462"/>
      <c r="AB4" s="462"/>
      <c r="AC4" s="462"/>
      <c r="AD4" s="462"/>
      <c r="AE4" s="462"/>
      <c r="AF4" s="463"/>
    </row>
    <row r="5" spans="1:81" ht="18" customHeight="1" thickBot="1">
      <c r="A5" s="417"/>
      <c r="B5" s="418"/>
      <c r="C5" s="418"/>
      <c r="D5" s="418"/>
      <c r="E5" s="418"/>
      <c r="F5" s="418"/>
      <c r="G5" s="418"/>
      <c r="H5" s="418"/>
      <c r="I5" s="418"/>
      <c r="J5" s="419"/>
      <c r="L5" s="446" t="str">
        <f ca="1">INDIRECT("T!"&amp;T!A1&amp;"62")</f>
        <v>Ilość dni wolnych</v>
      </c>
      <c r="M5" s="447"/>
      <c r="N5" s="447"/>
      <c r="O5" s="447"/>
      <c r="P5" s="448">
        <f ca="1">IF(V!AH15=1,Calendar!E3,IF(V!AH15=2,Calendar!E4,IF(V!AH15=3,Calendar!E5,IF(V!AH15=4,Calendar!E6,IF(V!AH15=5,Calendar!E7,IF(V!AH15=6,Calendar!E8,IF(V!AH15=7,Calendar!E9,IF(V!AH15=8,Calendar!E10,IF(V!AH15=9,Calendar!E11,IF(V!AH15=10,Calendar!E12,IF(V!AH15=11,Calendar!E13,IF(V!AH15=12,Calendar!E14,0))))))))))))</f>
        <v>11</v>
      </c>
      <c r="Q5" s="449"/>
    </row>
    <row r="6" spans="1:81" ht="18.75" hidden="1" customHeight="1">
      <c r="A6" s="65">
        <f ca="1">IF(A4=Lists!F1,1,IF(A4=Lists!F2,2,IF(A4=Lists!F3,3,IF(A4=Lists!F4,4,IF(A4=Lists!F5,5,IF(A4=Lists!F6,6,IF(A4=Lists!F7,7,IF(A4=Lists!F8,8,IF(A4=Lists!F9,9,IF(A4=Lists!F10,10,IF(A4=Lists!F11,11,IF(A4=Lists!F12,12,0))))))))))))</f>
        <v>8</v>
      </c>
      <c r="B6" s="147">
        <f>COUNTA(C15:G24)</f>
        <v>8</v>
      </c>
      <c r="C6" s="63">
        <v>0</v>
      </c>
      <c r="I6" s="9" t="s">
        <v>1</v>
      </c>
      <c r="K6" s="9" t="e">
        <f ca="1">DTCHK(K8,YK!$J$19:$J$53)</f>
        <v>#NAME?</v>
      </c>
      <c r="L6" s="9" t="e">
        <f ca="1">DTCHK(L8,YK!$J$19:$J$53)</f>
        <v>#NAME?</v>
      </c>
      <c r="M6" s="9" t="e">
        <f ca="1">DTCHK(M8,YK!$J$19:$J$53)</f>
        <v>#NAME?</v>
      </c>
      <c r="N6" s="9" t="e">
        <f ca="1">DTCHK(N8,YK!$J$19:$J$53)</f>
        <v>#NAME?</v>
      </c>
      <c r="O6" s="9" t="e">
        <f ca="1">DTCHK(O8,YK!$J$19:$J$53)</f>
        <v>#NAME?</v>
      </c>
      <c r="P6" s="9" t="e">
        <f ca="1">DTCHK(P8,YK!$J$19:$J$53)</f>
        <v>#NAME?</v>
      </c>
      <c r="Q6" s="9" t="e">
        <f ca="1">DTCHK(Q8,YK!$J$19:$J$53)</f>
        <v>#NAME?</v>
      </c>
      <c r="R6" s="9" t="e">
        <f ca="1">DTCHK(R8,YK!$J$19:$J$53)</f>
        <v>#NAME?</v>
      </c>
      <c r="S6" s="9" t="e">
        <f ca="1">DTCHK(S8,YK!$J$19:$J$53)</f>
        <v>#NAME?</v>
      </c>
      <c r="T6" s="9" t="e">
        <f ca="1">DTCHK(T8,YK!$J$19:$J$53)</f>
        <v>#NAME?</v>
      </c>
      <c r="U6" s="9" t="e">
        <f ca="1">DTCHK(U8,YK!$J$19:$J$53)</f>
        <v>#NAME?</v>
      </c>
      <c r="V6" s="9" t="e">
        <f ca="1">DTCHK(V8,YK!$J$19:$J$53)</f>
        <v>#NAME?</v>
      </c>
      <c r="W6" s="9" t="e">
        <f ca="1">DTCHK(W8,YK!$J$19:$J$53)</f>
        <v>#NAME?</v>
      </c>
      <c r="X6" s="9" t="e">
        <f ca="1">DTCHK(X8,YK!$J$19:$J$53)</f>
        <v>#NAME?</v>
      </c>
      <c r="Y6" s="9" t="e">
        <f ca="1">DTCHK(Y8,YK!$J$19:$J$53)</f>
        <v>#NAME?</v>
      </c>
      <c r="Z6" s="9" t="e">
        <f ca="1">DTCHK(Z8,YK!$J$19:$J$53)</f>
        <v>#NAME?</v>
      </c>
      <c r="AA6" s="9" t="e">
        <f ca="1">DTCHK(AA8,YK!$J$19:$J$53)</f>
        <v>#NAME?</v>
      </c>
      <c r="AB6" s="9" t="e">
        <f ca="1">DTCHK(AB8,YK!$J$19:$J$53)</f>
        <v>#NAME?</v>
      </c>
      <c r="AC6" s="9" t="e">
        <f ca="1">DTCHK(AC8,YK!$J$19:$J$53)</f>
        <v>#NAME?</v>
      </c>
      <c r="AD6" s="9" t="e">
        <f ca="1">DTCHK(AD8,YK!$J$19:$J$53)</f>
        <v>#NAME?</v>
      </c>
      <c r="AE6" s="9" t="e">
        <f ca="1">DTCHK(AE8,YK!$J$19:$J$53)</f>
        <v>#NAME?</v>
      </c>
      <c r="AF6" s="9" t="e">
        <f ca="1">DTCHK(AF8,YK!$J$19:$J$53)</f>
        <v>#NAME?</v>
      </c>
      <c r="AG6" s="9" t="e">
        <f ca="1">DTCHK(AG8,YK!$J$19:$J$53)</f>
        <v>#NAME?</v>
      </c>
      <c r="AH6" s="9" t="e">
        <f ca="1">DTCHK(AH8,YK!$J$19:$J$53)</f>
        <v>#NAME?</v>
      </c>
      <c r="AI6" s="9" t="e">
        <f ca="1">DTCHK(AI8,YK!$J$19:$J$53)</f>
        <v>#NAME?</v>
      </c>
      <c r="AJ6" s="9" t="e">
        <f ca="1">DTCHK(AJ8,YK!$J$19:$J$53)</f>
        <v>#NAME?</v>
      </c>
      <c r="AK6" s="9" t="e">
        <f ca="1">DTCHK(AK8,YK!$J$19:$J$53)</f>
        <v>#NAME?</v>
      </c>
      <c r="AL6" s="9" t="e">
        <f ca="1">DTCHK(AL8,YK!$J$19:$J$53)</f>
        <v>#NAME?</v>
      </c>
      <c r="AM6" s="9" t="e">
        <f ca="1">DTCHK(AM8,YK!$J$19:$J$53)</f>
        <v>#NAME?</v>
      </c>
      <c r="AN6" s="9" t="e">
        <f ca="1">DTCHK(AN8,YK!$J$19:$J$53)</f>
        <v>#NAME?</v>
      </c>
      <c r="AO6" s="9" t="e">
        <f ca="1">DTCHK(AO8,YK!$J$19:$J$53)</f>
        <v>#NAME?</v>
      </c>
    </row>
    <row r="7" spans="1:81" ht="18" hidden="1" customHeight="1">
      <c r="H7" s="426" t="s">
        <v>2</v>
      </c>
      <c r="I7" s="426"/>
      <c r="J7" s="426"/>
      <c r="K7" s="9" t="e">
        <f ca="1">DTCHK(K8,YK!$J$3:$J$17)</f>
        <v>#NAME?</v>
      </c>
      <c r="L7" s="9" t="e">
        <f ca="1">DTCHK(L8,YK!$J$3:$J$17)</f>
        <v>#NAME?</v>
      </c>
      <c r="M7" s="9" t="e">
        <f ca="1">DTCHK(M8,YK!$J$3:$J$17)</f>
        <v>#NAME?</v>
      </c>
      <c r="N7" s="9" t="e">
        <f ca="1">DTCHK(N8,YK!$J$3:$J$17)</f>
        <v>#NAME?</v>
      </c>
      <c r="O7" s="9" t="e">
        <f ca="1">DTCHK(O8,YK!$J$3:$J$17)</f>
        <v>#NAME?</v>
      </c>
      <c r="P7" s="9" t="e">
        <f ca="1">DTCHK(P8,YK!$J$3:$J$17)</f>
        <v>#NAME?</v>
      </c>
      <c r="Q7" s="9" t="e">
        <f ca="1">DTCHK(Q8,YK!$J$3:$J$17)</f>
        <v>#NAME?</v>
      </c>
      <c r="R7" s="9" t="e">
        <f ca="1">DTCHK(R8,YK!$J$3:$J$17)</f>
        <v>#NAME?</v>
      </c>
      <c r="S7" s="9" t="e">
        <f ca="1">DTCHK(S8,YK!$J$3:$J$17)</f>
        <v>#NAME?</v>
      </c>
      <c r="T7" s="9" t="e">
        <f ca="1">DTCHK(T8,YK!$J$3:$J$17)</f>
        <v>#NAME?</v>
      </c>
      <c r="U7" s="9" t="e">
        <f ca="1">DTCHK(U8,YK!$J$3:$J$17)</f>
        <v>#NAME?</v>
      </c>
      <c r="V7" s="9" t="e">
        <f ca="1">DTCHK(V8,YK!$J$3:$J$17)</f>
        <v>#NAME?</v>
      </c>
      <c r="W7" s="9" t="e">
        <f ca="1">DTCHK(W8,YK!$J$3:$J$17)</f>
        <v>#NAME?</v>
      </c>
      <c r="X7" s="9" t="e">
        <f ca="1">DTCHK(X8,YK!$J$3:$J$17)</f>
        <v>#NAME?</v>
      </c>
      <c r="Y7" s="9" t="e">
        <f ca="1">DTCHK(Y8,YK!$J$3:$J$17)</f>
        <v>#NAME?</v>
      </c>
      <c r="Z7" s="9" t="e">
        <f ca="1">DTCHK(Z8,YK!$J$3:$J$17)</f>
        <v>#NAME?</v>
      </c>
      <c r="AA7" s="9" t="e">
        <f ca="1">DTCHK(AA8,YK!$J$3:$J$17)</f>
        <v>#NAME?</v>
      </c>
      <c r="AB7" s="9" t="e">
        <f ca="1">DTCHK(AB8,YK!$J$3:$J$17)</f>
        <v>#NAME?</v>
      </c>
      <c r="AC7" s="9" t="e">
        <f ca="1">DTCHK(AC8,YK!$J$3:$J$17)</f>
        <v>#NAME?</v>
      </c>
      <c r="AD7" s="9" t="e">
        <f ca="1">DTCHK(AD8,YK!$J$3:$J$17)</f>
        <v>#NAME?</v>
      </c>
      <c r="AE7" s="9" t="e">
        <f ca="1">DTCHK(AE8,YK!$J$3:$J$17)</f>
        <v>#NAME?</v>
      </c>
      <c r="AF7" s="9" t="e">
        <f ca="1">DTCHK(AF8,YK!$J$3:$J$17)</f>
        <v>#NAME?</v>
      </c>
      <c r="AG7" s="9" t="e">
        <f ca="1">DTCHK(AG8,YK!$J$3:$J$17)</f>
        <v>#NAME?</v>
      </c>
      <c r="AH7" s="9" t="e">
        <f ca="1">DTCHK(AH8,YK!$J$3:$J$17)</f>
        <v>#NAME?</v>
      </c>
      <c r="AI7" s="9" t="e">
        <f ca="1">DTCHK(AI8,YK!$J$3:$J$17)</f>
        <v>#NAME?</v>
      </c>
      <c r="AJ7" s="9" t="e">
        <f ca="1">DTCHK(AJ8,YK!$J$3:$J$17)</f>
        <v>#NAME?</v>
      </c>
      <c r="AK7" s="9" t="e">
        <f ca="1">DTCHK(AK8,YK!$J$3:$J$17)</f>
        <v>#NAME?</v>
      </c>
      <c r="AL7" s="9" t="e">
        <f ca="1">DTCHK(AL8,YK!$J$3:$J$17)</f>
        <v>#NAME?</v>
      </c>
      <c r="AM7" s="9" t="e">
        <f ca="1">DTCHK(AM8,YK!$J$3:$J$17)</f>
        <v>#NAME?</v>
      </c>
      <c r="AN7" s="9" t="e">
        <f ca="1">DTCHK(AN8,YK!$J$3:$J$17)</f>
        <v>#NAME?</v>
      </c>
      <c r="AO7" s="9" t="e">
        <f ca="1">DTCHK(AO8,YK!$J$3:$J$17)</f>
        <v>#NAME?</v>
      </c>
    </row>
    <row r="8" spans="1:81" ht="42" hidden="1" customHeight="1">
      <c r="H8" s="426" t="s">
        <v>3</v>
      </c>
      <c r="I8" s="426"/>
      <c r="J8" s="426"/>
      <c r="K8" s="18">
        <f ca="1">K9</f>
        <v>46235</v>
      </c>
      <c r="L8" s="18">
        <f t="shared" ref="L8:AN8" ca="1" si="0">L9</f>
        <v>46236</v>
      </c>
      <c r="M8" s="18">
        <f t="shared" ca="1" si="0"/>
        <v>46237</v>
      </c>
      <c r="N8" s="18">
        <f t="shared" ca="1" si="0"/>
        <v>46238</v>
      </c>
      <c r="O8" s="18">
        <f t="shared" ca="1" si="0"/>
        <v>46239</v>
      </c>
      <c r="P8" s="18">
        <f t="shared" ca="1" si="0"/>
        <v>46240</v>
      </c>
      <c r="Q8" s="18">
        <f t="shared" ca="1" si="0"/>
        <v>46241</v>
      </c>
      <c r="R8" s="18">
        <f t="shared" ca="1" si="0"/>
        <v>46242</v>
      </c>
      <c r="S8" s="18">
        <f t="shared" ca="1" si="0"/>
        <v>46243</v>
      </c>
      <c r="T8" s="18">
        <f t="shared" ca="1" si="0"/>
        <v>46244</v>
      </c>
      <c r="U8" s="18">
        <f t="shared" ca="1" si="0"/>
        <v>46245</v>
      </c>
      <c r="V8" s="18">
        <f t="shared" ca="1" si="0"/>
        <v>46246</v>
      </c>
      <c r="W8" s="18">
        <f t="shared" ca="1" si="0"/>
        <v>46247</v>
      </c>
      <c r="X8" s="18">
        <f t="shared" ca="1" si="0"/>
        <v>46248</v>
      </c>
      <c r="Y8" s="18">
        <f t="shared" ca="1" si="0"/>
        <v>46249</v>
      </c>
      <c r="Z8" s="18">
        <f t="shared" ca="1" si="0"/>
        <v>46250</v>
      </c>
      <c r="AA8" s="18">
        <f t="shared" ca="1" si="0"/>
        <v>46251</v>
      </c>
      <c r="AB8" s="18">
        <f t="shared" ca="1" si="0"/>
        <v>46252</v>
      </c>
      <c r="AC8" s="18">
        <f t="shared" ca="1" si="0"/>
        <v>46253</v>
      </c>
      <c r="AD8" s="18">
        <f t="shared" ca="1" si="0"/>
        <v>46254</v>
      </c>
      <c r="AE8" s="18">
        <f t="shared" ca="1" si="0"/>
        <v>46255</v>
      </c>
      <c r="AF8" s="18">
        <f t="shared" ca="1" si="0"/>
        <v>46256</v>
      </c>
      <c r="AG8" s="18">
        <f t="shared" ca="1" si="0"/>
        <v>46257</v>
      </c>
      <c r="AH8" s="18">
        <f t="shared" ca="1" si="0"/>
        <v>46258</v>
      </c>
      <c r="AI8" s="18">
        <f t="shared" ca="1" si="0"/>
        <v>46259</v>
      </c>
      <c r="AJ8" s="18">
        <f t="shared" ca="1" si="0"/>
        <v>46260</v>
      </c>
      <c r="AK8" s="18">
        <f t="shared" ca="1" si="0"/>
        <v>46261</v>
      </c>
      <c r="AL8" s="18">
        <f t="shared" ca="1" si="0"/>
        <v>46262</v>
      </c>
      <c r="AM8" s="18">
        <f t="shared" ca="1" si="0"/>
        <v>46263</v>
      </c>
      <c r="AN8" s="18">
        <f t="shared" ca="1" si="0"/>
        <v>46264</v>
      </c>
      <c r="AO8" s="18">
        <f ca="1">AO9</f>
        <v>46265</v>
      </c>
    </row>
    <row r="9" spans="1:81" ht="57.75" hidden="1" customHeight="1">
      <c r="H9" s="426" t="s">
        <v>4</v>
      </c>
      <c r="I9" s="426"/>
      <c r="J9" s="426"/>
      <c r="K9" s="13">
        <f ca="1">IF(YK!E3=1,YK!D3,IF(YK!E3=2,YK!D4,IF(YK!E3=3,YK!D5,IF(YK!E3=4,YK!D6,IF(YK!E3=5,YK!D7,IF(YK!E3=6,YK!D8,IF(YK!E3=7,YK!D9,IF(YK!E3=8,YK!D10,IF(YK!E3=9,YK!D11,IF(YK!E3=10,YK!D12,IF(YK!E3=11,YK!D13,IF(YK!E3=12,YK!D14,0))))))))))))</f>
        <v>46235</v>
      </c>
      <c r="L9" s="13">
        <f ca="1">K9+1</f>
        <v>46236</v>
      </c>
      <c r="M9" s="13">
        <f t="shared" ref="M9:AJ9" ca="1" si="1">L9+1</f>
        <v>46237</v>
      </c>
      <c r="N9" s="13">
        <f t="shared" ca="1" si="1"/>
        <v>46238</v>
      </c>
      <c r="O9" s="13">
        <f t="shared" ca="1" si="1"/>
        <v>46239</v>
      </c>
      <c r="P9" s="13">
        <f t="shared" ca="1" si="1"/>
        <v>46240</v>
      </c>
      <c r="Q9" s="13">
        <f t="shared" ca="1" si="1"/>
        <v>46241</v>
      </c>
      <c r="R9" s="13">
        <f t="shared" ca="1" si="1"/>
        <v>46242</v>
      </c>
      <c r="S9" s="13">
        <f t="shared" ca="1" si="1"/>
        <v>46243</v>
      </c>
      <c r="T9" s="13">
        <f t="shared" ca="1" si="1"/>
        <v>46244</v>
      </c>
      <c r="U9" s="13">
        <f t="shared" ca="1" si="1"/>
        <v>46245</v>
      </c>
      <c r="V9" s="13">
        <f t="shared" ca="1" si="1"/>
        <v>46246</v>
      </c>
      <c r="W9" s="13">
        <f t="shared" ca="1" si="1"/>
        <v>46247</v>
      </c>
      <c r="X9" s="13">
        <f t="shared" ca="1" si="1"/>
        <v>46248</v>
      </c>
      <c r="Y9" s="13">
        <f t="shared" ca="1" si="1"/>
        <v>46249</v>
      </c>
      <c r="Z9" s="13">
        <f t="shared" ca="1" si="1"/>
        <v>46250</v>
      </c>
      <c r="AA9" s="13">
        <f t="shared" ca="1" si="1"/>
        <v>46251</v>
      </c>
      <c r="AB9" s="13">
        <f t="shared" ca="1" si="1"/>
        <v>46252</v>
      </c>
      <c r="AC9" s="13">
        <f t="shared" ca="1" si="1"/>
        <v>46253</v>
      </c>
      <c r="AD9" s="13">
        <f t="shared" ca="1" si="1"/>
        <v>46254</v>
      </c>
      <c r="AE9" s="13">
        <f t="shared" ca="1" si="1"/>
        <v>46255</v>
      </c>
      <c r="AF9" s="13">
        <f t="shared" ca="1" si="1"/>
        <v>46256</v>
      </c>
      <c r="AG9" s="13">
        <f t="shared" ca="1" si="1"/>
        <v>46257</v>
      </c>
      <c r="AH9" s="13">
        <f t="shared" ca="1" si="1"/>
        <v>46258</v>
      </c>
      <c r="AI9" s="13">
        <f t="shared" ca="1" si="1"/>
        <v>46259</v>
      </c>
      <c r="AJ9" s="13">
        <f t="shared" ca="1" si="1"/>
        <v>46260</v>
      </c>
      <c r="AK9" s="13">
        <f ca="1">AJ9+1</f>
        <v>46261</v>
      </c>
      <c r="AL9" s="13">
        <f ca="1">AK9+1</f>
        <v>46262</v>
      </c>
      <c r="AM9" s="13">
        <f ca="1">AL9+1</f>
        <v>46263</v>
      </c>
      <c r="AN9" s="13">
        <f ca="1">AM9+1</f>
        <v>46264</v>
      </c>
      <c r="AO9" s="13">
        <f ca="1">AN9+1</f>
        <v>46265</v>
      </c>
    </row>
    <row r="10" spans="1:81" ht="13.5" hidden="1" customHeight="1">
      <c r="K10" s="9">
        <f ca="1">WEEKDAY(K9,2)</f>
        <v>6</v>
      </c>
      <c r="L10" s="9">
        <f t="shared" ref="L10:AN10" ca="1" si="2">WEEKDAY(L9,2)</f>
        <v>7</v>
      </c>
      <c r="M10" s="9">
        <f t="shared" ca="1" si="2"/>
        <v>1</v>
      </c>
      <c r="N10" s="9">
        <f t="shared" ca="1" si="2"/>
        <v>2</v>
      </c>
      <c r="O10" s="9">
        <f t="shared" ca="1" si="2"/>
        <v>3</v>
      </c>
      <c r="P10" s="9">
        <f t="shared" ca="1" si="2"/>
        <v>4</v>
      </c>
      <c r="Q10" s="9">
        <f t="shared" ca="1" si="2"/>
        <v>5</v>
      </c>
      <c r="R10" s="9">
        <f t="shared" ca="1" si="2"/>
        <v>6</v>
      </c>
      <c r="S10" s="9">
        <f t="shared" ca="1" si="2"/>
        <v>7</v>
      </c>
      <c r="T10" s="9">
        <f t="shared" ca="1" si="2"/>
        <v>1</v>
      </c>
      <c r="U10" s="9">
        <f t="shared" ca="1" si="2"/>
        <v>2</v>
      </c>
      <c r="V10" s="9">
        <f t="shared" ca="1" si="2"/>
        <v>3</v>
      </c>
      <c r="W10" s="9">
        <f t="shared" ca="1" si="2"/>
        <v>4</v>
      </c>
      <c r="X10" s="9">
        <f t="shared" ca="1" si="2"/>
        <v>5</v>
      </c>
      <c r="Y10" s="9">
        <f t="shared" ca="1" si="2"/>
        <v>6</v>
      </c>
      <c r="Z10" s="9">
        <f t="shared" ca="1" si="2"/>
        <v>7</v>
      </c>
      <c r="AA10" s="9">
        <f t="shared" ca="1" si="2"/>
        <v>1</v>
      </c>
      <c r="AB10" s="9">
        <f t="shared" ca="1" si="2"/>
        <v>2</v>
      </c>
      <c r="AC10" s="9">
        <f t="shared" ca="1" si="2"/>
        <v>3</v>
      </c>
      <c r="AD10" s="9">
        <f t="shared" ca="1" si="2"/>
        <v>4</v>
      </c>
      <c r="AE10" s="9">
        <f t="shared" ca="1" si="2"/>
        <v>5</v>
      </c>
      <c r="AF10" s="9">
        <f t="shared" ca="1" si="2"/>
        <v>6</v>
      </c>
      <c r="AG10" s="9">
        <f t="shared" ca="1" si="2"/>
        <v>7</v>
      </c>
      <c r="AH10" s="9">
        <f t="shared" ca="1" si="2"/>
        <v>1</v>
      </c>
      <c r="AI10" s="9">
        <f t="shared" ca="1" si="2"/>
        <v>2</v>
      </c>
      <c r="AJ10" s="9">
        <f t="shared" ca="1" si="2"/>
        <v>3</v>
      </c>
      <c r="AK10" s="9">
        <f t="shared" ca="1" si="2"/>
        <v>4</v>
      </c>
      <c r="AL10" s="9">
        <f t="shared" ca="1" si="2"/>
        <v>5</v>
      </c>
      <c r="AM10" s="9">
        <f t="shared" ca="1" si="2"/>
        <v>6</v>
      </c>
      <c r="AN10" s="9">
        <f t="shared" ca="1" si="2"/>
        <v>7</v>
      </c>
      <c r="AO10" s="9">
        <f ca="1">WEEKDAY(AO9,2)</f>
        <v>1</v>
      </c>
    </row>
    <row r="11" spans="1:81" ht="13.5" hidden="1" customHeight="1" thickBot="1">
      <c r="K11" s="102"/>
      <c r="L11" s="102"/>
      <c r="M11" s="102"/>
      <c r="N11" s="102"/>
      <c r="O11" s="102"/>
      <c r="P11" s="102"/>
      <c r="Q11" s="102"/>
      <c r="R11" s="102"/>
      <c r="S11" s="102"/>
      <c r="T11" s="102"/>
      <c r="U11" s="102"/>
      <c r="V11" s="102"/>
      <c r="W11" s="102"/>
      <c r="X11" s="102"/>
      <c r="Y11" s="102"/>
      <c r="Z11" s="102"/>
      <c r="AA11" s="102"/>
      <c r="AB11" s="102"/>
      <c r="AC11" s="102"/>
      <c r="AD11" s="102"/>
      <c r="AE11" s="102"/>
      <c r="AF11" s="102"/>
      <c r="AG11" s="102"/>
      <c r="AH11" s="102"/>
      <c r="AI11" s="102"/>
      <c r="AJ11" s="102"/>
      <c r="AK11" s="102"/>
      <c r="AL11" s="102"/>
      <c r="AM11" s="103">
        <f ca="1">IF(MONTH(AM9)&lt;&gt;MONTH($K$9),0,1)</f>
        <v>1</v>
      </c>
      <c r="AN11" s="103">
        <f ca="1">IF(MONTH(AN9)&lt;&gt;MONTH($K$9),0,1)</f>
        <v>1</v>
      </c>
      <c r="AO11" s="103">
        <f ca="1">IF(MONTH(AO9)&lt;&gt;MONTH($K$9),0,1)</f>
        <v>1</v>
      </c>
    </row>
    <row r="12" spans="1:81" ht="25.5" hidden="1" customHeight="1" thickBot="1">
      <c r="A12" s="441" t="s">
        <v>5</v>
      </c>
      <c r="B12" s="437"/>
      <c r="C12" s="439" t="e">
        <f>#REF!</f>
        <v>#REF!</v>
      </c>
      <c r="D12" s="437"/>
      <c r="E12" s="437"/>
      <c r="F12" s="437"/>
      <c r="G12" s="440"/>
      <c r="H12" s="437" t="str">
        <f ca="1">INDIRECT("T!"&amp;T!A1&amp;"66")</f>
        <v>Plan transakcji:</v>
      </c>
      <c r="I12" s="437"/>
      <c r="J12" s="438"/>
      <c r="K12" s="46"/>
      <c r="L12" s="47"/>
      <c r="M12" s="47"/>
      <c r="N12" s="47"/>
      <c r="O12" s="47"/>
      <c r="P12" s="47"/>
      <c r="Q12" s="47"/>
      <c r="R12" s="47"/>
      <c r="S12" s="47"/>
      <c r="T12" s="47"/>
      <c r="U12" s="47"/>
      <c r="V12" s="47"/>
      <c r="W12" s="47"/>
      <c r="X12" s="47"/>
      <c r="Y12" s="47"/>
      <c r="Z12" s="47"/>
      <c r="AA12" s="47"/>
      <c r="AB12" s="47"/>
      <c r="AC12" s="47"/>
      <c r="AD12" s="47"/>
      <c r="AE12" s="47"/>
      <c r="AF12" s="47"/>
      <c r="AG12" s="47"/>
      <c r="AH12" s="47"/>
      <c r="AI12" s="47"/>
      <c r="AJ12" s="47"/>
      <c r="AK12" s="47"/>
      <c r="AL12" s="47"/>
      <c r="AM12" s="47"/>
      <c r="AN12" s="47"/>
      <c r="AO12" s="48"/>
    </row>
    <row r="13" spans="1:81" ht="19.5" customHeight="1">
      <c r="A13" s="433" t="str">
        <f ca="1">INDIRECT("T!"&amp;T!A1&amp;"33")</f>
        <v>Etat</v>
      </c>
      <c r="B13" s="434"/>
      <c r="C13" s="427" t="s">
        <v>6</v>
      </c>
      <c r="D13" s="428"/>
      <c r="E13" s="428"/>
      <c r="F13" s="428"/>
      <c r="G13" s="429"/>
      <c r="H13" s="420" t="str">
        <f ca="1">INDIRECT("T!"&amp;T!A1&amp;"34")</f>
        <v>Pozycja</v>
      </c>
      <c r="I13" s="421"/>
      <c r="J13" s="422"/>
      <c r="K13" s="94">
        <v>1</v>
      </c>
      <c r="L13" s="95">
        <v>2</v>
      </c>
      <c r="M13" s="95">
        <v>3</v>
      </c>
      <c r="N13" s="95">
        <v>4</v>
      </c>
      <c r="O13" s="95">
        <v>5</v>
      </c>
      <c r="P13" s="95">
        <v>6</v>
      </c>
      <c r="Q13" s="95">
        <v>7</v>
      </c>
      <c r="R13" s="95">
        <v>8</v>
      </c>
      <c r="S13" s="95">
        <v>9</v>
      </c>
      <c r="T13" s="95">
        <v>10</v>
      </c>
      <c r="U13" s="95">
        <v>11</v>
      </c>
      <c r="V13" s="95">
        <v>12</v>
      </c>
      <c r="W13" s="95">
        <v>13</v>
      </c>
      <c r="X13" s="95">
        <v>14</v>
      </c>
      <c r="Y13" s="95">
        <v>15</v>
      </c>
      <c r="Z13" s="95">
        <v>16</v>
      </c>
      <c r="AA13" s="95">
        <v>17</v>
      </c>
      <c r="AB13" s="95">
        <v>18</v>
      </c>
      <c r="AC13" s="95">
        <v>19</v>
      </c>
      <c r="AD13" s="95">
        <v>20</v>
      </c>
      <c r="AE13" s="95">
        <v>21</v>
      </c>
      <c r="AF13" s="95">
        <v>22</v>
      </c>
      <c r="AG13" s="95">
        <v>23</v>
      </c>
      <c r="AH13" s="95">
        <v>24</v>
      </c>
      <c r="AI13" s="95">
        <v>25</v>
      </c>
      <c r="AJ13" s="95">
        <v>26</v>
      </c>
      <c r="AK13" s="95">
        <v>27</v>
      </c>
      <c r="AL13" s="95">
        <v>28</v>
      </c>
      <c r="AM13" s="95">
        <v>29</v>
      </c>
      <c r="AN13" s="96">
        <v>30</v>
      </c>
      <c r="AO13" s="97">
        <v>31</v>
      </c>
      <c r="AP13" s="452" t="str">
        <f ca="1">INDIRECT("T!"&amp;T!A1&amp;"47")</f>
        <v>Ilość dni OFF</v>
      </c>
      <c r="AQ13" s="453"/>
      <c r="AR13" s="450" t="str">
        <f ca="1">INDIRECT("T!"&amp;T!A1&amp;"55")</f>
        <v>Ilość godzin wypracowanych</v>
      </c>
      <c r="AS13" s="450"/>
      <c r="AT13" s="468" t="str">
        <f ca="1">INDIRECT("T!"&amp;T!A1&amp;"56")</f>
        <v>Pokrycie%</v>
      </c>
      <c r="AU13" s="468"/>
      <c r="AV13" s="464" t="str">
        <f ca="1">INDIRECT("T!"&amp;T!A1&amp;"57")</f>
        <v>Pozostało</v>
      </c>
      <c r="AW13" s="465"/>
    </row>
    <row r="14" spans="1:81" ht="20.100000000000001" customHeight="1">
      <c r="A14" s="435"/>
      <c r="B14" s="436"/>
      <c r="C14" s="430"/>
      <c r="D14" s="431"/>
      <c r="E14" s="431"/>
      <c r="F14" s="431"/>
      <c r="G14" s="432"/>
      <c r="H14" s="423"/>
      <c r="I14" s="424"/>
      <c r="J14" s="425"/>
      <c r="K14" s="98" t="str">
        <f ca="1">IF(K10=1,INDIRECT("T!"&amp;T!$A$1&amp;"26"),IF(K10=2,INDIRECT("T!"&amp;T!$A$1&amp;"27"),IF(K10=3,INDIRECT("T!"&amp;T!$A$1&amp;"28"),IF(K10=4,INDIRECT("T!"&amp;T!$A$1&amp;"29"),IF(K10=5,INDIRECT("T!"&amp;T!$A$1&amp;"30"),IF(K10=6,INDIRECT("T!"&amp;T!$A$1&amp;"31"),IF(K10=7,INDIRECT("T!"&amp;T!$A$1&amp;"32"),0)))))))</f>
        <v>So</v>
      </c>
      <c r="L14" s="99" t="str">
        <f ca="1">IF(L10=1,INDIRECT("T!"&amp;T!$A$1&amp;"26"),IF(L10=2,INDIRECT("T!"&amp;T!$A$1&amp;"27"),IF(L10=3,INDIRECT("T!"&amp;T!$A$1&amp;"28"),IF(L10=4,INDIRECT("T!"&amp;T!$A$1&amp;"29"),IF(L10=5,INDIRECT("T!"&amp;T!$A$1&amp;"30"),IF(L10=6,INDIRECT("T!"&amp;T!$A$1&amp;"31"),IF(L10=7,INDIRECT("T!"&amp;T!$A$1&amp;"32"),0)))))))</f>
        <v>Nd</v>
      </c>
      <c r="M14" s="99" t="str">
        <f ca="1">IF(M10=1,INDIRECT("T!"&amp;T!$A$1&amp;"26"),IF(M10=2,INDIRECT("T!"&amp;T!$A$1&amp;"27"),IF(M10=3,INDIRECT("T!"&amp;T!$A$1&amp;"28"),IF(M10=4,INDIRECT("T!"&amp;T!$A$1&amp;"29"),IF(M10=5,INDIRECT("T!"&amp;T!$A$1&amp;"30"),IF(M10=6,INDIRECT("T!"&amp;T!$A$1&amp;"31"),IF(M10=7,INDIRECT("T!"&amp;T!$A$1&amp;"32"),0)))))))</f>
        <v>Pn</v>
      </c>
      <c r="N14" s="99" t="str">
        <f ca="1">IF(N10=1,INDIRECT("T!"&amp;T!$A$1&amp;"26"),IF(N10=2,INDIRECT("T!"&amp;T!$A$1&amp;"27"),IF(N10=3,INDIRECT("T!"&amp;T!$A$1&amp;"28"),IF(N10=4,INDIRECT("T!"&amp;T!$A$1&amp;"29"),IF(N10=5,INDIRECT("T!"&amp;T!$A$1&amp;"30"),IF(N10=6,INDIRECT("T!"&amp;T!$A$1&amp;"31"),IF(N10=7,INDIRECT("T!"&amp;T!$A$1&amp;"32"),0)))))))</f>
        <v>Wt</v>
      </c>
      <c r="O14" s="99" t="str">
        <f ca="1">IF(O10=1,INDIRECT("T!"&amp;T!$A$1&amp;"26"),IF(O10=2,INDIRECT("T!"&amp;T!$A$1&amp;"27"),IF(O10=3,INDIRECT("T!"&amp;T!$A$1&amp;"28"),IF(O10=4,INDIRECT("T!"&amp;T!$A$1&amp;"29"),IF(O10=5,INDIRECT("T!"&amp;T!$A$1&amp;"30"),IF(O10=6,INDIRECT("T!"&amp;T!$A$1&amp;"31"),IF(O10=7,INDIRECT("T!"&amp;T!$A$1&amp;"32"),0)))))))</f>
        <v>Śr</v>
      </c>
      <c r="P14" s="99" t="str">
        <f ca="1">IF(P10=1,INDIRECT("T!"&amp;T!$A$1&amp;"26"),IF(P10=2,INDIRECT("T!"&amp;T!$A$1&amp;"27"),IF(P10=3,INDIRECT("T!"&amp;T!$A$1&amp;"28"),IF(P10=4,INDIRECT("T!"&amp;T!$A$1&amp;"29"),IF(P10=5,INDIRECT("T!"&amp;T!$A$1&amp;"30"),IF(P10=6,INDIRECT("T!"&amp;T!$A$1&amp;"31"),IF(P10=7,INDIRECT("T!"&amp;T!$A$1&amp;"32"),0)))))))</f>
        <v>Cz</v>
      </c>
      <c r="Q14" s="99" t="str">
        <f ca="1">IF(Q10=1,INDIRECT("T!"&amp;T!$A$1&amp;"26"),IF(Q10=2,INDIRECT("T!"&amp;T!$A$1&amp;"27"),IF(Q10=3,INDIRECT("T!"&amp;T!$A$1&amp;"28"),IF(Q10=4,INDIRECT("T!"&amp;T!$A$1&amp;"29"),IF(Q10=5,INDIRECT("T!"&amp;T!$A$1&amp;"30"),IF(Q10=6,INDIRECT("T!"&amp;T!$A$1&amp;"31"),IF(Q10=7,INDIRECT("T!"&amp;T!$A$1&amp;"32"),0)))))))</f>
        <v>Pt</v>
      </c>
      <c r="R14" s="99" t="str">
        <f ca="1">IF(R10=1,INDIRECT("T!"&amp;T!$A$1&amp;"26"),IF(R10=2,INDIRECT("T!"&amp;T!$A$1&amp;"27"),IF(R10=3,INDIRECT("T!"&amp;T!$A$1&amp;"28"),IF(R10=4,INDIRECT("T!"&amp;T!$A$1&amp;"29"),IF(R10=5,INDIRECT("T!"&amp;T!$A$1&amp;"30"),IF(R10=6,INDIRECT("T!"&amp;T!$A$1&amp;"31"),IF(R10=7,INDIRECT("T!"&amp;T!$A$1&amp;"32"),0)))))))</f>
        <v>So</v>
      </c>
      <c r="S14" s="99" t="str">
        <f ca="1">IF(S10=1,INDIRECT("T!"&amp;T!$A$1&amp;"26"),IF(S10=2,INDIRECT("T!"&amp;T!$A$1&amp;"27"),IF(S10=3,INDIRECT("T!"&amp;T!$A$1&amp;"28"),IF(S10=4,INDIRECT("T!"&amp;T!$A$1&amp;"29"),IF(S10=5,INDIRECT("T!"&amp;T!$A$1&amp;"30"),IF(S10=6,INDIRECT("T!"&amp;T!$A$1&amp;"31"),IF(S10=7,INDIRECT("T!"&amp;T!$A$1&amp;"32"),0)))))))</f>
        <v>Nd</v>
      </c>
      <c r="T14" s="99" t="str">
        <f ca="1">IF(T10=1,INDIRECT("T!"&amp;T!$A$1&amp;"26"),IF(T10=2,INDIRECT("T!"&amp;T!$A$1&amp;"27"),IF(T10=3,INDIRECT("T!"&amp;T!$A$1&amp;"28"),IF(T10=4,INDIRECT("T!"&amp;T!$A$1&amp;"29"),IF(T10=5,INDIRECT("T!"&amp;T!$A$1&amp;"30"),IF(T10=6,INDIRECT("T!"&amp;T!$A$1&amp;"31"),IF(T10=7,INDIRECT("T!"&amp;T!$A$1&amp;"32"),0)))))))</f>
        <v>Pn</v>
      </c>
      <c r="U14" s="99" t="str">
        <f ca="1">IF(U10=1,INDIRECT("T!"&amp;T!$A$1&amp;"26"),IF(U10=2,INDIRECT("T!"&amp;T!$A$1&amp;"27"),IF(U10=3,INDIRECT("T!"&amp;T!$A$1&amp;"28"),IF(U10=4,INDIRECT("T!"&amp;T!$A$1&amp;"29"),IF(U10=5,INDIRECT("T!"&amp;T!$A$1&amp;"30"),IF(U10=6,INDIRECT("T!"&amp;T!$A$1&amp;"31"),IF(U10=7,INDIRECT("T!"&amp;T!$A$1&amp;"32"),0)))))))</f>
        <v>Wt</v>
      </c>
      <c r="V14" s="99" t="str">
        <f ca="1">IF(V10=1,INDIRECT("T!"&amp;T!$A$1&amp;"26"),IF(V10=2,INDIRECT("T!"&amp;T!$A$1&amp;"27"),IF(V10=3,INDIRECT("T!"&amp;T!$A$1&amp;"28"),IF(V10=4,INDIRECT("T!"&amp;T!$A$1&amp;"29"),IF(V10=5,INDIRECT("T!"&amp;T!$A$1&amp;"30"),IF(V10=6,INDIRECT("T!"&amp;T!$A$1&amp;"31"),IF(V10=7,INDIRECT("T!"&amp;T!$A$1&amp;"32"),0)))))))</f>
        <v>Śr</v>
      </c>
      <c r="W14" s="99" t="str">
        <f ca="1">IF(W10=1,INDIRECT("T!"&amp;T!$A$1&amp;"26"),IF(W10=2,INDIRECT("T!"&amp;T!$A$1&amp;"27"),IF(W10=3,INDIRECT("T!"&amp;T!$A$1&amp;"28"),IF(W10=4,INDIRECT("T!"&amp;T!$A$1&amp;"29"),IF(W10=5,INDIRECT("T!"&amp;T!$A$1&amp;"30"),IF(W10=6,INDIRECT("T!"&amp;T!$A$1&amp;"31"),IF(W10=7,INDIRECT("T!"&amp;T!$A$1&amp;"32"),0)))))))</f>
        <v>Cz</v>
      </c>
      <c r="X14" s="99" t="str">
        <f ca="1">IF(X10=1,INDIRECT("T!"&amp;T!$A$1&amp;"26"),IF(X10=2,INDIRECT("T!"&amp;T!$A$1&amp;"27"),IF(X10=3,INDIRECT("T!"&amp;T!$A$1&amp;"28"),IF(X10=4,INDIRECT("T!"&amp;T!$A$1&amp;"29"),IF(X10=5,INDIRECT("T!"&amp;T!$A$1&amp;"30"),IF(X10=6,INDIRECT("T!"&amp;T!$A$1&amp;"31"),IF(X10=7,INDIRECT("T!"&amp;T!$A$1&amp;"32"),0)))))))</f>
        <v>Pt</v>
      </c>
      <c r="Y14" s="99" t="str">
        <f ca="1">IF(Y10=1,INDIRECT("T!"&amp;T!$A$1&amp;"26"),IF(Y10=2,INDIRECT("T!"&amp;T!$A$1&amp;"27"),IF(Y10=3,INDIRECT("T!"&amp;T!$A$1&amp;"28"),IF(Y10=4,INDIRECT("T!"&amp;T!$A$1&amp;"29"),IF(Y10=5,INDIRECT("T!"&amp;T!$A$1&amp;"30"),IF(Y10=6,INDIRECT("T!"&amp;T!$A$1&amp;"31"),IF(Y10=7,INDIRECT("T!"&amp;T!$A$1&amp;"32"),0)))))))</f>
        <v>So</v>
      </c>
      <c r="Z14" s="99" t="str">
        <f ca="1">IF(Z10=1,INDIRECT("T!"&amp;T!$A$1&amp;"26"),IF(Z10=2,INDIRECT("T!"&amp;T!$A$1&amp;"27"),IF(Z10=3,INDIRECT("T!"&amp;T!$A$1&amp;"28"),IF(Z10=4,INDIRECT("T!"&amp;T!$A$1&amp;"29"),IF(Z10=5,INDIRECT("T!"&amp;T!$A$1&amp;"30"),IF(Z10=6,INDIRECT("T!"&amp;T!$A$1&amp;"31"),IF(Z10=7,INDIRECT("T!"&amp;T!$A$1&amp;"32"),0)))))))</f>
        <v>Nd</v>
      </c>
      <c r="AA14" s="99" t="str">
        <f ca="1">IF(AA10=1,INDIRECT("T!"&amp;T!$A$1&amp;"26"),IF(AA10=2,INDIRECT("T!"&amp;T!$A$1&amp;"27"),IF(AA10=3,INDIRECT("T!"&amp;T!$A$1&amp;"28"),IF(AA10=4,INDIRECT("T!"&amp;T!$A$1&amp;"29"),IF(AA10=5,INDIRECT("T!"&amp;T!$A$1&amp;"30"),IF(AA10=6,INDIRECT("T!"&amp;T!$A$1&amp;"31"),IF(AA10=7,INDIRECT("T!"&amp;T!$A$1&amp;"32"),0)))))))</f>
        <v>Pn</v>
      </c>
      <c r="AB14" s="99" t="str">
        <f ca="1">IF(AB10=1,INDIRECT("T!"&amp;T!$A$1&amp;"26"),IF(AB10=2,INDIRECT("T!"&amp;T!$A$1&amp;"27"),IF(AB10=3,INDIRECT("T!"&amp;T!$A$1&amp;"28"),IF(AB10=4,INDIRECT("T!"&amp;T!$A$1&amp;"29"),IF(AB10=5,INDIRECT("T!"&amp;T!$A$1&amp;"30"),IF(AB10=6,INDIRECT("T!"&amp;T!$A$1&amp;"31"),IF(AB10=7,INDIRECT("T!"&amp;T!$A$1&amp;"32"),0)))))))</f>
        <v>Wt</v>
      </c>
      <c r="AC14" s="99" t="str">
        <f ca="1">IF(AC10=1,INDIRECT("T!"&amp;T!$A$1&amp;"26"),IF(AC10=2,INDIRECT("T!"&amp;T!$A$1&amp;"27"),IF(AC10=3,INDIRECT("T!"&amp;T!$A$1&amp;"28"),IF(AC10=4,INDIRECT("T!"&amp;T!$A$1&amp;"29"),IF(AC10=5,INDIRECT("T!"&amp;T!$A$1&amp;"30"),IF(AC10=6,INDIRECT("T!"&amp;T!$A$1&amp;"31"),IF(AC10=7,INDIRECT("T!"&amp;T!$A$1&amp;"32"),0)))))))</f>
        <v>Śr</v>
      </c>
      <c r="AD14" s="99" t="str">
        <f ca="1">IF(AD10=1,INDIRECT("T!"&amp;T!$A$1&amp;"26"),IF(AD10=2,INDIRECT("T!"&amp;T!$A$1&amp;"27"),IF(AD10=3,INDIRECT("T!"&amp;T!$A$1&amp;"28"),IF(AD10=4,INDIRECT("T!"&amp;T!$A$1&amp;"29"),IF(AD10=5,INDIRECT("T!"&amp;T!$A$1&amp;"30"),IF(AD10=6,INDIRECT("T!"&amp;T!$A$1&amp;"31"),IF(AD10=7,INDIRECT("T!"&amp;T!$A$1&amp;"32"),0)))))))</f>
        <v>Cz</v>
      </c>
      <c r="AE14" s="99" t="str">
        <f ca="1">IF(AE10=1,INDIRECT("T!"&amp;T!$A$1&amp;"26"),IF(AE10=2,INDIRECT("T!"&amp;T!$A$1&amp;"27"),IF(AE10=3,INDIRECT("T!"&amp;T!$A$1&amp;"28"),IF(AE10=4,INDIRECT("T!"&amp;T!$A$1&amp;"29"),IF(AE10=5,INDIRECT("T!"&amp;T!$A$1&amp;"30"),IF(AE10=6,INDIRECT("T!"&amp;T!$A$1&amp;"31"),IF(AE10=7,INDIRECT("T!"&amp;T!$A$1&amp;"32"),0)))))))</f>
        <v>Pt</v>
      </c>
      <c r="AF14" s="99" t="str">
        <f ca="1">IF(AF10=1,INDIRECT("T!"&amp;T!$A$1&amp;"26"),IF(AF10=2,INDIRECT("T!"&amp;T!$A$1&amp;"27"),IF(AF10=3,INDIRECT("T!"&amp;T!$A$1&amp;"28"),IF(AF10=4,INDIRECT("T!"&amp;T!$A$1&amp;"29"),IF(AF10=5,INDIRECT("T!"&amp;T!$A$1&amp;"30"),IF(AF10=6,INDIRECT("T!"&amp;T!$A$1&amp;"31"),IF(AF10=7,INDIRECT("T!"&amp;T!$A$1&amp;"32"),0)))))))</f>
        <v>So</v>
      </c>
      <c r="AG14" s="99" t="str">
        <f ca="1">IF(AG10=1,INDIRECT("T!"&amp;T!$A$1&amp;"26"),IF(AG10=2,INDIRECT("T!"&amp;T!$A$1&amp;"27"),IF(AG10=3,INDIRECT("T!"&amp;T!$A$1&amp;"28"),IF(AG10=4,INDIRECT("T!"&amp;T!$A$1&amp;"29"),IF(AG10=5,INDIRECT("T!"&amp;T!$A$1&amp;"30"),IF(AG10=6,INDIRECT("T!"&amp;T!$A$1&amp;"31"),IF(AG10=7,INDIRECT("T!"&amp;T!$A$1&amp;"32"),0)))))))</f>
        <v>Nd</v>
      </c>
      <c r="AH14" s="99" t="str">
        <f ca="1">IF(AH10=1,INDIRECT("T!"&amp;T!$A$1&amp;"26"),IF(AH10=2,INDIRECT("T!"&amp;T!$A$1&amp;"27"),IF(AH10=3,INDIRECT("T!"&amp;T!$A$1&amp;"28"),IF(AH10=4,INDIRECT("T!"&amp;T!$A$1&amp;"29"),IF(AH10=5,INDIRECT("T!"&amp;T!$A$1&amp;"30"),IF(AH10=6,INDIRECT("T!"&amp;T!$A$1&amp;"31"),IF(AH10=7,INDIRECT("T!"&amp;T!$A$1&amp;"32"),0)))))))</f>
        <v>Pn</v>
      </c>
      <c r="AI14" s="99" t="str">
        <f ca="1">IF(AI10=1,INDIRECT("T!"&amp;T!$A$1&amp;"26"),IF(AI10=2,INDIRECT("T!"&amp;T!$A$1&amp;"27"),IF(AI10=3,INDIRECT("T!"&amp;T!$A$1&amp;"28"),IF(AI10=4,INDIRECT("T!"&amp;T!$A$1&amp;"29"),IF(AI10=5,INDIRECT("T!"&amp;T!$A$1&amp;"30"),IF(AI10=6,INDIRECT("T!"&amp;T!$A$1&amp;"31"),IF(AI10=7,INDIRECT("T!"&amp;T!$A$1&amp;"32"),0)))))))</f>
        <v>Wt</v>
      </c>
      <c r="AJ14" s="99" t="str">
        <f ca="1">IF(AJ10=1,INDIRECT("T!"&amp;T!$A$1&amp;"26"),IF(AJ10=2,INDIRECT("T!"&amp;T!$A$1&amp;"27"),IF(AJ10=3,INDIRECT("T!"&amp;T!$A$1&amp;"28"),IF(AJ10=4,INDIRECT("T!"&amp;T!$A$1&amp;"29"),IF(AJ10=5,INDIRECT("T!"&amp;T!$A$1&amp;"30"),IF(AJ10=6,INDIRECT("T!"&amp;T!$A$1&amp;"31"),IF(AJ10=7,INDIRECT("T!"&amp;T!$A$1&amp;"32"),0)))))))</f>
        <v>Śr</v>
      </c>
      <c r="AK14" s="99" t="str">
        <f ca="1">IF(AK10=1,INDIRECT("T!"&amp;T!$A$1&amp;"26"),IF(AK10=2,INDIRECT("T!"&amp;T!$A$1&amp;"27"),IF(AK10=3,INDIRECT("T!"&amp;T!$A$1&amp;"28"),IF(AK10=4,INDIRECT("T!"&amp;T!$A$1&amp;"29"),IF(AK10=5,INDIRECT("T!"&amp;T!$A$1&amp;"30"),IF(AK10=6,INDIRECT("T!"&amp;T!$A$1&amp;"31"),IF(AK10=7,INDIRECT("T!"&amp;T!$A$1&amp;"32"),0)))))))</f>
        <v>Cz</v>
      </c>
      <c r="AL14" s="99" t="str">
        <f ca="1">IF(AL10=1,INDIRECT("T!"&amp;T!$A$1&amp;"26"),IF(AL10=2,INDIRECT("T!"&amp;T!$A$1&amp;"27"),IF(AL10=3,INDIRECT("T!"&amp;T!$A$1&amp;"28"),IF(AL10=4,INDIRECT("T!"&amp;T!$A$1&amp;"29"),IF(AL10=5,INDIRECT("T!"&amp;T!$A$1&amp;"30"),IF(AL10=6,INDIRECT("T!"&amp;T!$A$1&amp;"31"),IF(AL10=7,INDIRECT("T!"&amp;T!$A$1&amp;"32"),0)))))))</f>
        <v>Pt</v>
      </c>
      <c r="AM14" s="99" t="str">
        <f ca="1">IF(AM10=1,INDIRECT("T!"&amp;T!$A$1&amp;"26"),IF(AM10=2,INDIRECT("T!"&amp;T!$A$1&amp;"27"),IF(AM10=3,INDIRECT("T!"&amp;T!$A$1&amp;"28"),IF(AM10=4,INDIRECT("T!"&amp;T!$A$1&amp;"29"),IF(AM10=5,INDIRECT("T!"&amp;T!$A$1&amp;"30"),IF(AM10=6,INDIRECT("T!"&amp;T!$A$1&amp;"31"),IF(AM10=7,INDIRECT("T!"&amp;T!$A$1&amp;"32"),0)))))))</f>
        <v>So</v>
      </c>
      <c r="AN14" s="100" t="str">
        <f ca="1">IF(AN10=1,INDIRECT("T!"&amp;T!$A$1&amp;"26"),IF(AN10=2,INDIRECT("T!"&amp;T!$A$1&amp;"27"),IF(AN10=3,INDIRECT("T!"&amp;T!$A$1&amp;"28"),IF(AN10=4,INDIRECT("T!"&amp;T!$A$1&amp;"29"),IF(AN10=5,INDIRECT("T!"&amp;T!$A$1&amp;"30"),IF(AN10=6,INDIRECT("T!"&amp;T!$A$1&amp;"31"),IF(AN10=7,INDIRECT("T!"&amp;T!$A$1&amp;"32"),0)))))))</f>
        <v>Nd</v>
      </c>
      <c r="AO14" s="101" t="str">
        <f ca="1">IF(AO10=1,INDIRECT("T!"&amp;T!$A$1&amp;"26"),IF(AO10=2,INDIRECT("T!"&amp;T!$A$1&amp;"27"),IF(AO10=3,INDIRECT("T!"&amp;T!$A$1&amp;"28"),IF(AO10=4,INDIRECT("T!"&amp;T!$A$1&amp;"29"),IF(AO10=5,INDIRECT("T!"&amp;T!$A$1&amp;"30"),IF(AO10=6,INDIRECT("T!"&amp;T!$A$1&amp;"31"),IF(AO10=7,INDIRECT("T!"&amp;T!$A$1&amp;"32"),0)))))))</f>
        <v>Pn</v>
      </c>
      <c r="AP14" s="454"/>
      <c r="AQ14" s="455"/>
      <c r="AR14" s="451"/>
      <c r="AS14" s="451"/>
      <c r="AT14" s="469"/>
      <c r="AU14" s="469"/>
      <c r="AV14" s="466"/>
      <c r="AW14" s="467"/>
    </row>
    <row r="15" spans="1:81" ht="27.95" customHeight="1">
      <c r="A15" s="374" t="s">
        <v>7</v>
      </c>
      <c r="B15" s="375"/>
      <c r="C15" s="470" t="s">
        <v>8</v>
      </c>
      <c r="D15" s="471"/>
      <c r="E15" s="471"/>
      <c r="F15" s="471"/>
      <c r="G15" s="472"/>
      <c r="H15" s="473" t="s">
        <v>9</v>
      </c>
      <c r="I15" s="474"/>
      <c r="J15" s="475"/>
      <c r="K15" s="227" t="s">
        <v>10</v>
      </c>
      <c r="L15" s="227" t="s">
        <v>10</v>
      </c>
      <c r="M15" s="174" t="s">
        <v>11</v>
      </c>
      <c r="N15" s="174" t="s">
        <v>11</v>
      </c>
      <c r="O15" s="174" t="s">
        <v>11</v>
      </c>
      <c r="P15" s="174" t="s">
        <v>11</v>
      </c>
      <c r="Q15" s="174" t="s">
        <v>11</v>
      </c>
      <c r="R15" s="227" t="s">
        <v>10</v>
      </c>
      <c r="S15" s="227" t="s">
        <v>10</v>
      </c>
      <c r="T15" s="174" t="s">
        <v>11</v>
      </c>
      <c r="U15" s="174" t="s">
        <v>11</v>
      </c>
      <c r="V15" s="174" t="s">
        <v>12</v>
      </c>
      <c r="W15" s="174" t="s">
        <v>13</v>
      </c>
      <c r="X15" s="174" t="s">
        <v>12</v>
      </c>
      <c r="Y15" s="227" t="s">
        <v>10</v>
      </c>
      <c r="Z15" s="227" t="s">
        <v>10</v>
      </c>
      <c r="AA15" s="174" t="s">
        <v>11</v>
      </c>
      <c r="AB15" s="174" t="s">
        <v>11</v>
      </c>
      <c r="AC15" s="174" t="s">
        <v>14</v>
      </c>
      <c r="AD15" s="174" t="s">
        <v>15</v>
      </c>
      <c r="AE15" s="174" t="s">
        <v>14</v>
      </c>
      <c r="AF15" s="227" t="s">
        <v>10</v>
      </c>
      <c r="AG15" s="227" t="s">
        <v>10</v>
      </c>
      <c r="AH15" s="174" t="s">
        <v>11</v>
      </c>
      <c r="AI15" s="174" t="s">
        <v>11</v>
      </c>
      <c r="AJ15" s="174" t="s">
        <v>16</v>
      </c>
      <c r="AK15" s="174" t="s">
        <v>17</v>
      </c>
      <c r="AL15" s="174" t="s">
        <v>17</v>
      </c>
      <c r="AM15" s="227" t="s">
        <v>10</v>
      </c>
      <c r="AN15" s="227" t="s">
        <v>10</v>
      </c>
      <c r="AO15" s="261" t="s">
        <v>17</v>
      </c>
      <c r="AP15" s="370">
        <f>COUNTIF(K15:AO15,H81)</f>
        <v>10</v>
      </c>
      <c r="AQ15" s="371"/>
      <c r="AR15" s="371" t="e">
        <f ca="1">TEXT(V!AG16&amp;" h",)</f>
        <v>#NAME?</v>
      </c>
      <c r="AS15" s="371"/>
      <c r="AT15" s="444">
        <f ca="1">V!AK16</f>
        <v>0</v>
      </c>
      <c r="AU15" s="371"/>
      <c r="AV15" s="371" t="e">
        <f ca="1">TEXT(V!AL16 &amp; " h",)</f>
        <v>#VALUE!</v>
      </c>
      <c r="AW15" s="442"/>
      <c r="AY15" s="187"/>
      <c r="AZ15" s="187"/>
      <c r="BA15" s="187"/>
      <c r="BB15" s="187"/>
      <c r="BC15" s="187"/>
      <c r="BD15" s="187"/>
      <c r="BE15" s="187"/>
      <c r="BF15" s="187"/>
      <c r="BG15" s="187"/>
      <c r="BH15" s="187"/>
      <c r="BI15" s="187"/>
      <c r="BJ15" s="187"/>
      <c r="BK15" s="187"/>
      <c r="BL15" s="187"/>
      <c r="BM15" s="187"/>
      <c r="BN15" s="187"/>
      <c r="BO15" s="187"/>
      <c r="BP15" s="187"/>
      <c r="BQ15" s="187"/>
      <c r="BR15" s="187"/>
      <c r="BS15" s="187"/>
      <c r="BT15" s="187"/>
      <c r="BU15" s="187"/>
      <c r="BV15" s="187"/>
      <c r="BW15" s="187"/>
      <c r="BX15" s="187"/>
      <c r="BY15" s="187"/>
      <c r="BZ15" s="187"/>
      <c r="CA15" s="187"/>
      <c r="CB15" s="187"/>
      <c r="CC15" s="187"/>
    </row>
    <row r="16" spans="1:81" ht="27.95" customHeight="1">
      <c r="A16" s="387" t="s">
        <v>7</v>
      </c>
      <c r="B16" s="388"/>
      <c r="C16" s="381" t="s">
        <v>18</v>
      </c>
      <c r="D16" s="382"/>
      <c r="E16" s="382"/>
      <c r="F16" s="382"/>
      <c r="G16" s="383"/>
      <c r="H16" s="400" t="s">
        <v>19</v>
      </c>
      <c r="I16" s="401"/>
      <c r="J16" s="402"/>
      <c r="K16" s="228" t="s">
        <v>20</v>
      </c>
      <c r="L16" s="228" t="s">
        <v>10</v>
      </c>
      <c r="M16" s="175" t="s">
        <v>11</v>
      </c>
      <c r="N16" s="175" t="s">
        <v>11</v>
      </c>
      <c r="O16" s="175" t="s">
        <v>20</v>
      </c>
      <c r="P16" s="175" t="s">
        <v>16</v>
      </c>
      <c r="Q16" s="175" t="s">
        <v>10</v>
      </c>
      <c r="R16" s="228" t="s">
        <v>10</v>
      </c>
      <c r="S16" s="228" t="s">
        <v>10</v>
      </c>
      <c r="T16" s="175" t="s">
        <v>11</v>
      </c>
      <c r="U16" s="175" t="s">
        <v>16</v>
      </c>
      <c r="V16" s="175" t="s">
        <v>17</v>
      </c>
      <c r="W16" s="175" t="s">
        <v>17</v>
      </c>
      <c r="X16" s="175" t="s">
        <v>17</v>
      </c>
      <c r="Y16" s="228" t="s">
        <v>10</v>
      </c>
      <c r="Z16" s="228" t="s">
        <v>10</v>
      </c>
      <c r="AA16" s="175" t="s">
        <v>16</v>
      </c>
      <c r="AB16" s="175" t="s">
        <v>20</v>
      </c>
      <c r="AC16" s="175" t="s">
        <v>10</v>
      </c>
      <c r="AD16" s="175" t="s">
        <v>10</v>
      </c>
      <c r="AE16" s="175" t="s">
        <v>16</v>
      </c>
      <c r="AF16" s="228" t="s">
        <v>16</v>
      </c>
      <c r="AG16" s="228" t="s">
        <v>10</v>
      </c>
      <c r="AH16" s="175" t="s">
        <v>16</v>
      </c>
      <c r="AI16" s="175" t="s">
        <v>16</v>
      </c>
      <c r="AJ16" s="175" t="s">
        <v>17</v>
      </c>
      <c r="AK16" s="175" t="s">
        <v>17</v>
      </c>
      <c r="AL16" s="175" t="s">
        <v>17</v>
      </c>
      <c r="AM16" s="228" t="s">
        <v>10</v>
      </c>
      <c r="AN16" s="228" t="s">
        <v>10</v>
      </c>
      <c r="AO16" s="261" t="s">
        <v>17</v>
      </c>
      <c r="AP16" s="370">
        <f>COUNTIF(K16:AO16,H81)</f>
        <v>11</v>
      </c>
      <c r="AQ16" s="371"/>
      <c r="AR16" s="371" t="e">
        <f ca="1">TEXT(V!AG17&amp;" h",)</f>
        <v>#NAME?</v>
      </c>
      <c r="AS16" s="371"/>
      <c r="AT16" s="444">
        <f ca="1">V!AK17</f>
        <v>0</v>
      </c>
      <c r="AU16" s="371"/>
      <c r="AV16" s="371" t="e">
        <f ca="1">TEXT(V!AL17 &amp; " h",)</f>
        <v>#VALUE!</v>
      </c>
      <c r="AW16" s="442"/>
      <c r="AY16" s="187"/>
      <c r="AZ16" s="187"/>
      <c r="BA16" s="187"/>
      <c r="BB16" s="187"/>
      <c r="BC16" s="187"/>
      <c r="BD16" s="187"/>
      <c r="BE16" s="187"/>
      <c r="BF16" s="187"/>
      <c r="BG16" s="187"/>
      <c r="BH16" s="187"/>
      <c r="BI16" s="187"/>
      <c r="BJ16" s="187"/>
      <c r="BK16" s="187"/>
      <c r="BL16" s="187"/>
      <c r="BM16" s="187"/>
      <c r="BN16" s="187"/>
      <c r="BO16" s="187"/>
      <c r="BP16" s="187"/>
      <c r="BQ16" s="187"/>
      <c r="BR16" s="187"/>
      <c r="BS16" s="187"/>
      <c r="BT16" s="187"/>
      <c r="BU16" s="187"/>
      <c r="BV16" s="187"/>
      <c r="BW16" s="187"/>
      <c r="BX16" s="187"/>
      <c r="BY16" s="187"/>
      <c r="BZ16" s="187"/>
      <c r="CA16" s="187"/>
      <c r="CB16" s="187"/>
      <c r="CC16" s="187"/>
    </row>
    <row r="17" spans="1:85" ht="27.95" customHeight="1">
      <c r="A17" s="387" t="s">
        <v>7</v>
      </c>
      <c r="B17" s="388"/>
      <c r="C17" s="381" t="s">
        <v>21</v>
      </c>
      <c r="D17" s="382"/>
      <c r="E17" s="382"/>
      <c r="F17" s="382"/>
      <c r="G17" s="383"/>
      <c r="H17" s="400" t="s">
        <v>22</v>
      </c>
      <c r="I17" s="401"/>
      <c r="J17" s="402"/>
      <c r="K17" s="228" t="s">
        <v>14</v>
      </c>
      <c r="L17" s="228" t="s">
        <v>10</v>
      </c>
      <c r="M17" s="175" t="s">
        <v>10</v>
      </c>
      <c r="N17" s="175" t="s">
        <v>10</v>
      </c>
      <c r="O17" s="175" t="s">
        <v>16</v>
      </c>
      <c r="P17" s="175" t="s">
        <v>11</v>
      </c>
      <c r="Q17" s="175" t="s">
        <v>11</v>
      </c>
      <c r="R17" s="228" t="s">
        <v>16</v>
      </c>
      <c r="S17" s="228" t="s">
        <v>23</v>
      </c>
      <c r="T17" s="175" t="s">
        <v>10</v>
      </c>
      <c r="U17" s="175" t="s">
        <v>11</v>
      </c>
      <c r="V17" s="175" t="s">
        <v>11</v>
      </c>
      <c r="W17" s="175" t="s">
        <v>11</v>
      </c>
      <c r="X17" s="175" t="s">
        <v>11</v>
      </c>
      <c r="Y17" s="228" t="s">
        <v>10</v>
      </c>
      <c r="Z17" s="228" t="s">
        <v>10</v>
      </c>
      <c r="AA17" s="260" t="s">
        <v>17</v>
      </c>
      <c r="AB17" s="175" t="s">
        <v>17</v>
      </c>
      <c r="AC17" s="175" t="s">
        <v>17</v>
      </c>
      <c r="AD17" s="175" t="s">
        <v>11</v>
      </c>
      <c r="AE17" s="175" t="s">
        <v>11</v>
      </c>
      <c r="AF17" s="228" t="s">
        <v>10</v>
      </c>
      <c r="AG17" s="228" t="s">
        <v>10</v>
      </c>
      <c r="AH17" s="175" t="s">
        <v>14</v>
      </c>
      <c r="AI17" s="175" t="s">
        <v>24</v>
      </c>
      <c r="AJ17" s="175" t="s">
        <v>11</v>
      </c>
      <c r="AK17" s="175" t="s">
        <v>11</v>
      </c>
      <c r="AL17" s="175" t="s">
        <v>11</v>
      </c>
      <c r="AM17" s="228" t="s">
        <v>10</v>
      </c>
      <c r="AN17" s="228" t="s">
        <v>10</v>
      </c>
      <c r="AO17" s="262" t="s">
        <v>10</v>
      </c>
      <c r="AP17" s="370">
        <f>COUNTIF(K17:AO17,H81)</f>
        <v>11</v>
      </c>
      <c r="AQ17" s="371"/>
      <c r="AR17" s="371" t="e">
        <f ca="1">TEXT(V!AG18&amp;" h",)</f>
        <v>#NAME?</v>
      </c>
      <c r="AS17" s="371"/>
      <c r="AT17" s="444">
        <f ca="1">V!AK18</f>
        <v>0</v>
      </c>
      <c r="AU17" s="371"/>
      <c r="AV17" s="371" t="e">
        <f ca="1">TEXT(V!AL18 &amp; " h",)</f>
        <v>#VALUE!</v>
      </c>
      <c r="AW17" s="442"/>
      <c r="AY17" s="187"/>
      <c r="AZ17" s="187"/>
      <c r="BA17" s="187"/>
      <c r="BB17" s="187"/>
      <c r="BC17" s="187"/>
      <c r="BD17" s="187"/>
      <c r="BE17" s="187"/>
      <c r="BF17" s="187"/>
      <c r="BG17" s="187"/>
      <c r="BH17" s="187"/>
      <c r="BI17" s="187"/>
      <c r="BJ17" s="187"/>
      <c r="BK17" s="187"/>
      <c r="BL17" s="187"/>
      <c r="BM17" s="187"/>
      <c r="BN17" s="187"/>
      <c r="BO17" s="187"/>
      <c r="BP17" s="187"/>
      <c r="BQ17" s="187"/>
      <c r="BR17" s="187"/>
      <c r="BS17" s="187"/>
      <c r="BT17" s="187"/>
      <c r="BU17" s="187"/>
      <c r="BV17" s="187"/>
      <c r="BW17" s="187"/>
      <c r="BX17" s="187"/>
      <c r="BY17" s="187"/>
      <c r="BZ17" s="187"/>
      <c r="CA17" s="187"/>
      <c r="CB17" s="187"/>
      <c r="CC17" s="187"/>
    </row>
    <row r="18" spans="1:85" ht="27.95" customHeight="1">
      <c r="A18" s="376">
        <v>0.75</v>
      </c>
      <c r="B18" s="377"/>
      <c r="C18" s="378" t="s">
        <v>25</v>
      </c>
      <c r="D18" s="379"/>
      <c r="E18" s="379"/>
      <c r="F18" s="379"/>
      <c r="G18" s="380"/>
      <c r="H18" s="403" t="s">
        <v>22</v>
      </c>
      <c r="I18" s="404"/>
      <c r="J18" s="405"/>
      <c r="K18" s="228" t="s">
        <v>10</v>
      </c>
      <c r="L18" s="228" t="s">
        <v>23</v>
      </c>
      <c r="M18" s="175" t="s">
        <v>16</v>
      </c>
      <c r="N18" s="175" t="s">
        <v>16</v>
      </c>
      <c r="O18" s="263" t="s">
        <v>10</v>
      </c>
      <c r="P18" s="175" t="s">
        <v>10</v>
      </c>
      <c r="Q18" s="263" t="s">
        <v>16</v>
      </c>
      <c r="R18" s="228" t="s">
        <v>10</v>
      </c>
      <c r="S18" s="228" t="s">
        <v>26</v>
      </c>
      <c r="T18" s="175" t="s">
        <v>10</v>
      </c>
      <c r="U18" s="175" t="s">
        <v>10</v>
      </c>
      <c r="V18" s="263" t="s">
        <v>16</v>
      </c>
      <c r="W18" s="175" t="s">
        <v>16</v>
      </c>
      <c r="X18" s="175" t="s">
        <v>10</v>
      </c>
      <c r="Y18" s="228" t="s">
        <v>10</v>
      </c>
      <c r="Z18" s="228" t="s">
        <v>10</v>
      </c>
      <c r="AA18" s="175" t="s">
        <v>17</v>
      </c>
      <c r="AB18" s="175" t="s">
        <v>12</v>
      </c>
      <c r="AC18" s="263" t="s">
        <v>14</v>
      </c>
      <c r="AD18" s="175" t="s">
        <v>10</v>
      </c>
      <c r="AE18" s="175" t="s">
        <v>10</v>
      </c>
      <c r="AF18" s="228" t="s">
        <v>10</v>
      </c>
      <c r="AG18" s="228" t="s">
        <v>23</v>
      </c>
      <c r="AH18" s="175" t="s">
        <v>24</v>
      </c>
      <c r="AI18" s="175" t="s">
        <v>10</v>
      </c>
      <c r="AJ18" s="263" t="s">
        <v>20</v>
      </c>
      <c r="AK18" s="175" t="s">
        <v>10</v>
      </c>
      <c r="AL18" s="175" t="s">
        <v>10</v>
      </c>
      <c r="AM18" s="228" t="s">
        <v>16</v>
      </c>
      <c r="AN18" s="228" t="s">
        <v>23</v>
      </c>
      <c r="AO18" s="262" t="s">
        <v>27</v>
      </c>
      <c r="AP18" s="370">
        <f>COUNTIF(K18:AO18,H81)</f>
        <v>15</v>
      </c>
      <c r="AQ18" s="371"/>
      <c r="AR18" s="371" t="e">
        <f ca="1">TEXT(V!AG19&amp;" h",)</f>
        <v>#NAME?</v>
      </c>
      <c r="AS18" s="371"/>
      <c r="AT18" s="444">
        <f ca="1">V!AK19</f>
        <v>0</v>
      </c>
      <c r="AU18" s="371"/>
      <c r="AV18" s="371" t="e">
        <f ca="1">TEXT(V!AL19 &amp; " h",)</f>
        <v>#VALUE!</v>
      </c>
      <c r="AW18" s="442"/>
      <c r="AY18" s="187"/>
      <c r="AZ18" s="187"/>
      <c r="BA18" s="187"/>
      <c r="BB18" s="187"/>
      <c r="BC18" s="187"/>
      <c r="BD18" s="187"/>
      <c r="BE18" s="187"/>
      <c r="BF18" s="187"/>
      <c r="BG18" s="187"/>
      <c r="BH18" s="187"/>
      <c r="BI18" s="187"/>
      <c r="BJ18" s="187"/>
      <c r="BK18" s="187"/>
      <c r="BL18" s="187"/>
      <c r="BM18" s="187"/>
      <c r="BN18" s="187"/>
      <c r="BO18" s="187"/>
      <c r="BP18" s="187"/>
      <c r="BQ18" s="187"/>
      <c r="BR18" s="187"/>
      <c r="BS18" s="187"/>
      <c r="BT18" s="187"/>
      <c r="BU18" s="187"/>
      <c r="BV18" s="187"/>
      <c r="BW18" s="187"/>
      <c r="BX18" s="187"/>
      <c r="BY18" s="187"/>
      <c r="BZ18" s="187"/>
      <c r="CA18" s="187"/>
      <c r="CB18" s="187"/>
      <c r="CC18" s="187"/>
    </row>
    <row r="19" spans="1:85" ht="27.95" customHeight="1">
      <c r="A19" s="376">
        <v>0.5</v>
      </c>
      <c r="B19" s="377"/>
      <c r="C19" s="378" t="s">
        <v>28</v>
      </c>
      <c r="D19" s="379"/>
      <c r="E19" s="379"/>
      <c r="F19" s="379"/>
      <c r="G19" s="380"/>
      <c r="H19" s="403" t="s">
        <v>22</v>
      </c>
      <c r="I19" s="404"/>
      <c r="J19" s="405"/>
      <c r="K19" s="228" t="s">
        <v>16</v>
      </c>
      <c r="L19" s="228" t="s">
        <v>26</v>
      </c>
      <c r="M19" s="175" t="s">
        <v>10</v>
      </c>
      <c r="N19" s="175" t="s">
        <v>10</v>
      </c>
      <c r="O19" s="175" t="s">
        <v>10</v>
      </c>
      <c r="P19" s="175" t="s">
        <v>14</v>
      </c>
      <c r="Q19" s="175" t="s">
        <v>10</v>
      </c>
      <c r="R19" s="228" t="s">
        <v>10</v>
      </c>
      <c r="S19" s="228" t="s">
        <v>10</v>
      </c>
      <c r="T19" s="230" t="s">
        <v>14</v>
      </c>
      <c r="U19" s="175" t="s">
        <v>10</v>
      </c>
      <c r="V19" s="175" t="s">
        <v>14</v>
      </c>
      <c r="W19" s="264" t="s">
        <v>10</v>
      </c>
      <c r="X19" s="264" t="s">
        <v>10</v>
      </c>
      <c r="Y19" s="228" t="s">
        <v>10</v>
      </c>
      <c r="Z19" s="228" t="s">
        <v>10</v>
      </c>
      <c r="AA19" s="175" t="s">
        <v>17</v>
      </c>
      <c r="AB19" s="175" t="s">
        <v>17</v>
      </c>
      <c r="AC19" s="175" t="s">
        <v>17</v>
      </c>
      <c r="AD19" s="175" t="s">
        <v>17</v>
      </c>
      <c r="AE19" s="175" t="s">
        <v>17</v>
      </c>
      <c r="AF19" s="228" t="s">
        <v>10</v>
      </c>
      <c r="AG19" s="228" t="s">
        <v>10</v>
      </c>
      <c r="AH19" s="175" t="s">
        <v>17</v>
      </c>
      <c r="AI19" s="175" t="s">
        <v>17</v>
      </c>
      <c r="AJ19" s="175" t="s">
        <v>29</v>
      </c>
      <c r="AK19" s="175" t="s">
        <v>29</v>
      </c>
      <c r="AL19" s="175" t="s">
        <v>10</v>
      </c>
      <c r="AM19" s="228" t="s">
        <v>10</v>
      </c>
      <c r="AN19" s="228" t="s">
        <v>10</v>
      </c>
      <c r="AO19" s="262" t="s">
        <v>10</v>
      </c>
      <c r="AP19" s="370">
        <f>COUNTIF(K19:AO19,H81)</f>
        <v>17</v>
      </c>
      <c r="AQ19" s="371"/>
      <c r="AR19" s="373" t="e">
        <f ca="1">TEXT(V!AG20&amp;" h",)</f>
        <v>#NAME?</v>
      </c>
      <c r="AS19" s="371"/>
      <c r="AT19" s="444">
        <f ca="1">V!AK20</f>
        <v>0</v>
      </c>
      <c r="AU19" s="371"/>
      <c r="AV19" s="371" t="e">
        <f ca="1">TEXT(V!AL20 &amp; " h",)</f>
        <v>#VALUE!</v>
      </c>
      <c r="AW19" s="442"/>
      <c r="AY19" s="187"/>
      <c r="AZ19" s="187"/>
      <c r="BA19" s="187"/>
      <c r="BB19" s="187"/>
      <c r="BC19" s="187"/>
      <c r="BD19" s="187"/>
      <c r="BE19" s="187"/>
      <c r="BF19" s="187"/>
      <c r="BG19" s="187"/>
      <c r="BH19" s="187"/>
      <c r="BI19" s="187"/>
      <c r="BJ19" s="187"/>
      <c r="BK19" s="187"/>
      <c r="BL19" s="187"/>
      <c r="BM19" s="187"/>
      <c r="BN19" s="187"/>
      <c r="BO19" s="187"/>
      <c r="BP19" s="187"/>
      <c r="BQ19" s="187"/>
      <c r="BR19" s="187"/>
      <c r="BS19" s="187"/>
      <c r="BT19" s="187"/>
      <c r="BU19" s="187"/>
      <c r="BV19" s="187"/>
      <c r="BW19" s="187"/>
      <c r="BX19" s="187"/>
      <c r="BY19" s="187"/>
      <c r="BZ19" s="187"/>
      <c r="CA19" s="187"/>
      <c r="CB19" s="187"/>
      <c r="CC19" s="187"/>
    </row>
    <row r="20" spans="1:85" ht="27.95" customHeight="1">
      <c r="A20" s="376">
        <v>0.5</v>
      </c>
      <c r="B20" s="377"/>
      <c r="C20" s="378" t="s">
        <v>30</v>
      </c>
      <c r="D20" s="379"/>
      <c r="E20" s="379"/>
      <c r="F20" s="379"/>
      <c r="G20" s="380"/>
      <c r="H20" s="403" t="s">
        <v>22</v>
      </c>
      <c r="I20" s="404"/>
      <c r="J20" s="405"/>
      <c r="K20" s="228" t="s">
        <v>10</v>
      </c>
      <c r="L20" s="228" t="s">
        <v>10</v>
      </c>
      <c r="M20" s="175" t="s">
        <v>10</v>
      </c>
      <c r="N20" s="175" t="s">
        <v>10</v>
      </c>
      <c r="O20" s="263" t="s">
        <v>10</v>
      </c>
      <c r="P20" s="175" t="s">
        <v>10</v>
      </c>
      <c r="Q20" s="263" t="s">
        <v>10</v>
      </c>
      <c r="R20" s="228" t="s">
        <v>10</v>
      </c>
      <c r="S20" s="228" t="s">
        <v>10</v>
      </c>
      <c r="T20" s="175" t="s">
        <v>10</v>
      </c>
      <c r="U20" s="175" t="s">
        <v>10</v>
      </c>
      <c r="V20" s="263" t="s">
        <v>10</v>
      </c>
      <c r="W20" s="175" t="s">
        <v>10</v>
      </c>
      <c r="X20" s="175" t="s">
        <v>16</v>
      </c>
      <c r="Y20" s="228" t="s">
        <v>16</v>
      </c>
      <c r="Z20" s="228" t="s">
        <v>23</v>
      </c>
      <c r="AA20" s="175" t="s">
        <v>20</v>
      </c>
      <c r="AB20" s="175" t="s">
        <v>14</v>
      </c>
      <c r="AC20" s="263" t="s">
        <v>10</v>
      </c>
      <c r="AD20" s="175" t="s">
        <v>14</v>
      </c>
      <c r="AE20" s="175" t="s">
        <v>10</v>
      </c>
      <c r="AF20" s="228" t="s">
        <v>10</v>
      </c>
      <c r="AG20" s="228" t="s">
        <v>10</v>
      </c>
      <c r="AH20" s="175" t="s">
        <v>10</v>
      </c>
      <c r="AI20" s="175" t="s">
        <v>14</v>
      </c>
      <c r="AJ20" s="263" t="s">
        <v>13</v>
      </c>
      <c r="AK20" s="175" t="s">
        <v>16</v>
      </c>
      <c r="AL20" s="175" t="s">
        <v>16</v>
      </c>
      <c r="AM20" s="228" t="s">
        <v>10</v>
      </c>
      <c r="AN20" s="228" t="s">
        <v>10</v>
      </c>
      <c r="AO20" s="262" t="s">
        <v>16</v>
      </c>
      <c r="AP20" s="370">
        <f>COUNTIF(K20:AO20,H81)</f>
        <v>20</v>
      </c>
      <c r="AQ20" s="371"/>
      <c r="AR20" s="371" t="e">
        <f ca="1">TEXT(V!AG21&amp;" h",)</f>
        <v>#NAME?</v>
      </c>
      <c r="AS20" s="371"/>
      <c r="AT20" s="444">
        <f ca="1">V!AK21</f>
        <v>0</v>
      </c>
      <c r="AU20" s="371"/>
      <c r="AV20" s="371" t="e">
        <f ca="1">TEXT(V!AL21 &amp; " h",)</f>
        <v>#VALUE!</v>
      </c>
      <c r="AW20" s="442"/>
      <c r="AY20" s="187"/>
      <c r="AZ20" s="187"/>
      <c r="BA20" s="187"/>
      <c r="BB20" s="187"/>
      <c r="BC20" s="187"/>
      <c r="BD20" s="187"/>
      <c r="BE20" s="187"/>
      <c r="BF20" s="187"/>
      <c r="BG20" s="187"/>
      <c r="BH20" s="187"/>
      <c r="BI20" s="187"/>
      <c r="BJ20" s="187"/>
      <c r="BK20" s="187"/>
      <c r="BL20" s="187"/>
      <c r="BM20" s="187"/>
      <c r="BN20" s="187"/>
      <c r="BO20" s="187"/>
      <c r="BP20" s="187"/>
      <c r="BQ20" s="187"/>
      <c r="BR20" s="187"/>
      <c r="BS20" s="187"/>
      <c r="BT20" s="187"/>
      <c r="BU20" s="187"/>
      <c r="BV20" s="187"/>
      <c r="BW20" s="187"/>
      <c r="BX20" s="187"/>
      <c r="BY20" s="187"/>
      <c r="BZ20" s="187"/>
      <c r="CA20" s="187"/>
      <c r="CB20" s="187"/>
      <c r="CC20" s="187"/>
    </row>
    <row r="21" spans="1:85" ht="27.95" customHeight="1">
      <c r="A21" s="376" t="s">
        <v>7</v>
      </c>
      <c r="B21" s="377"/>
      <c r="C21" s="378" t="s">
        <v>31</v>
      </c>
      <c r="D21" s="379"/>
      <c r="E21" s="379"/>
      <c r="F21" s="379"/>
      <c r="G21" s="380"/>
      <c r="H21" s="403" t="s">
        <v>22</v>
      </c>
      <c r="I21" s="404"/>
      <c r="J21" s="405"/>
      <c r="K21" s="228" t="s">
        <v>10</v>
      </c>
      <c r="L21" s="228" t="s">
        <v>10</v>
      </c>
      <c r="M21" s="175" t="s">
        <v>12</v>
      </c>
      <c r="N21" s="175" t="s">
        <v>10</v>
      </c>
      <c r="O21" s="175" t="s">
        <v>12</v>
      </c>
      <c r="P21" s="175" t="s">
        <v>12</v>
      </c>
      <c r="Q21" s="175" t="s">
        <v>12</v>
      </c>
      <c r="R21" s="228" t="s">
        <v>10</v>
      </c>
      <c r="S21" s="228" t="s">
        <v>10</v>
      </c>
      <c r="T21" s="231" t="s">
        <v>12</v>
      </c>
      <c r="U21" s="175" t="s">
        <v>12</v>
      </c>
      <c r="V21" s="175" t="s">
        <v>32</v>
      </c>
      <c r="W21" s="175" t="s">
        <v>32</v>
      </c>
      <c r="X21" s="175" t="s">
        <v>32</v>
      </c>
      <c r="Y21" s="228" t="s">
        <v>10</v>
      </c>
      <c r="Z21" s="228" t="s">
        <v>10</v>
      </c>
      <c r="AA21" s="175" t="s">
        <v>12</v>
      </c>
      <c r="AB21" s="175" t="s">
        <v>12</v>
      </c>
      <c r="AC21" s="175" t="s">
        <v>12</v>
      </c>
      <c r="AD21" s="175" t="s">
        <v>12</v>
      </c>
      <c r="AE21" s="175" t="s">
        <v>12</v>
      </c>
      <c r="AF21" s="228" t="s">
        <v>10</v>
      </c>
      <c r="AG21" s="228" t="s">
        <v>10</v>
      </c>
      <c r="AH21" s="175" t="s">
        <v>17</v>
      </c>
      <c r="AI21" s="175" t="s">
        <v>17</v>
      </c>
      <c r="AJ21" s="175" t="s">
        <v>17</v>
      </c>
      <c r="AK21" s="175" t="s">
        <v>17</v>
      </c>
      <c r="AL21" s="175" t="s">
        <v>17</v>
      </c>
      <c r="AM21" s="228" t="s">
        <v>10</v>
      </c>
      <c r="AN21" s="228" t="s">
        <v>10</v>
      </c>
      <c r="AO21" s="265" t="s">
        <v>17</v>
      </c>
      <c r="AP21" s="370">
        <f>COUNTIF(K21:AO21,H81)</f>
        <v>11</v>
      </c>
      <c r="AQ21" s="371"/>
      <c r="AR21" s="371" t="e">
        <f ca="1">TEXT(V!AG22&amp;" h",)</f>
        <v>#NAME?</v>
      </c>
      <c r="AS21" s="371"/>
      <c r="AT21" s="444">
        <f ca="1">V!AK22</f>
        <v>0</v>
      </c>
      <c r="AU21" s="371"/>
      <c r="AV21" s="371" t="e">
        <f ca="1">TEXT(V!AL22 &amp; " h",)</f>
        <v>#VALUE!</v>
      </c>
      <c r="AW21" s="442"/>
      <c r="AY21" s="187"/>
      <c r="AZ21" s="187"/>
      <c r="BA21" s="187"/>
      <c r="BB21" s="187"/>
      <c r="BC21" s="187"/>
      <c r="BD21" s="187"/>
      <c r="BE21" s="187"/>
      <c r="BF21" s="187"/>
      <c r="BG21" s="187"/>
      <c r="BH21" s="187"/>
      <c r="BI21" s="187"/>
      <c r="BJ21" s="187"/>
      <c r="BK21" s="187"/>
      <c r="BL21" s="187"/>
      <c r="BM21" s="187"/>
      <c r="BN21" s="187"/>
      <c r="BO21" s="187"/>
      <c r="BP21" s="187"/>
      <c r="BQ21" s="187"/>
      <c r="BR21" s="187"/>
      <c r="BS21" s="187"/>
      <c r="BT21" s="187"/>
      <c r="BU21" s="187"/>
      <c r="BV21" s="187"/>
      <c r="BW21" s="187"/>
      <c r="BX21" s="187"/>
      <c r="BY21" s="187"/>
      <c r="BZ21" s="187"/>
      <c r="CA21" s="187"/>
      <c r="CB21" s="187"/>
      <c r="CC21" s="187"/>
    </row>
    <row r="22" spans="1:85" ht="27.95" customHeight="1">
      <c r="A22" s="376" t="s">
        <v>7</v>
      </c>
      <c r="B22" s="377"/>
      <c r="C22" s="378" t="s">
        <v>33</v>
      </c>
      <c r="D22" s="379"/>
      <c r="E22" s="379"/>
      <c r="F22" s="379"/>
      <c r="G22" s="380"/>
      <c r="H22" s="403" t="s">
        <v>22</v>
      </c>
      <c r="I22" s="404"/>
      <c r="J22" s="405"/>
      <c r="K22" s="228" t="s">
        <v>10</v>
      </c>
      <c r="L22" s="228" t="s">
        <v>10</v>
      </c>
      <c r="M22" s="175" t="s">
        <v>14</v>
      </c>
      <c r="N22" s="175" t="s">
        <v>14</v>
      </c>
      <c r="O22" s="175" t="s">
        <v>14</v>
      </c>
      <c r="P22" s="175" t="s">
        <v>10</v>
      </c>
      <c r="Q22" s="175" t="s">
        <v>14</v>
      </c>
      <c r="R22" s="228" t="s">
        <v>14</v>
      </c>
      <c r="S22" s="228" t="s">
        <v>10</v>
      </c>
      <c r="T22" s="175" t="s">
        <v>16</v>
      </c>
      <c r="U22" s="175" t="s">
        <v>14</v>
      </c>
      <c r="V22" s="175" t="s">
        <v>10</v>
      </c>
      <c r="W22" s="175" t="s">
        <v>14</v>
      </c>
      <c r="X22" s="175" t="s">
        <v>14</v>
      </c>
      <c r="Y22" s="228" t="s">
        <v>14</v>
      </c>
      <c r="Z22" s="228" t="s">
        <v>26</v>
      </c>
      <c r="AA22" s="175" t="s">
        <v>14</v>
      </c>
      <c r="AB22" s="175" t="s">
        <v>10</v>
      </c>
      <c r="AC22" s="175" t="s">
        <v>16</v>
      </c>
      <c r="AD22" s="175" t="s">
        <v>16</v>
      </c>
      <c r="AE22" s="175" t="s">
        <v>10</v>
      </c>
      <c r="AF22" s="228" t="s">
        <v>14</v>
      </c>
      <c r="AG22" s="228" t="s">
        <v>26</v>
      </c>
      <c r="AH22" s="175" t="s">
        <v>10</v>
      </c>
      <c r="AI22" s="175" t="s">
        <v>10</v>
      </c>
      <c r="AJ22" s="175" t="s">
        <v>10</v>
      </c>
      <c r="AK22" s="175" t="s">
        <v>14</v>
      </c>
      <c r="AL22" s="175" t="s">
        <v>14</v>
      </c>
      <c r="AM22" s="228" t="s">
        <v>14</v>
      </c>
      <c r="AN22" s="228" t="s">
        <v>26</v>
      </c>
      <c r="AO22" s="262" t="s">
        <v>14</v>
      </c>
      <c r="AP22" s="370">
        <f>COUNTIF(K22:AO22,H81)</f>
        <v>10</v>
      </c>
      <c r="AQ22" s="371"/>
      <c r="AR22" s="371" t="e">
        <f ca="1">TEXT(V!AG23&amp;" h",)</f>
        <v>#NAME?</v>
      </c>
      <c r="AS22" s="371"/>
      <c r="AT22" s="444">
        <f ca="1">V!AK23</f>
        <v>0</v>
      </c>
      <c r="AU22" s="371"/>
      <c r="AV22" s="371" t="e">
        <f ca="1">TEXT(V!AL23 &amp; " h",)</f>
        <v>#VALUE!</v>
      </c>
      <c r="AW22" s="442"/>
      <c r="AY22" s="187"/>
      <c r="AZ22" s="187"/>
      <c r="BA22" s="187"/>
      <c r="BB22" s="187"/>
      <c r="BC22" s="187"/>
      <c r="BD22" s="187"/>
      <c r="BE22" s="187"/>
      <c r="BF22" s="187"/>
      <c r="BG22" s="187"/>
      <c r="BH22" s="187"/>
      <c r="BI22" s="187"/>
      <c r="BJ22" s="187"/>
      <c r="BK22" s="187"/>
      <c r="BL22" s="187"/>
      <c r="BM22" s="187"/>
      <c r="BN22" s="187"/>
      <c r="BO22" s="187"/>
      <c r="BP22" s="187"/>
      <c r="BQ22" s="187"/>
      <c r="BR22" s="187"/>
      <c r="BS22" s="187"/>
      <c r="BT22" s="187"/>
      <c r="BU22" s="187"/>
      <c r="BV22" s="187"/>
      <c r="BW22" s="187"/>
      <c r="BX22" s="187"/>
      <c r="BY22" s="187"/>
      <c r="BZ22" s="187"/>
      <c r="CA22" s="187"/>
      <c r="CB22" s="187"/>
      <c r="CC22" s="187"/>
    </row>
    <row r="23" spans="1:85" ht="27.95" customHeight="1">
      <c r="A23" s="387"/>
      <c r="B23" s="388"/>
      <c r="C23" s="381"/>
      <c r="D23" s="382"/>
      <c r="E23" s="382"/>
      <c r="F23" s="382"/>
      <c r="G23" s="383"/>
      <c r="H23" s="400"/>
      <c r="I23" s="401"/>
      <c r="J23" s="402"/>
      <c r="K23" s="228"/>
      <c r="L23" s="228"/>
      <c r="M23" s="175"/>
      <c r="N23" s="175"/>
      <c r="O23" s="175"/>
      <c r="P23" s="175"/>
      <c r="Q23" s="175"/>
      <c r="R23" s="228"/>
      <c r="S23" s="228"/>
      <c r="T23" s="175"/>
      <c r="U23" s="175"/>
      <c r="V23" s="175"/>
      <c r="W23" s="175"/>
      <c r="X23" s="175"/>
      <c r="Y23" s="228"/>
      <c r="Z23" s="228"/>
      <c r="AA23" s="175"/>
      <c r="AB23" s="175"/>
      <c r="AC23" s="175"/>
      <c r="AD23" s="175"/>
      <c r="AE23" s="175"/>
      <c r="AF23" s="228"/>
      <c r="AG23" s="228"/>
      <c r="AH23" s="175"/>
      <c r="AI23" s="175"/>
      <c r="AJ23" s="175"/>
      <c r="AK23" s="175"/>
      <c r="AL23" s="175"/>
      <c r="AM23" s="228"/>
      <c r="AN23" s="228"/>
      <c r="AO23" s="262"/>
      <c r="AP23" s="370">
        <f>COUNTIF(K23:AO23,H81)</f>
        <v>0</v>
      </c>
      <c r="AQ23" s="371"/>
      <c r="AR23" s="371" t="e">
        <f ca="1">TEXT(V!AG24&amp;" h",)</f>
        <v>#NAME?</v>
      </c>
      <c r="AS23" s="371"/>
      <c r="AT23" s="444">
        <f ca="1">V!AK24</f>
        <v>0</v>
      </c>
      <c r="AU23" s="371"/>
      <c r="AV23" s="371" t="e">
        <f ca="1">TEXT(V!AL24 &amp; " h",)</f>
        <v>#VALUE!</v>
      </c>
      <c r="AW23" s="442"/>
      <c r="AY23" s="187"/>
      <c r="AZ23" s="187"/>
      <c r="BA23" s="187"/>
      <c r="BB23" s="187"/>
      <c r="BC23" s="187"/>
      <c r="BD23" s="187"/>
      <c r="BE23" s="187"/>
      <c r="BF23" s="187"/>
      <c r="BG23" s="187"/>
      <c r="BH23" s="187"/>
      <c r="BI23" s="187"/>
      <c r="BJ23" s="187"/>
      <c r="BK23" s="187"/>
      <c r="BL23" s="187"/>
      <c r="BM23" s="187"/>
      <c r="BN23" s="187"/>
      <c r="BO23" s="187"/>
      <c r="BP23" s="187"/>
      <c r="BQ23" s="187"/>
      <c r="BR23" s="187"/>
      <c r="BS23" s="187"/>
      <c r="BT23" s="187"/>
      <c r="BU23" s="187"/>
      <c r="BV23" s="187"/>
      <c r="BW23" s="187"/>
      <c r="BX23" s="187"/>
      <c r="BY23" s="187"/>
      <c r="BZ23" s="187"/>
      <c r="CA23" s="187"/>
      <c r="CB23" s="187"/>
      <c r="CC23" s="187"/>
    </row>
    <row r="24" spans="1:85" ht="27.95" customHeight="1">
      <c r="A24" s="389"/>
      <c r="B24" s="390"/>
      <c r="C24" s="384"/>
      <c r="D24" s="385"/>
      <c r="E24" s="385"/>
      <c r="F24" s="385"/>
      <c r="G24" s="386"/>
      <c r="H24" s="406"/>
      <c r="I24" s="407"/>
      <c r="J24" s="408"/>
      <c r="K24" s="229"/>
      <c r="L24" s="229"/>
      <c r="M24" s="176"/>
      <c r="N24" s="176"/>
      <c r="O24" s="176"/>
      <c r="P24" s="176"/>
      <c r="Q24" s="176"/>
      <c r="R24" s="229"/>
      <c r="S24" s="229"/>
      <c r="T24" s="176"/>
      <c r="U24" s="176"/>
      <c r="V24" s="176"/>
      <c r="W24" s="176"/>
      <c r="X24" s="176"/>
      <c r="Y24" s="229"/>
      <c r="Z24" s="229"/>
      <c r="AA24" s="176"/>
      <c r="AB24" s="176"/>
      <c r="AC24" s="176"/>
      <c r="AD24" s="176"/>
      <c r="AE24" s="176"/>
      <c r="AF24" s="229"/>
      <c r="AG24" s="229"/>
      <c r="AH24" s="176"/>
      <c r="AI24" s="176"/>
      <c r="AJ24" s="176"/>
      <c r="AK24" s="176"/>
      <c r="AL24" s="176"/>
      <c r="AM24" s="229"/>
      <c r="AN24" s="229"/>
      <c r="AO24" s="266"/>
      <c r="AP24" s="372">
        <f>COUNTIF(K24:AO24,H81)</f>
        <v>0</v>
      </c>
      <c r="AQ24" s="369"/>
      <c r="AR24" s="369" t="e">
        <f ca="1">TEXT(V!AG25&amp;" h",)</f>
        <v>#NAME?</v>
      </c>
      <c r="AS24" s="369"/>
      <c r="AT24" s="445">
        <f ca="1">V!AK25</f>
        <v>0</v>
      </c>
      <c r="AU24" s="369"/>
      <c r="AV24" s="369" t="e">
        <f ca="1">TEXT(V!AL25 &amp; " h",)</f>
        <v>#VALUE!</v>
      </c>
      <c r="AW24" s="443"/>
      <c r="AY24" s="187"/>
      <c r="AZ24" s="187"/>
      <c r="BA24" s="187"/>
      <c r="BB24" s="187"/>
      <c r="BC24" s="187"/>
      <c r="BD24" s="187"/>
      <c r="BE24" s="187"/>
      <c r="BF24" s="187"/>
      <c r="BG24" s="187"/>
      <c r="BH24" s="187"/>
      <c r="BI24" s="187"/>
      <c r="BJ24" s="187"/>
      <c r="BK24" s="187"/>
      <c r="BL24" s="187"/>
      <c r="BM24" s="187"/>
      <c r="BN24" s="187"/>
      <c r="BO24" s="187"/>
      <c r="BP24" s="187"/>
      <c r="BQ24" s="187"/>
      <c r="BR24" s="187"/>
      <c r="BS24" s="187"/>
      <c r="BT24" s="187"/>
      <c r="BU24" s="187"/>
      <c r="BV24" s="187"/>
      <c r="BW24" s="187"/>
      <c r="BX24" s="187"/>
      <c r="BY24" s="187"/>
      <c r="BZ24" s="187"/>
      <c r="CA24" s="187"/>
      <c r="CB24" s="187"/>
      <c r="CC24" s="187"/>
    </row>
    <row r="25" spans="1:85" s="64" customFormat="1" ht="36" customHeight="1">
      <c r="A25" s="391" t="str">
        <f ca="1">INDIRECT("T!"&amp;T!A1&amp;"45")</f>
        <v>Ważne wydarzenia</v>
      </c>
      <c r="B25" s="392"/>
      <c r="C25" s="392"/>
      <c r="D25" s="392"/>
      <c r="E25" s="392"/>
      <c r="F25" s="392"/>
      <c r="G25" s="392"/>
      <c r="H25" s="392"/>
      <c r="I25" s="392"/>
      <c r="J25" s="393"/>
      <c r="K25" s="478" t="s">
        <v>34</v>
      </c>
      <c r="L25" s="478"/>
      <c r="M25" s="486" t="s">
        <v>35</v>
      </c>
      <c r="N25" s="489" t="s">
        <v>36</v>
      </c>
      <c r="O25" s="489" t="s">
        <v>37</v>
      </c>
      <c r="P25" s="489" t="s">
        <v>37</v>
      </c>
      <c r="Q25" s="489" t="s">
        <v>37</v>
      </c>
      <c r="R25" s="478"/>
      <c r="S25" s="478"/>
      <c r="T25" s="486" t="s">
        <v>38</v>
      </c>
      <c r="U25" s="489" t="s">
        <v>36</v>
      </c>
      <c r="V25" s="489" t="s">
        <v>37</v>
      </c>
      <c r="W25" s="489" t="s">
        <v>37</v>
      </c>
      <c r="X25" s="489" t="s">
        <v>37</v>
      </c>
      <c r="Y25" s="478"/>
      <c r="Z25" s="478"/>
      <c r="AA25" s="486" t="s">
        <v>39</v>
      </c>
      <c r="AB25" s="489" t="s">
        <v>36</v>
      </c>
      <c r="AC25" s="489" t="s">
        <v>37</v>
      </c>
      <c r="AD25" s="489" t="s">
        <v>37</v>
      </c>
      <c r="AE25" s="489" t="s">
        <v>37</v>
      </c>
      <c r="AF25" s="478"/>
      <c r="AG25" s="478"/>
      <c r="AH25" s="486" t="s">
        <v>40</v>
      </c>
      <c r="AI25" s="489" t="s">
        <v>41</v>
      </c>
      <c r="AJ25" s="489" t="s">
        <v>42</v>
      </c>
      <c r="AK25" s="489" t="s">
        <v>42</v>
      </c>
      <c r="AL25" s="489" t="s">
        <v>43</v>
      </c>
      <c r="AM25" s="478"/>
      <c r="AN25" s="478" t="s">
        <v>44</v>
      </c>
      <c r="AO25" s="486" t="s">
        <v>38</v>
      </c>
      <c r="AP25" s="490" t="s">
        <v>45</v>
      </c>
      <c r="AQ25" s="490"/>
      <c r="AR25" s="490"/>
      <c r="AS25" s="490"/>
      <c r="AT25" s="490"/>
      <c r="AU25" s="490"/>
      <c r="AV25" s="490"/>
      <c r="AW25" s="490"/>
      <c r="AX25" s="188"/>
      <c r="AY25" s="188"/>
      <c r="AZ25" s="188"/>
      <c r="BA25" s="188"/>
      <c r="BB25" s="188"/>
      <c r="BC25" s="188"/>
      <c r="BD25" s="188"/>
      <c r="BE25" s="188"/>
      <c r="BF25" s="188"/>
      <c r="BG25" s="188"/>
      <c r="BH25" s="188"/>
      <c r="BI25" s="188"/>
      <c r="BJ25" s="188"/>
      <c r="BK25" s="188"/>
      <c r="BL25" s="188"/>
      <c r="BM25" s="188"/>
      <c r="BN25" s="188"/>
      <c r="BO25" s="188"/>
      <c r="BP25" s="188"/>
      <c r="BQ25" s="188"/>
      <c r="BR25" s="188"/>
      <c r="BS25" s="188"/>
      <c r="BT25" s="188"/>
      <c r="BU25" s="188"/>
      <c r="BV25" s="188"/>
      <c r="BW25" s="188"/>
      <c r="BX25" s="188"/>
      <c r="BY25" s="188"/>
      <c r="BZ25" s="188"/>
      <c r="CA25" s="188"/>
      <c r="CB25" s="188"/>
      <c r="CC25" s="188"/>
      <c r="CD25" s="188"/>
    </row>
    <row r="26" spans="1:85" s="64" customFormat="1" ht="36" customHeight="1">
      <c r="A26" s="394"/>
      <c r="B26" s="395"/>
      <c r="C26" s="395"/>
      <c r="D26" s="395"/>
      <c r="E26" s="395"/>
      <c r="F26" s="395"/>
      <c r="G26" s="395"/>
      <c r="H26" s="395"/>
      <c r="I26" s="395"/>
      <c r="J26" s="396"/>
      <c r="K26" s="479"/>
      <c r="L26" s="479"/>
      <c r="M26" s="487"/>
      <c r="N26" s="479"/>
      <c r="O26" s="479"/>
      <c r="P26" s="479"/>
      <c r="Q26" s="479"/>
      <c r="R26" s="479"/>
      <c r="S26" s="479"/>
      <c r="T26" s="487"/>
      <c r="U26" s="479"/>
      <c r="V26" s="479"/>
      <c r="W26" s="479"/>
      <c r="X26" s="479"/>
      <c r="Y26" s="479"/>
      <c r="Z26" s="479"/>
      <c r="AA26" s="487"/>
      <c r="AB26" s="479"/>
      <c r="AC26" s="479"/>
      <c r="AD26" s="479"/>
      <c r="AE26" s="479"/>
      <c r="AF26" s="479"/>
      <c r="AG26" s="479"/>
      <c r="AH26" s="487"/>
      <c r="AI26" s="479"/>
      <c r="AJ26" s="479"/>
      <c r="AK26" s="479"/>
      <c r="AL26" s="479"/>
      <c r="AM26" s="479"/>
      <c r="AN26" s="479"/>
      <c r="AO26" s="487"/>
      <c r="AP26" s="501" t="str">
        <f t="array" ref="AP26">IFERROR(INDEX(Calendar!$B$35:$G$69,SMALL(IF(months_cal=$A$4,ROW(months_cal)-ROW(Calendar!$G$35)+1),ROWS($AP$26:AP26)),COLUMNS($AP$26:AP26)),"")</f>
        <v/>
      </c>
      <c r="AQ26" s="502"/>
      <c r="AR26" s="495" t="str">
        <f t="array" ref="AR26">IFERROR(INDEX(Calendar!$B$35:$G$69,SMALL(IF(months_cal=$A$4,ROW(months_cal)-ROW(Calendar!$G$35)+1),ROWS($AP$26:AR26)),COLUMNS($AP$26:AR26)),"")</f>
        <v/>
      </c>
      <c r="AS26" s="495"/>
      <c r="AT26" s="495"/>
      <c r="AU26" s="495"/>
      <c r="AV26" s="495"/>
      <c r="AW26" s="496"/>
      <c r="AX26" s="188"/>
      <c r="AY26" s="188"/>
      <c r="AZ26" s="188"/>
      <c r="BA26" s="188"/>
      <c r="BB26" s="188"/>
      <c r="BC26" s="188"/>
      <c r="BD26" s="188"/>
      <c r="BE26" s="188"/>
      <c r="BF26" s="188"/>
      <c r="BG26" s="188"/>
      <c r="BH26" s="188"/>
      <c r="BI26" s="188"/>
      <c r="BJ26" s="188"/>
      <c r="BK26" s="188"/>
      <c r="BL26" s="188"/>
      <c r="BM26" s="188"/>
      <c r="BN26" s="188"/>
      <c r="BO26" s="188"/>
      <c r="BP26" s="188"/>
      <c r="BQ26" s="188"/>
      <c r="BR26" s="188"/>
      <c r="BS26" s="188"/>
      <c r="BT26" s="188"/>
      <c r="BU26" s="188"/>
      <c r="BV26" s="188"/>
      <c r="BW26" s="188"/>
      <c r="BX26" s="188"/>
      <c r="BY26" s="188"/>
      <c r="BZ26" s="188"/>
      <c r="CA26" s="188"/>
      <c r="CB26" s="188"/>
      <c r="CC26" s="188"/>
      <c r="CD26" s="188"/>
    </row>
    <row r="27" spans="1:85" s="64" customFormat="1" ht="36" customHeight="1">
      <c r="A27" s="394"/>
      <c r="B27" s="395"/>
      <c r="C27" s="395"/>
      <c r="D27" s="395"/>
      <c r="E27" s="395"/>
      <c r="F27" s="395"/>
      <c r="G27" s="395"/>
      <c r="H27" s="395"/>
      <c r="I27" s="395"/>
      <c r="J27" s="396"/>
      <c r="K27" s="479"/>
      <c r="L27" s="479"/>
      <c r="M27" s="487"/>
      <c r="N27" s="479"/>
      <c r="O27" s="479"/>
      <c r="P27" s="479"/>
      <c r="Q27" s="479"/>
      <c r="R27" s="479"/>
      <c r="S27" s="479"/>
      <c r="T27" s="487"/>
      <c r="U27" s="479"/>
      <c r="V27" s="479"/>
      <c r="W27" s="479"/>
      <c r="X27" s="479"/>
      <c r="Y27" s="479"/>
      <c r="Z27" s="479"/>
      <c r="AA27" s="487"/>
      <c r="AB27" s="479"/>
      <c r="AC27" s="479"/>
      <c r="AD27" s="479"/>
      <c r="AE27" s="479"/>
      <c r="AF27" s="479"/>
      <c r="AG27" s="479"/>
      <c r="AH27" s="487"/>
      <c r="AI27" s="479"/>
      <c r="AJ27" s="479"/>
      <c r="AK27" s="479"/>
      <c r="AL27" s="479"/>
      <c r="AM27" s="479"/>
      <c r="AN27" s="479"/>
      <c r="AO27" s="487"/>
      <c r="AP27" s="491" t="str">
        <f t="array" ref="AP27">IFERROR(INDEX(Calendar!$B$35:$G$69,SMALL(IF(months_cal=$A$4,ROW(months_cal)-ROW(Calendar!$G$35)+1),ROWS($AP$26:AP27)),COLUMNS($AP$26:AP27)),"")</f>
        <v/>
      </c>
      <c r="AQ27" s="492"/>
      <c r="AR27" s="497" t="str">
        <f t="array" ref="AR27">IFERROR(INDEX(Calendar!$B$35:$G$69,SMALL(IF(months_cal=$A$4,ROW(months_cal)-ROW(Calendar!$G$35)+1),ROWS($AP$26:AR27)),COLUMNS($AP$26:AR27)),"")</f>
        <v/>
      </c>
      <c r="AS27" s="497"/>
      <c r="AT27" s="497"/>
      <c r="AU27" s="497"/>
      <c r="AV27" s="497"/>
      <c r="AW27" s="498"/>
      <c r="AX27" s="188"/>
      <c r="AY27" s="188"/>
      <c r="AZ27" s="188"/>
      <c r="BA27" s="188"/>
      <c r="BB27" s="188"/>
      <c r="BC27" s="188"/>
      <c r="BD27" s="188"/>
      <c r="BE27" s="188"/>
      <c r="BF27" s="188"/>
      <c r="BG27" s="188"/>
      <c r="BH27" s="188"/>
      <c r="BI27" s="188"/>
      <c r="BJ27" s="188"/>
      <c r="BK27" s="188"/>
      <c r="BL27" s="188"/>
      <c r="BM27" s="188"/>
      <c r="BN27" s="188"/>
      <c r="BO27" s="188"/>
      <c r="BP27" s="188"/>
      <c r="BQ27" s="188"/>
      <c r="BR27" s="188"/>
      <c r="BS27" s="188"/>
      <c r="BT27" s="188"/>
      <c r="BU27" s="188"/>
      <c r="BV27" s="188"/>
      <c r="BW27" s="188"/>
      <c r="BX27" s="188"/>
      <c r="BY27" s="188"/>
      <c r="BZ27" s="188"/>
      <c r="CA27" s="188"/>
      <c r="CB27" s="188"/>
      <c r="CC27" s="188"/>
      <c r="CD27" s="188"/>
    </row>
    <row r="28" spans="1:85" s="64" customFormat="1" ht="36" customHeight="1">
      <c r="A28" s="394"/>
      <c r="B28" s="395"/>
      <c r="C28" s="395"/>
      <c r="D28" s="395"/>
      <c r="E28" s="395"/>
      <c r="F28" s="395"/>
      <c r="G28" s="395"/>
      <c r="H28" s="395"/>
      <c r="I28" s="395"/>
      <c r="J28" s="396"/>
      <c r="K28" s="479"/>
      <c r="L28" s="479"/>
      <c r="M28" s="487"/>
      <c r="N28" s="479"/>
      <c r="O28" s="479"/>
      <c r="P28" s="479"/>
      <c r="Q28" s="479"/>
      <c r="R28" s="479"/>
      <c r="S28" s="479"/>
      <c r="T28" s="487"/>
      <c r="U28" s="479"/>
      <c r="V28" s="479"/>
      <c r="W28" s="479"/>
      <c r="X28" s="479"/>
      <c r="Y28" s="479"/>
      <c r="Z28" s="479"/>
      <c r="AA28" s="487"/>
      <c r="AB28" s="479"/>
      <c r="AC28" s="479"/>
      <c r="AD28" s="479"/>
      <c r="AE28" s="479"/>
      <c r="AF28" s="479"/>
      <c r="AG28" s="479"/>
      <c r="AH28" s="487"/>
      <c r="AI28" s="479"/>
      <c r="AJ28" s="479"/>
      <c r="AK28" s="479"/>
      <c r="AL28" s="479"/>
      <c r="AM28" s="479"/>
      <c r="AN28" s="479"/>
      <c r="AO28" s="487"/>
      <c r="AP28" s="491" t="str">
        <f t="array" ref="AP28">IFERROR(INDEX(Calendar!$B$35:$G$69,SMALL(IF(months_cal=$A$4,ROW(months_cal)-ROW(Calendar!$G$35)+1),ROWS($AP$26:AP28)),COLUMNS($AP$26:AP28)),"")</f>
        <v/>
      </c>
      <c r="AQ28" s="492"/>
      <c r="AR28" s="497" t="str">
        <f t="array" ref="AR28">IFERROR(INDEX(Calendar!$B$35:$G$69,SMALL(IF(months_cal=$A$4,ROW(months_cal)-ROW(Calendar!$G$35)+1),ROWS($AP$26:AR28)),COLUMNS($AP$26:AR28)),"")</f>
        <v/>
      </c>
      <c r="AS28" s="497"/>
      <c r="AT28" s="497"/>
      <c r="AU28" s="497"/>
      <c r="AV28" s="497"/>
      <c r="AW28" s="498"/>
      <c r="AX28" s="188"/>
      <c r="AY28" s="188"/>
      <c r="AZ28" s="188"/>
      <c r="BA28" s="188"/>
      <c r="BB28" s="188"/>
      <c r="BC28" s="188"/>
      <c r="BD28" s="188"/>
      <c r="BE28" s="188"/>
      <c r="BF28" s="188"/>
      <c r="BG28" s="188"/>
      <c r="BH28" s="188"/>
      <c r="BI28" s="188"/>
      <c r="BJ28" s="188"/>
      <c r="BK28" s="188"/>
      <c r="BL28" s="188"/>
      <c r="BM28" s="188"/>
      <c r="BN28" s="188"/>
      <c r="BO28" s="188"/>
      <c r="BP28" s="188"/>
      <c r="BQ28" s="188"/>
      <c r="BR28" s="188"/>
      <c r="BS28" s="188"/>
      <c r="BT28" s="188"/>
      <c r="BU28" s="188"/>
      <c r="BV28" s="188"/>
      <c r="BW28" s="188"/>
      <c r="BX28" s="188"/>
      <c r="BY28" s="188"/>
      <c r="BZ28" s="188"/>
      <c r="CA28" s="188"/>
      <c r="CB28" s="188"/>
      <c r="CC28" s="188"/>
      <c r="CD28" s="188"/>
    </row>
    <row r="29" spans="1:85" s="64" customFormat="1" ht="36" customHeight="1">
      <c r="A29" s="394"/>
      <c r="B29" s="395"/>
      <c r="C29" s="395"/>
      <c r="D29" s="395"/>
      <c r="E29" s="395"/>
      <c r="F29" s="395"/>
      <c r="G29" s="395"/>
      <c r="H29" s="395"/>
      <c r="I29" s="395"/>
      <c r="J29" s="396"/>
      <c r="K29" s="479"/>
      <c r="L29" s="479"/>
      <c r="M29" s="487"/>
      <c r="N29" s="479"/>
      <c r="O29" s="479"/>
      <c r="P29" s="479"/>
      <c r="Q29" s="479"/>
      <c r="R29" s="479"/>
      <c r="S29" s="479"/>
      <c r="T29" s="487"/>
      <c r="U29" s="479"/>
      <c r="V29" s="479"/>
      <c r="W29" s="479"/>
      <c r="X29" s="479"/>
      <c r="Y29" s="479"/>
      <c r="Z29" s="479"/>
      <c r="AA29" s="487"/>
      <c r="AB29" s="479"/>
      <c r="AC29" s="479"/>
      <c r="AD29" s="479"/>
      <c r="AE29" s="479"/>
      <c r="AF29" s="479"/>
      <c r="AG29" s="479"/>
      <c r="AH29" s="487"/>
      <c r="AI29" s="479"/>
      <c r="AJ29" s="479"/>
      <c r="AK29" s="479"/>
      <c r="AL29" s="479"/>
      <c r="AM29" s="479"/>
      <c r="AN29" s="479"/>
      <c r="AO29" s="487"/>
      <c r="AP29" s="491" t="str">
        <f t="array" ref="AP29">IFERROR(INDEX(Calendar!$B$35:$G$69,SMALL(IF(months_cal=$A$4,ROW(months_cal)-ROW(Calendar!$G$35)+1),ROWS($AP$26:AP29)),COLUMNS($AP$26:AP29)),"")</f>
        <v/>
      </c>
      <c r="AQ29" s="492"/>
      <c r="AR29" s="497" t="str">
        <f t="array" ref="AR29">IFERROR(INDEX(Calendar!$B$35:$G$69,SMALL(IF(months_cal=$A$4,ROW(months_cal)-ROW(Calendar!$G$35)+1),ROWS($AP$26:AR29)),COLUMNS($AP$26:AR29)),"")</f>
        <v/>
      </c>
      <c r="AS29" s="497"/>
      <c r="AT29" s="497"/>
      <c r="AU29" s="497"/>
      <c r="AV29" s="497"/>
      <c r="AW29" s="498"/>
      <c r="AX29" s="188"/>
      <c r="AY29" s="188"/>
      <c r="AZ29" s="188"/>
      <c r="BA29" s="188"/>
      <c r="BB29" s="188"/>
      <c r="BC29" s="188"/>
      <c r="BD29" s="188"/>
      <c r="BE29" s="188"/>
      <c r="BF29" s="188"/>
      <c r="BG29" s="188"/>
      <c r="BH29" s="188"/>
      <c r="BI29" s="188"/>
      <c r="BJ29" s="188"/>
      <c r="BK29" s="188"/>
      <c r="BL29" s="188"/>
      <c r="BM29" s="188"/>
      <c r="BN29" s="188"/>
      <c r="BO29" s="188"/>
      <c r="BP29" s="188"/>
      <c r="BQ29" s="188"/>
      <c r="BR29" s="188"/>
      <c r="BS29" s="188"/>
      <c r="BT29" s="188"/>
      <c r="BU29" s="188"/>
      <c r="BV29" s="188"/>
      <c r="BW29" s="188"/>
      <c r="BX29" s="188"/>
      <c r="BY29" s="188"/>
      <c r="BZ29" s="188"/>
      <c r="CA29" s="188"/>
      <c r="CB29" s="188"/>
      <c r="CC29" s="188"/>
      <c r="CD29" s="188"/>
    </row>
    <row r="30" spans="1:85" s="64" customFormat="1" ht="36" customHeight="1">
      <c r="A30" s="394"/>
      <c r="B30" s="395"/>
      <c r="C30" s="395"/>
      <c r="D30" s="395"/>
      <c r="E30" s="395"/>
      <c r="F30" s="395"/>
      <c r="G30" s="395"/>
      <c r="H30" s="395"/>
      <c r="I30" s="395"/>
      <c r="J30" s="396"/>
      <c r="K30" s="479"/>
      <c r="L30" s="479"/>
      <c r="M30" s="487"/>
      <c r="N30" s="479"/>
      <c r="O30" s="479"/>
      <c r="P30" s="479"/>
      <c r="Q30" s="479"/>
      <c r="R30" s="479"/>
      <c r="S30" s="479"/>
      <c r="T30" s="487"/>
      <c r="U30" s="479"/>
      <c r="V30" s="479"/>
      <c r="W30" s="479"/>
      <c r="X30" s="479"/>
      <c r="Y30" s="479"/>
      <c r="Z30" s="479"/>
      <c r="AA30" s="487"/>
      <c r="AB30" s="479"/>
      <c r="AC30" s="479"/>
      <c r="AD30" s="479"/>
      <c r="AE30" s="479"/>
      <c r="AF30" s="479"/>
      <c r="AG30" s="479"/>
      <c r="AH30" s="487"/>
      <c r="AI30" s="479"/>
      <c r="AJ30" s="479"/>
      <c r="AK30" s="479"/>
      <c r="AL30" s="479"/>
      <c r="AM30" s="479"/>
      <c r="AN30" s="479"/>
      <c r="AO30" s="487"/>
      <c r="AP30" s="491" t="str">
        <f t="array" ref="AP30">IFERROR(INDEX(Calendar!$B$35:$G$69,SMALL(IF(months_cal=$A$4,ROW(months_cal)-ROW(Calendar!$G$35)+1),ROWS($AP$26:AP30)),COLUMNS($AP$26:AP30)),"")</f>
        <v/>
      </c>
      <c r="AQ30" s="492"/>
      <c r="AR30" s="497" t="str">
        <f t="array" ref="AR30">IFERROR(INDEX(Calendar!$B$35:$G$69,SMALL(IF(months_cal=$A$4,ROW(months_cal)-ROW(Calendar!$G$35)+1),ROWS($AP$26:AR30)),COLUMNS($AP$26:AR30)),"")</f>
        <v/>
      </c>
      <c r="AS30" s="497"/>
      <c r="AT30" s="497"/>
      <c r="AU30" s="497"/>
      <c r="AV30" s="497"/>
      <c r="AW30" s="498"/>
      <c r="AX30" s="188"/>
      <c r="AY30" s="188"/>
      <c r="AZ30" s="188"/>
      <c r="BA30" s="188"/>
      <c r="BB30" s="188"/>
      <c r="BC30" s="188"/>
      <c r="BD30" s="188"/>
      <c r="BE30" s="188"/>
      <c r="BF30" s="188"/>
      <c r="BG30" s="188"/>
      <c r="BH30" s="188"/>
      <c r="BI30" s="188"/>
      <c r="BJ30" s="188"/>
      <c r="BK30" s="188"/>
      <c r="BL30" s="188"/>
      <c r="BM30" s="188"/>
      <c r="BN30" s="188"/>
      <c r="BO30" s="188"/>
      <c r="BP30" s="188"/>
      <c r="BQ30" s="188"/>
      <c r="BR30" s="188"/>
      <c r="BS30" s="188"/>
      <c r="BT30" s="188"/>
      <c r="BU30" s="188"/>
      <c r="BV30" s="188"/>
      <c r="BW30" s="188"/>
      <c r="BX30" s="188"/>
      <c r="BY30" s="188"/>
      <c r="BZ30" s="188"/>
      <c r="CA30" s="188"/>
      <c r="CB30" s="188"/>
      <c r="CC30" s="188"/>
      <c r="CD30" s="188"/>
    </row>
    <row r="31" spans="1:85" s="64" customFormat="1" ht="36" customHeight="1">
      <c r="A31" s="397"/>
      <c r="B31" s="398"/>
      <c r="C31" s="398"/>
      <c r="D31" s="398"/>
      <c r="E31" s="398"/>
      <c r="F31" s="398"/>
      <c r="G31" s="398"/>
      <c r="H31" s="398"/>
      <c r="I31" s="398"/>
      <c r="J31" s="399"/>
      <c r="K31" s="480"/>
      <c r="L31" s="480"/>
      <c r="M31" s="488"/>
      <c r="N31" s="480"/>
      <c r="O31" s="480"/>
      <c r="P31" s="480"/>
      <c r="Q31" s="480"/>
      <c r="R31" s="480"/>
      <c r="S31" s="480"/>
      <c r="T31" s="488"/>
      <c r="U31" s="480"/>
      <c r="V31" s="480"/>
      <c r="W31" s="480"/>
      <c r="X31" s="480"/>
      <c r="Y31" s="480"/>
      <c r="Z31" s="480"/>
      <c r="AA31" s="488"/>
      <c r="AB31" s="480"/>
      <c r="AC31" s="480"/>
      <c r="AD31" s="480"/>
      <c r="AE31" s="480"/>
      <c r="AF31" s="480"/>
      <c r="AG31" s="480"/>
      <c r="AH31" s="488"/>
      <c r="AI31" s="480"/>
      <c r="AJ31" s="480"/>
      <c r="AK31" s="480"/>
      <c r="AL31" s="480"/>
      <c r="AM31" s="480"/>
      <c r="AN31" s="480"/>
      <c r="AO31" s="488"/>
      <c r="AP31" s="493" t="str">
        <f t="array" ref="AP31">IFERROR(INDEX(Calendar!$B$35:$G$69,SMALL(IF(months_cal=$A$4,ROW(months_cal)-ROW(Calendar!$G$35)+1),ROWS($AP$26:AP31)),COLUMNS($AP$26:AP31)),"")</f>
        <v/>
      </c>
      <c r="AQ31" s="494"/>
      <c r="AR31" s="499" t="str">
        <f t="array" ref="AR31">IFERROR(INDEX(Calendar!$B$35:$G$69,SMALL(IF(months_cal=$A$4,ROW(months_cal)-ROW(Calendar!$G$35)+1),ROWS($AP$26:AR31)),COLUMNS($AP$26:AR31)),"")</f>
        <v/>
      </c>
      <c r="AS31" s="499"/>
      <c r="AT31" s="499"/>
      <c r="AU31" s="499"/>
      <c r="AV31" s="499"/>
      <c r="AW31" s="500"/>
      <c r="AX31" s="188"/>
      <c r="AY31" s="188"/>
      <c r="AZ31" s="188"/>
      <c r="BA31" s="188"/>
      <c r="BB31" s="188"/>
      <c r="BC31" s="188"/>
      <c r="BD31" s="188"/>
      <c r="BE31" s="188"/>
      <c r="BF31" s="188"/>
      <c r="BG31" s="188"/>
      <c r="BH31" s="188"/>
      <c r="BI31" s="188"/>
      <c r="BJ31" s="188"/>
      <c r="BK31" s="188"/>
      <c r="BL31" s="188"/>
      <c r="BM31" s="188"/>
      <c r="BN31" s="188"/>
      <c r="BO31" s="188"/>
      <c r="BP31" s="188"/>
      <c r="BQ31" s="188"/>
      <c r="BR31" s="188"/>
      <c r="BS31" s="188"/>
      <c r="BT31" s="188"/>
      <c r="BU31" s="188"/>
      <c r="BV31" s="188"/>
      <c r="BW31" s="188"/>
      <c r="BX31" s="188"/>
      <c r="BY31" s="188"/>
      <c r="BZ31" s="188"/>
      <c r="CA31" s="188"/>
      <c r="CB31" s="188"/>
      <c r="CC31" s="188"/>
      <c r="CD31" s="188"/>
    </row>
    <row r="32" spans="1:85" s="41" customFormat="1" ht="57.75" customHeight="1">
      <c r="B32" s="169" t="s">
        <v>46</v>
      </c>
      <c r="C32" s="485" t="str">
        <f ca="1">INDIRECT("T!"&amp;T!A1&amp;"42")</f>
        <v>Nazwa Zmiany</v>
      </c>
      <c r="D32" s="485"/>
      <c r="E32" s="485"/>
      <c r="F32" s="485"/>
      <c r="G32" s="485"/>
      <c r="H32" s="79"/>
      <c r="I32" s="79" t="str">
        <f ca="1">INDIRECT("T!"&amp;T!A1&amp;"38")</f>
        <v>Od</v>
      </c>
      <c r="J32" s="79" t="str">
        <f ca="1">INDIRECT("T!"&amp;T!A1&amp;"39")</f>
        <v>Do</v>
      </c>
      <c r="K32" s="79" t="str">
        <f ca="1">INDIRECT("T!"&amp;T!A1&amp;"44")</f>
        <v>Czas</v>
      </c>
      <c r="L32" s="93"/>
      <c r="M32" s="340" t="s">
        <v>47</v>
      </c>
      <c r="N32" s="340"/>
      <c r="O32" s="340"/>
      <c r="P32" s="340"/>
      <c r="Q32" s="93"/>
      <c r="R32" s="79" t="str">
        <f ca="1">INDIRECT("T!"&amp;T!A1&amp;"38")</f>
        <v>Od</v>
      </c>
      <c r="S32" s="79" t="str">
        <f ca="1">INDIRECT("T!"&amp;T!A1&amp;"39")</f>
        <v>Do</v>
      </c>
      <c r="T32" s="79" t="str">
        <f ca="1">INDIRECT("T!"&amp;T!A1&amp;"44")</f>
        <v>Czas</v>
      </c>
      <c r="U32" s="92"/>
      <c r="V32" s="695"/>
      <c r="W32" s="695"/>
      <c r="X32" s="695"/>
      <c r="Y32" s="695"/>
      <c r="Z32" s="696"/>
      <c r="AA32" s="696"/>
      <c r="AB32" s="696"/>
      <c r="AC32" s="339"/>
      <c r="AD32" s="339"/>
      <c r="AE32" s="92"/>
      <c r="AF32" s="696"/>
      <c r="AG32" s="696"/>
      <c r="AH32" s="696"/>
      <c r="AI32" s="696"/>
      <c r="AJ32" s="696"/>
      <c r="AK32" s="696"/>
      <c r="AL32" s="696"/>
      <c r="AM32" s="696"/>
      <c r="AN32" s="696"/>
      <c r="AO32" s="92"/>
      <c r="AW32" s="220"/>
      <c r="AX32" s="218"/>
      <c r="AY32" s="218"/>
      <c r="AZ32" s="218"/>
      <c r="BA32" s="189"/>
      <c r="BB32" s="189"/>
      <c r="BC32" s="189"/>
      <c r="BD32" s="189"/>
      <c r="BE32" s="189"/>
      <c r="BF32" s="187"/>
      <c r="BG32" s="367"/>
      <c r="BH32" s="367"/>
      <c r="BI32" s="367"/>
      <c r="BJ32" s="367"/>
      <c r="BK32" s="367"/>
      <c r="BL32" s="367"/>
      <c r="BM32" s="367"/>
      <c r="BN32" s="367"/>
      <c r="BO32" s="367"/>
      <c r="BP32" s="367"/>
      <c r="BQ32" s="367"/>
      <c r="BR32" s="187"/>
      <c r="BS32" s="187"/>
      <c r="BT32" s="187"/>
      <c r="BU32" s="187"/>
      <c r="BV32" s="187"/>
      <c r="BW32" s="187"/>
      <c r="BX32" s="187"/>
      <c r="BY32" s="187"/>
      <c r="BZ32" s="187"/>
      <c r="CA32" s="187"/>
      <c r="CB32" s="187"/>
      <c r="CC32" s="187"/>
      <c r="CD32" s="187"/>
      <c r="CE32" s="187"/>
      <c r="CF32" s="187"/>
      <c r="CG32" s="187"/>
    </row>
    <row r="33" spans="2:85" s="41" customFormat="1" ht="27.95" customHeight="1">
      <c r="B33" s="170" t="s">
        <v>48</v>
      </c>
      <c r="C33" s="341" t="str">
        <f>IF(Admin!E3="","",Admin!E3)</f>
        <v>Opening</v>
      </c>
      <c r="D33" s="342"/>
      <c r="E33" s="342"/>
      <c r="F33" s="342"/>
      <c r="G33" s="342"/>
      <c r="H33" s="214" t="str">
        <f>IF(Admin!F3="","",Admin!F3)</f>
        <v>AM</v>
      </c>
      <c r="I33" s="177">
        <v>0.29166666666666669</v>
      </c>
      <c r="J33" s="177">
        <v>0.625</v>
      </c>
      <c r="K33" s="80">
        <f ca="1">IF(B33=Lists!Q$1,(J33-I33)-YK!F$3,J33-I33)</f>
        <v>0.33333333333333331</v>
      </c>
      <c r="L33" s="170" t="s">
        <v>48</v>
      </c>
      <c r="M33" s="341" t="str">
        <f>IF(Admin!E23="","",Admin!E23)</f>
        <v xml:space="preserve">NC </v>
      </c>
      <c r="N33" s="342"/>
      <c r="O33" s="342"/>
      <c r="P33" s="342"/>
      <c r="Q33" s="214" t="str">
        <f>IF(Admin!F23="","",Admin!F23)</f>
        <v>NC</v>
      </c>
      <c r="R33" s="177">
        <v>0.29166666666666669</v>
      </c>
      <c r="S33" s="177">
        <v>0.625</v>
      </c>
      <c r="T33" s="80">
        <f>IF(L33=Lists!AA$1,(S33-R33)-YK!P$3,S33-R33)</f>
        <v>0.33333333333333331</v>
      </c>
      <c r="V33" s="355" t="s">
        <v>49</v>
      </c>
      <c r="W33" s="356"/>
      <c r="X33" s="356"/>
      <c r="Y33" s="357"/>
      <c r="Z33" s="310" t="s">
        <v>50</v>
      </c>
      <c r="AA33" s="311"/>
      <c r="AB33" s="311"/>
      <c r="AC33" s="311"/>
      <c r="AD33" s="311"/>
      <c r="AE33" s="311"/>
      <c r="AF33" s="292" t="s">
        <v>51</v>
      </c>
      <c r="AG33" s="292"/>
      <c r="AH33" s="292"/>
      <c r="AI33" s="292"/>
      <c r="AJ33" s="292"/>
      <c r="AK33" s="292"/>
      <c r="AL33" s="292" t="s">
        <v>52</v>
      </c>
      <c r="AM33" s="292"/>
      <c r="AN33" s="292"/>
      <c r="AO33" s="292"/>
      <c r="AP33" s="292"/>
      <c r="AQ33" s="292"/>
      <c r="AR33" s="292" t="s">
        <v>53</v>
      </c>
      <c r="AS33" s="292"/>
      <c r="AT33" s="292"/>
      <c r="AU33" s="292"/>
      <c r="AV33" s="292"/>
      <c r="AW33" s="293"/>
      <c r="AX33" s="42"/>
      <c r="AY33" s="42"/>
      <c r="AZ33" s="42"/>
      <c r="BA33" s="187"/>
      <c r="BB33" s="187"/>
      <c r="BC33" s="187"/>
      <c r="BD33" s="187"/>
      <c r="BE33" s="343"/>
      <c r="BF33" s="343"/>
      <c r="BG33" s="343"/>
      <c r="BH33" s="343"/>
      <c r="BI33" s="343"/>
      <c r="BJ33" s="343"/>
      <c r="BK33" s="344"/>
      <c r="BL33" s="344"/>
      <c r="BM33" s="187"/>
      <c r="BN33" s="187"/>
      <c r="BO33" s="187"/>
      <c r="BP33" s="187"/>
      <c r="BQ33" s="187"/>
      <c r="BR33" s="187"/>
      <c r="BS33" s="187"/>
      <c r="BT33" s="187"/>
      <c r="BU33" s="187"/>
      <c r="BV33" s="187"/>
      <c r="BW33" s="187"/>
      <c r="BX33" s="187"/>
      <c r="BY33" s="187"/>
      <c r="BZ33" s="187"/>
      <c r="CA33" s="187"/>
      <c r="CB33" s="187"/>
      <c r="CC33" s="187"/>
      <c r="CD33" s="187"/>
      <c r="CE33" s="187"/>
      <c r="CF33" s="187"/>
      <c r="CG33" s="187"/>
    </row>
    <row r="34" spans="2:85" s="41" customFormat="1" ht="27.95" customHeight="1">
      <c r="B34" s="170" t="s">
        <v>48</v>
      </c>
      <c r="C34" s="322" t="str">
        <f>IF(Admin!E4="","",Admin!E4)</f>
        <v>Closing</v>
      </c>
      <c r="D34" s="323"/>
      <c r="E34" s="323"/>
      <c r="F34" s="323"/>
      <c r="G34" s="323"/>
      <c r="H34" s="215" t="str">
        <f>IF(Admin!F4="","",Admin!F4)</f>
        <v>PM</v>
      </c>
      <c r="I34" s="178">
        <v>0.60416666666666663</v>
      </c>
      <c r="J34" s="178">
        <v>0.9375</v>
      </c>
      <c r="K34" s="71">
        <f ca="1">IF(B34=Lists!Q$1,(J34-I34)-YK!F$3,J34-I34)</f>
        <v>0.33333333333333337</v>
      </c>
      <c r="L34" s="170" t="s">
        <v>48</v>
      </c>
      <c r="M34" s="322" t="str">
        <f>IF(Admin!E24="","",Admin!E24)</f>
        <v>Szkolenie AM</v>
      </c>
      <c r="N34" s="323"/>
      <c r="O34" s="323"/>
      <c r="P34" s="323"/>
      <c r="Q34" s="215" t="str">
        <f>IF(Admin!F24="","",Admin!F24)</f>
        <v>TAM</v>
      </c>
      <c r="R34" s="178">
        <v>0.29166666666666669</v>
      </c>
      <c r="S34" s="178">
        <v>0.625</v>
      </c>
      <c r="T34" s="71">
        <f>IF(L34=Lists!AA$1,(S34-R34)-YK!P$3,S34-R34)</f>
        <v>0.33333333333333331</v>
      </c>
      <c r="V34" s="358" t="s">
        <v>54</v>
      </c>
      <c r="W34" s="359"/>
      <c r="X34" s="359"/>
      <c r="Y34" s="360"/>
      <c r="Z34" s="309" t="s">
        <v>55</v>
      </c>
      <c r="AA34" s="308"/>
      <c r="AB34" s="307" t="s">
        <v>56</v>
      </c>
      <c r="AC34" s="308"/>
      <c r="AD34" s="305" t="s">
        <v>57</v>
      </c>
      <c r="AE34" s="306"/>
      <c r="AF34" s="305" t="s">
        <v>58</v>
      </c>
      <c r="AG34" s="306"/>
      <c r="AH34" s="305" t="s">
        <v>59</v>
      </c>
      <c r="AI34" s="306"/>
      <c r="AJ34" s="303" t="s">
        <v>60</v>
      </c>
      <c r="AK34" s="304"/>
      <c r="AL34" s="303" t="s">
        <v>61</v>
      </c>
      <c r="AM34" s="304"/>
      <c r="AN34" s="303" t="s">
        <v>62</v>
      </c>
      <c r="AO34" s="304"/>
      <c r="AP34" s="301" t="s">
        <v>63</v>
      </c>
      <c r="AQ34" s="302"/>
      <c r="AR34" s="301" t="s">
        <v>64</v>
      </c>
      <c r="AS34" s="302"/>
      <c r="AT34" s="301" t="s">
        <v>65</v>
      </c>
      <c r="AU34" s="302"/>
      <c r="AV34" s="299" t="s">
        <v>66</v>
      </c>
      <c r="AW34" s="300"/>
      <c r="AX34" s="42"/>
      <c r="AY34" s="42"/>
      <c r="AZ34" s="42"/>
      <c r="BA34" s="187"/>
      <c r="BB34" s="190"/>
      <c r="BC34" s="190"/>
      <c r="BD34" s="190"/>
      <c r="BE34" s="190"/>
      <c r="BF34" s="190"/>
      <c r="BG34" s="190"/>
      <c r="BH34" s="190"/>
      <c r="BI34" s="190"/>
      <c r="BJ34" s="190"/>
      <c r="BK34" s="344"/>
      <c r="BL34" s="344"/>
      <c r="BM34" s="187"/>
      <c r="BN34" s="187"/>
      <c r="BO34" s="187"/>
      <c r="BP34" s="187"/>
      <c r="BQ34" s="187"/>
      <c r="BR34" s="187"/>
      <c r="BS34" s="187"/>
      <c r="BT34" s="187"/>
      <c r="BU34" s="187"/>
      <c r="BV34" s="187"/>
      <c r="BW34" s="187"/>
      <c r="BX34" s="187"/>
      <c r="BY34" s="187"/>
      <c r="BZ34" s="187"/>
      <c r="CA34" s="187"/>
      <c r="CB34" s="187"/>
      <c r="CC34" s="187"/>
      <c r="CD34" s="187"/>
      <c r="CE34" s="187"/>
      <c r="CF34" s="187"/>
      <c r="CG34" s="187"/>
    </row>
    <row r="35" spans="2:85" s="41" customFormat="1" ht="27.95" customHeight="1">
      <c r="B35" s="170" t="s">
        <v>48</v>
      </c>
      <c r="C35" s="322" t="str">
        <f>IF(Admin!E5="","",Admin!E5)</f>
        <v xml:space="preserve">AM Niedziela </v>
      </c>
      <c r="D35" s="323"/>
      <c r="E35" s="323"/>
      <c r="F35" s="323"/>
      <c r="G35" s="323"/>
      <c r="H35" s="215" t="str">
        <f>IF(Admin!F5="","",Admin!F5)</f>
        <v>AMN</v>
      </c>
      <c r="I35" s="178">
        <v>0.33333333333333331</v>
      </c>
      <c r="J35" s="178">
        <v>0.58333333333333337</v>
      </c>
      <c r="K35" s="71">
        <f ca="1">IF(B35=Lists!Q$1,(J35-I35)-YK!F$3,J35-I35)</f>
        <v>0.25000000000000006</v>
      </c>
      <c r="L35" s="170" t="s">
        <v>48</v>
      </c>
      <c r="M35" s="322" t="str">
        <f>IF(Admin!E25="","",Admin!E25)</f>
        <v>Szkolenie PM</v>
      </c>
      <c r="N35" s="323"/>
      <c r="O35" s="323"/>
      <c r="P35" s="323"/>
      <c r="Q35" s="215" t="str">
        <f>IF(Admin!F25="","",Admin!F25)</f>
        <v>TPM</v>
      </c>
      <c r="R35" s="178">
        <v>0.60416666666666663</v>
      </c>
      <c r="S35" s="178">
        <v>0.9375</v>
      </c>
      <c r="T35" s="71">
        <f>IF(L35=Lists!AA$1,(S35-R35)-YK!P$3,S35-R35)</f>
        <v>0.33333333333333337</v>
      </c>
      <c r="V35" s="361" t="s">
        <v>67</v>
      </c>
      <c r="W35" s="362"/>
      <c r="X35" s="362"/>
      <c r="Y35" s="363"/>
      <c r="Z35" s="296" t="s">
        <v>68</v>
      </c>
      <c r="AA35" s="297"/>
      <c r="AB35" s="295"/>
      <c r="AC35" s="295"/>
      <c r="AD35" s="294" t="s">
        <v>69</v>
      </c>
      <c r="AE35" s="294"/>
      <c r="AF35" s="268"/>
      <c r="AG35" s="268"/>
      <c r="AH35" s="298" t="s">
        <v>70</v>
      </c>
      <c r="AI35" s="298"/>
      <c r="AJ35" s="268"/>
      <c r="AK35" s="268"/>
      <c r="AL35" s="267" t="s">
        <v>71</v>
      </c>
      <c r="AM35" s="267"/>
      <c r="AN35" s="268"/>
      <c r="AO35" s="268"/>
      <c r="AP35" s="277" t="s">
        <v>72</v>
      </c>
      <c r="AQ35" s="277"/>
      <c r="AR35" s="268"/>
      <c r="AS35" s="268"/>
      <c r="AT35" s="268"/>
      <c r="AU35" s="268"/>
      <c r="AV35" s="278" t="s">
        <v>73</v>
      </c>
      <c r="AW35" s="279"/>
      <c r="AX35" s="42"/>
      <c r="AY35" s="42"/>
      <c r="AZ35" s="42"/>
      <c r="BA35" s="187"/>
      <c r="BB35" s="368"/>
      <c r="BC35" s="368"/>
      <c r="BD35" s="368"/>
      <c r="BE35" s="190"/>
      <c r="BF35" s="190"/>
      <c r="BG35" s="190"/>
      <c r="BH35" s="190"/>
      <c r="BI35" s="190"/>
      <c r="BJ35" s="190"/>
      <c r="BK35" s="344"/>
      <c r="BL35" s="344"/>
      <c r="BM35" s="187"/>
      <c r="BN35" s="187"/>
      <c r="BO35" s="187"/>
      <c r="BP35" s="187"/>
      <c r="BQ35" s="187"/>
      <c r="BR35" s="187"/>
      <c r="BS35" s="187"/>
      <c r="BT35" s="187"/>
      <c r="BU35" s="187"/>
      <c r="BV35" s="187"/>
      <c r="BW35" s="187"/>
      <c r="BX35" s="187"/>
      <c r="BY35" s="187"/>
      <c r="BZ35" s="187"/>
      <c r="CA35" s="187"/>
      <c r="CB35" s="187"/>
      <c r="CC35" s="187"/>
      <c r="CD35" s="187"/>
      <c r="CE35" s="187"/>
      <c r="CF35" s="187"/>
      <c r="CG35" s="187"/>
    </row>
    <row r="36" spans="2:85" s="41" customFormat="1" ht="27.95" customHeight="1">
      <c r="B36" s="170" t="s">
        <v>48</v>
      </c>
      <c r="C36" s="322" t="str">
        <f>IF(Admin!E6="","",Admin!E6)</f>
        <v>PM Niedziela</v>
      </c>
      <c r="D36" s="323"/>
      <c r="E36" s="323"/>
      <c r="F36" s="323"/>
      <c r="G36" s="323"/>
      <c r="H36" s="215" t="str">
        <f>IF(Admin!F6="","",Admin!F6)</f>
        <v>PMN</v>
      </c>
      <c r="I36" s="178">
        <v>0.58333333333333337</v>
      </c>
      <c r="J36" s="178">
        <v>0.875</v>
      </c>
      <c r="K36" s="71">
        <f ca="1">IF(B36=Lists!Q$1,(J36-I36)-YK!F$3,J36-I36)</f>
        <v>0.29166666666666663</v>
      </c>
      <c r="L36" s="170" t="s">
        <v>48</v>
      </c>
      <c r="M36" s="322" t="str">
        <f>IF(Admin!E26="","",Admin!E26)</f>
        <v>Odbiór nadgodziny</v>
      </c>
      <c r="N36" s="323"/>
      <c r="O36" s="323"/>
      <c r="P36" s="323"/>
      <c r="Q36" s="215" t="str">
        <f>IF(Admin!F26="","",Admin!F26)</f>
        <v>RET</v>
      </c>
      <c r="R36" s="178">
        <v>0.33333333333333331</v>
      </c>
      <c r="S36" s="178">
        <v>0.66666666666666663</v>
      </c>
      <c r="T36" s="71">
        <f>IF(L36=Lists!AA$1,(S36-R36)-YK!P$3,S36-R36)</f>
        <v>0.33333333333333331</v>
      </c>
      <c r="V36" s="361" t="s">
        <v>74</v>
      </c>
      <c r="W36" s="362"/>
      <c r="X36" s="362"/>
      <c r="Y36" s="363"/>
      <c r="Z36" s="321"/>
      <c r="AA36" s="295"/>
      <c r="AB36" s="297" t="s">
        <v>75</v>
      </c>
      <c r="AC36" s="297"/>
      <c r="AD36" s="295"/>
      <c r="AE36" s="295"/>
      <c r="AF36" s="294" t="s">
        <v>76</v>
      </c>
      <c r="AG36" s="294"/>
      <c r="AH36" s="268"/>
      <c r="AI36" s="268"/>
      <c r="AJ36" s="298" t="s">
        <v>77</v>
      </c>
      <c r="AK36" s="298"/>
      <c r="AL36" s="268"/>
      <c r="AM36" s="268"/>
      <c r="AN36" s="267" t="s">
        <v>78</v>
      </c>
      <c r="AO36" s="267"/>
      <c r="AP36" s="268"/>
      <c r="AQ36" s="268"/>
      <c r="AR36" s="277" t="s">
        <v>79</v>
      </c>
      <c r="AS36" s="277"/>
      <c r="AT36" s="268"/>
      <c r="AU36" s="268"/>
      <c r="AV36" s="278" t="s">
        <v>80</v>
      </c>
      <c r="AW36" s="279"/>
      <c r="AX36" s="42"/>
      <c r="AY36" s="42"/>
      <c r="AZ36" s="42"/>
      <c r="BA36" s="187"/>
      <c r="BB36" s="368"/>
      <c r="BC36" s="368"/>
      <c r="BD36" s="368"/>
      <c r="BE36" s="190"/>
      <c r="BF36" s="190"/>
      <c r="BG36" s="190"/>
      <c r="BH36" s="190"/>
      <c r="BI36" s="190"/>
      <c r="BJ36" s="190"/>
      <c r="BK36" s="344"/>
      <c r="BL36" s="344"/>
      <c r="BM36" s="187"/>
      <c r="BN36" s="187"/>
      <c r="BO36" s="187"/>
      <c r="BP36" s="187"/>
      <c r="BQ36" s="187"/>
      <c r="BR36" s="187"/>
      <c r="BS36" s="187"/>
      <c r="BT36" s="187"/>
      <c r="BU36" s="187"/>
      <c r="BV36" s="187"/>
      <c r="BW36" s="187"/>
      <c r="BX36" s="187"/>
      <c r="BY36" s="187"/>
      <c r="BZ36" s="187"/>
      <c r="CA36" s="187"/>
      <c r="CB36" s="187"/>
      <c r="CC36" s="187"/>
      <c r="CD36" s="187"/>
      <c r="CE36" s="187"/>
      <c r="CF36" s="187"/>
      <c r="CG36" s="187"/>
    </row>
    <row r="37" spans="2:85" s="41" customFormat="1" ht="27.95" customHeight="1">
      <c r="B37" s="170" t="s">
        <v>48</v>
      </c>
      <c r="C37" s="322" t="str">
        <f>IF(Admin!E7="","",Admin!E7)</f>
        <v>Support AM</v>
      </c>
      <c r="D37" s="323"/>
      <c r="E37" s="323"/>
      <c r="F37" s="323"/>
      <c r="G37" s="323"/>
      <c r="H37" s="215" t="str">
        <f>IF(Admin!F7="","",Admin!F7)</f>
        <v>SAM</v>
      </c>
      <c r="I37" s="178">
        <v>0.29166666666666669</v>
      </c>
      <c r="J37" s="178">
        <v>0.625</v>
      </c>
      <c r="K37" s="71">
        <f ca="1">IF(B37=Lists!Q$1,(J37-I37)-YK!F$3,J37-I37)</f>
        <v>0.33333333333333331</v>
      </c>
      <c r="L37" s="170" t="s">
        <v>48</v>
      </c>
      <c r="M37" s="322" t="str">
        <f>IF(Admin!E27="","",Admin!E27)</f>
        <v>Training</v>
      </c>
      <c r="N37" s="323"/>
      <c r="O37" s="323"/>
      <c r="P37" s="323"/>
      <c r="Q37" s="215" t="str">
        <f>IF(Admin!F27="","",Admin!F27)</f>
        <v>T</v>
      </c>
      <c r="R37" s="178">
        <v>0.33333333333333331</v>
      </c>
      <c r="S37" s="178">
        <v>0.66666666666666663</v>
      </c>
      <c r="T37" s="71">
        <f>IF(L37=Lists!AA$1,(S37-R37)-YK!P$3,S37-R37)</f>
        <v>0.33333333333333331</v>
      </c>
      <c r="V37" s="361" t="s">
        <v>81</v>
      </c>
      <c r="W37" s="362"/>
      <c r="X37" s="362"/>
      <c r="Y37" s="363"/>
      <c r="Z37" s="345" t="s">
        <v>82</v>
      </c>
      <c r="AA37" s="345"/>
      <c r="AB37" s="346"/>
      <c r="AC37" s="346"/>
      <c r="AD37" s="347" t="s">
        <v>83</v>
      </c>
      <c r="AE37" s="347"/>
      <c r="AF37" s="348"/>
      <c r="AG37" s="348"/>
      <c r="AH37" s="349" t="s">
        <v>84</v>
      </c>
      <c r="AI37" s="349"/>
      <c r="AJ37" s="350"/>
      <c r="AK37" s="350"/>
      <c r="AL37" s="351" t="s">
        <v>85</v>
      </c>
      <c r="AM37" s="351"/>
      <c r="AN37" s="350"/>
      <c r="AO37" s="350"/>
      <c r="AP37" s="352" t="s">
        <v>86</v>
      </c>
      <c r="AQ37" s="352"/>
      <c r="AR37" s="350"/>
      <c r="AS37" s="350"/>
      <c r="AT37" s="353" t="s">
        <v>87</v>
      </c>
      <c r="AU37" s="353"/>
      <c r="AV37" s="274"/>
      <c r="AW37" s="354"/>
      <c r="AX37" s="42"/>
      <c r="AY37" s="42"/>
      <c r="AZ37" s="42"/>
      <c r="BA37" s="187"/>
      <c r="BB37" s="368"/>
      <c r="BC37" s="368"/>
      <c r="BD37" s="368"/>
      <c r="BE37" s="190"/>
      <c r="BF37" s="190"/>
      <c r="BG37" s="190"/>
      <c r="BH37" s="190"/>
      <c r="BI37" s="190"/>
      <c r="BJ37" s="190"/>
      <c r="BK37" s="344"/>
      <c r="BL37" s="344"/>
      <c r="BM37" s="187"/>
      <c r="BN37" s="187"/>
      <c r="BO37" s="187"/>
      <c r="BP37" s="187"/>
      <c r="BQ37" s="187"/>
      <c r="BR37" s="187"/>
      <c r="BS37" s="187"/>
      <c r="BT37" s="187"/>
      <c r="BU37" s="187"/>
      <c r="BV37" s="187"/>
      <c r="BW37" s="187"/>
      <c r="BX37" s="187"/>
      <c r="BY37" s="187"/>
      <c r="BZ37" s="187"/>
      <c r="CA37" s="187"/>
      <c r="CB37" s="187"/>
      <c r="CC37" s="187"/>
      <c r="CD37" s="187"/>
      <c r="CE37" s="187"/>
      <c r="CF37" s="187"/>
      <c r="CG37" s="187"/>
    </row>
    <row r="38" spans="2:85" s="41" customFormat="1" ht="27.95" customHeight="1">
      <c r="B38" s="170" t="s">
        <v>48</v>
      </c>
      <c r="C38" s="322" t="str">
        <f>IF(Admin!E8="","",Admin!E8)</f>
        <v>Support PM</v>
      </c>
      <c r="D38" s="323"/>
      <c r="E38" s="323"/>
      <c r="F38" s="323"/>
      <c r="G38" s="323"/>
      <c r="H38" s="215" t="str">
        <f>IF(Admin!F8="","",Admin!F8)</f>
        <v>SPM</v>
      </c>
      <c r="I38" s="178">
        <v>0.60416666666666663</v>
      </c>
      <c r="J38" s="178">
        <v>0.9375</v>
      </c>
      <c r="K38" s="71">
        <f ca="1">IF(B38=Lists!Q$1,(J38-I38)-YK!F$3,J38-I38)</f>
        <v>0.33333333333333337</v>
      </c>
      <c r="L38" s="170" t="s">
        <v>48</v>
      </c>
      <c r="M38" s="322" t="str">
        <f>IF(Admin!E28="","",Admin!E28)</f>
        <v>Praktyki dział PR</v>
      </c>
      <c r="N38" s="323"/>
      <c r="O38" s="323"/>
      <c r="P38" s="323"/>
      <c r="Q38" s="215" t="str">
        <f>IF(Admin!F28="","",Admin!F28)</f>
        <v>PR</v>
      </c>
      <c r="R38" s="178">
        <v>0.41666666666666669</v>
      </c>
      <c r="S38" s="178">
        <v>0.75</v>
      </c>
      <c r="T38" s="71">
        <f>IF(L38=Lists!AA$1,(S38-R38)-YK!P$3,S38-R38)</f>
        <v>0.33333333333333331</v>
      </c>
      <c r="V38" s="364" t="s">
        <v>88</v>
      </c>
      <c r="W38" s="365"/>
      <c r="X38" s="365"/>
      <c r="Y38" s="366"/>
      <c r="Z38" s="318" t="s">
        <v>89</v>
      </c>
      <c r="AA38" s="319"/>
      <c r="AB38" s="319"/>
      <c r="AC38" s="320"/>
      <c r="AD38" s="315" t="s">
        <v>90</v>
      </c>
      <c r="AE38" s="316"/>
      <c r="AF38" s="316"/>
      <c r="AG38" s="317"/>
      <c r="AH38" s="289" t="s">
        <v>91</v>
      </c>
      <c r="AI38" s="290"/>
      <c r="AJ38" s="290"/>
      <c r="AK38" s="291"/>
      <c r="AL38" s="286" t="s">
        <v>92</v>
      </c>
      <c r="AM38" s="287"/>
      <c r="AN38" s="287"/>
      <c r="AO38" s="288"/>
      <c r="AP38" s="283" t="s">
        <v>93</v>
      </c>
      <c r="AQ38" s="284"/>
      <c r="AR38" s="284"/>
      <c r="AS38" s="285"/>
      <c r="AT38" s="280" t="s">
        <v>94</v>
      </c>
      <c r="AU38" s="281"/>
      <c r="AV38" s="281"/>
      <c r="AW38" s="282"/>
      <c r="AX38" s="42"/>
      <c r="AY38" s="42"/>
      <c r="AZ38" s="42"/>
      <c r="BA38" s="187"/>
      <c r="BB38" s="368"/>
      <c r="BC38" s="368"/>
      <c r="BD38" s="368"/>
      <c r="BE38" s="190"/>
      <c r="BF38" s="190"/>
      <c r="BG38" s="190"/>
      <c r="BH38" s="190"/>
      <c r="BI38" s="190"/>
      <c r="BJ38" s="190"/>
      <c r="BK38" s="344"/>
      <c r="BL38" s="344"/>
      <c r="BM38" s="187"/>
      <c r="BN38" s="187"/>
      <c r="BO38" s="187"/>
      <c r="BP38" s="187"/>
      <c r="BQ38" s="187"/>
      <c r="BR38" s="187"/>
      <c r="BS38" s="187"/>
      <c r="BT38" s="187"/>
      <c r="BU38" s="187"/>
      <c r="BV38" s="187"/>
      <c r="BW38" s="187"/>
      <c r="BX38" s="187"/>
      <c r="BY38" s="187"/>
      <c r="BZ38" s="187"/>
      <c r="CA38" s="187"/>
      <c r="CB38" s="187"/>
      <c r="CC38" s="187"/>
      <c r="CD38" s="187"/>
      <c r="CE38" s="187"/>
      <c r="CF38" s="187"/>
      <c r="CG38" s="187"/>
    </row>
    <row r="39" spans="2:85" s="41" customFormat="1" ht="27.95" customHeight="1">
      <c r="B39" s="170" t="s">
        <v>48</v>
      </c>
      <c r="C39" s="322" t="str">
        <f>IF(Admin!E9="","",Admin!E9)</f>
        <v>Support do oddania</v>
      </c>
      <c r="D39" s="323"/>
      <c r="E39" s="323"/>
      <c r="F39" s="323"/>
      <c r="G39" s="323"/>
      <c r="H39" s="215" t="str">
        <f>IF(Admin!F9="","",Admin!F9)</f>
        <v>SUP</v>
      </c>
      <c r="I39" s="178">
        <v>0.41666666666666669</v>
      </c>
      <c r="J39" s="178">
        <v>0.75</v>
      </c>
      <c r="K39" s="71">
        <f ca="1">IF(B39=Lists!Q$1,(J39-I39)-YK!F$3,J39-I39)</f>
        <v>0.33333333333333331</v>
      </c>
      <c r="L39" s="170" t="s">
        <v>48</v>
      </c>
      <c r="M39" s="322" t="str">
        <f>IF(Admin!E29="","",Admin!E29)</f>
        <v/>
      </c>
      <c r="N39" s="323"/>
      <c r="O39" s="323"/>
      <c r="P39" s="323"/>
      <c r="Q39" s="215" t="str">
        <f>IF(Admin!F29="","",Admin!F29)</f>
        <v/>
      </c>
      <c r="R39" s="178"/>
      <c r="S39" s="178"/>
      <c r="T39" s="71">
        <f>IF(L39=Lists!AA$1,(S39-R39)-YK!P$3,S39-R39)</f>
        <v>0</v>
      </c>
      <c r="V39" s="361" t="s">
        <v>95</v>
      </c>
      <c r="W39" s="362"/>
      <c r="X39" s="362"/>
      <c r="Y39" s="363"/>
      <c r="Z39" s="234"/>
      <c r="AA39" s="312" t="s">
        <v>96</v>
      </c>
      <c r="AB39" s="313"/>
      <c r="AC39" s="314"/>
      <c r="AD39" s="269" t="s">
        <v>97</v>
      </c>
      <c r="AE39" s="270"/>
      <c r="AF39" s="270"/>
      <c r="AG39" s="271"/>
      <c r="AH39" s="275"/>
      <c r="AI39" s="276"/>
      <c r="AJ39" s="275"/>
      <c r="AK39" s="276"/>
      <c r="AL39" s="275"/>
      <c r="AM39" s="276"/>
      <c r="AN39" s="275"/>
      <c r="AO39" s="276"/>
      <c r="AP39" s="269" t="s">
        <v>97</v>
      </c>
      <c r="AQ39" s="270"/>
      <c r="AR39" s="270"/>
      <c r="AS39" s="271"/>
      <c r="AT39" s="272"/>
      <c r="AU39" s="274"/>
      <c r="AV39" s="272"/>
      <c r="AW39" s="273"/>
      <c r="AX39" s="187"/>
      <c r="AY39" s="343"/>
      <c r="AZ39" s="343"/>
      <c r="BA39" s="343"/>
      <c r="BB39" s="187"/>
      <c r="BC39" s="187"/>
      <c r="BD39" s="187"/>
      <c r="BE39" s="187"/>
      <c r="BF39" s="187"/>
      <c r="BG39" s="187"/>
      <c r="BH39" s="187"/>
      <c r="BI39" s="187"/>
      <c r="BJ39" s="187"/>
      <c r="BK39" s="187"/>
      <c r="BL39" s="187"/>
      <c r="BM39" s="187"/>
      <c r="BN39" s="187"/>
      <c r="BO39" s="187"/>
      <c r="BP39" s="187"/>
      <c r="BQ39" s="187"/>
      <c r="BR39" s="187"/>
      <c r="BS39" s="187"/>
      <c r="BT39" s="187"/>
      <c r="BU39" s="187"/>
      <c r="BV39" s="187"/>
      <c r="BW39" s="187"/>
      <c r="BX39" s="187"/>
      <c r="BY39" s="187"/>
      <c r="BZ39" s="187"/>
      <c r="CA39" s="187"/>
      <c r="CB39" s="187"/>
      <c r="CC39" s="187"/>
      <c r="CD39" s="187"/>
    </row>
    <row r="40" spans="2:85" s="41" customFormat="1" ht="27.95" customHeight="1">
      <c r="B40" s="170" t="s">
        <v>48</v>
      </c>
      <c r="C40" s="322" t="str">
        <f>IF(Admin!E10="","",Admin!E10)</f>
        <v>MID Bar</v>
      </c>
      <c r="D40" s="323"/>
      <c r="E40" s="323"/>
      <c r="F40" s="323"/>
      <c r="G40" s="323"/>
      <c r="H40" s="215" t="str">
        <f>IF(Admin!F10="","",Admin!F10)</f>
        <v>MIB</v>
      </c>
      <c r="I40" s="178">
        <v>0.5</v>
      </c>
      <c r="J40" s="178">
        <v>0.83333333333333337</v>
      </c>
      <c r="K40" s="71">
        <f ca="1">IF(B40=Lists!Q$1,(J40-I40)-YK!F$3,J40-I40)</f>
        <v>0.33333333333333337</v>
      </c>
      <c r="L40" s="170" t="s">
        <v>48</v>
      </c>
      <c r="M40" s="322" t="str">
        <f>IF(Admin!E30="","",Admin!E30)</f>
        <v/>
      </c>
      <c r="N40" s="323"/>
      <c r="O40" s="323"/>
      <c r="P40" s="323"/>
      <c r="Q40" s="215" t="str">
        <f>IF(Admin!F30="","",Admin!F30)</f>
        <v/>
      </c>
      <c r="R40" s="178"/>
      <c r="S40" s="178"/>
      <c r="T40" s="71">
        <f>IF(L40=Lists!AA$1,(S40-R40)-YK!P$3,S40-R40)</f>
        <v>0</v>
      </c>
      <c r="V40" s="329"/>
      <c r="W40" s="330"/>
      <c r="X40" s="330"/>
      <c r="Y40" s="331"/>
      <c r="Z40" s="236"/>
      <c r="AA40" s="237"/>
      <c r="AB40" s="237"/>
      <c r="AC40" s="238"/>
      <c r="AD40" s="239"/>
      <c r="AE40" s="240"/>
      <c r="AF40" s="240"/>
      <c r="AG40" s="240"/>
      <c r="AH40" s="240"/>
      <c r="AI40" s="240"/>
      <c r="AJ40" s="240"/>
      <c r="AK40" s="240"/>
      <c r="AL40" s="240" t="s">
        <v>98</v>
      </c>
      <c r="AM40" s="240"/>
      <c r="AN40" s="240"/>
      <c r="AO40" s="240"/>
      <c r="AP40" s="240"/>
      <c r="AQ40" s="241"/>
      <c r="AR40" s="241"/>
      <c r="AS40" s="241"/>
      <c r="AT40" s="241"/>
      <c r="AU40" s="241"/>
      <c r="AV40" s="241"/>
      <c r="AW40" s="233"/>
      <c r="AX40" s="187"/>
      <c r="AY40" s="343"/>
      <c r="AZ40" s="343"/>
      <c r="BA40" s="343"/>
      <c r="BB40" s="187"/>
      <c r="BC40" s="187"/>
      <c r="BD40" s="187"/>
      <c r="BE40" s="187"/>
      <c r="BF40" s="187"/>
      <c r="BG40" s="187"/>
      <c r="BH40" s="187"/>
      <c r="BI40" s="187"/>
      <c r="BJ40" s="187"/>
      <c r="BK40" s="187"/>
      <c r="BL40" s="187"/>
      <c r="BM40" s="187"/>
      <c r="BN40" s="187"/>
      <c r="BO40" s="187"/>
      <c r="BP40" s="187"/>
      <c r="BQ40" s="187"/>
      <c r="BR40" s="187"/>
      <c r="BS40" s="187"/>
      <c r="BT40" s="187"/>
      <c r="BU40" s="187"/>
      <c r="BV40" s="187"/>
      <c r="BW40" s="187"/>
      <c r="BX40" s="187"/>
      <c r="BY40" s="187"/>
      <c r="BZ40" s="187"/>
      <c r="CA40" s="187"/>
      <c r="CB40" s="187"/>
      <c r="CC40" s="187"/>
      <c r="CD40" s="187"/>
    </row>
    <row r="41" spans="2:85" s="41" customFormat="1" ht="27.95" customHeight="1">
      <c r="B41" s="170" t="s">
        <v>48</v>
      </c>
      <c r="C41" s="322" t="str">
        <f>IF(Admin!E11="","",Admin!E11)</f>
        <v>AM Bar</v>
      </c>
      <c r="D41" s="323"/>
      <c r="E41" s="323"/>
      <c r="F41" s="323"/>
      <c r="G41" s="323"/>
      <c r="H41" s="215" t="str">
        <f>IF(Admin!F11="","",Admin!F11)</f>
        <v>AMB</v>
      </c>
      <c r="I41" s="178">
        <v>0.29166666666666669</v>
      </c>
      <c r="J41" s="178">
        <v>0.625</v>
      </c>
      <c r="K41" s="71">
        <f ca="1">IF(B41=Lists!Q$1,(J41-I41)-YK!F$3,J41-I41)</f>
        <v>0.33333333333333331</v>
      </c>
      <c r="L41" s="170" t="s">
        <v>48</v>
      </c>
      <c r="M41" s="322" t="str">
        <f>IF(Admin!E31="","",Admin!E31)</f>
        <v/>
      </c>
      <c r="N41" s="323"/>
      <c r="O41" s="323"/>
      <c r="P41" s="323"/>
      <c r="Q41" s="215" t="str">
        <f>IF(Admin!F31="","",Admin!F31)</f>
        <v/>
      </c>
      <c r="R41" s="178"/>
      <c r="S41" s="178"/>
      <c r="T41" s="71">
        <f>IF(L41=Lists!AA$1,(S41-R41)-YK!P$3,S41-R41)</f>
        <v>0</v>
      </c>
      <c r="V41" s="329"/>
      <c r="W41" s="330"/>
      <c r="X41" s="330"/>
      <c r="Y41" s="331"/>
      <c r="Z41" s="236"/>
      <c r="AA41" s="237"/>
      <c r="AB41" s="237"/>
      <c r="AC41" s="238"/>
      <c r="AD41" s="239"/>
      <c r="AE41" s="240"/>
      <c r="AF41" s="240"/>
      <c r="AG41" s="240"/>
      <c r="AH41" s="240"/>
      <c r="AI41" s="240"/>
      <c r="AJ41" s="240"/>
      <c r="AK41" s="240"/>
      <c r="AL41" s="240"/>
      <c r="AM41" s="240"/>
      <c r="AN41" s="240"/>
      <c r="AO41" s="240"/>
      <c r="AP41" s="240"/>
      <c r="AQ41" s="241"/>
      <c r="AR41" s="241"/>
      <c r="AS41" s="241"/>
      <c r="AT41" s="241"/>
      <c r="AU41" s="241"/>
      <c r="AV41" s="241"/>
      <c r="AW41" s="233"/>
      <c r="AX41" s="187"/>
      <c r="AY41" s="343"/>
      <c r="AZ41" s="343"/>
      <c r="BA41" s="343"/>
      <c r="BB41" s="187"/>
      <c r="BC41" s="187"/>
      <c r="BD41" s="187"/>
      <c r="BE41" s="187"/>
      <c r="BF41" s="187"/>
      <c r="BG41" s="187"/>
      <c r="BH41" s="187"/>
      <c r="BI41" s="187"/>
      <c r="BJ41" s="187"/>
      <c r="BK41" s="187"/>
      <c r="BL41" s="187"/>
      <c r="BM41" s="187"/>
      <c r="BN41" s="187"/>
      <c r="BO41" s="187"/>
      <c r="BP41" s="187"/>
      <c r="BQ41" s="187"/>
      <c r="BR41" s="187"/>
      <c r="BS41" s="187"/>
      <c r="BT41" s="187"/>
      <c r="BU41" s="187"/>
      <c r="BV41" s="187"/>
      <c r="BW41" s="187"/>
      <c r="BX41" s="187"/>
      <c r="BY41" s="187"/>
      <c r="BZ41" s="187"/>
      <c r="CA41" s="187"/>
      <c r="CB41" s="187"/>
      <c r="CC41" s="187"/>
      <c r="CD41" s="187"/>
    </row>
    <row r="42" spans="2:85" s="41" customFormat="1" ht="27.95" customHeight="1">
      <c r="B42" s="170" t="s">
        <v>48</v>
      </c>
      <c r="C42" s="322" t="str">
        <f>IF(Admin!E12="","",Admin!E12)</f>
        <v>PM Bar</v>
      </c>
      <c r="D42" s="323"/>
      <c r="E42" s="323"/>
      <c r="F42" s="323"/>
      <c r="G42" s="323"/>
      <c r="H42" s="215" t="str">
        <f>IF(Admin!F12="","",Admin!F12)</f>
        <v>PMB</v>
      </c>
      <c r="I42" s="178">
        <v>0.60416666666666663</v>
      </c>
      <c r="J42" s="178">
        <v>0.9375</v>
      </c>
      <c r="K42" s="71">
        <f ca="1">IF(B42=Lists!Q$1,(J42-I42)-YK!F$3,J42-I42)</f>
        <v>0.33333333333333337</v>
      </c>
      <c r="L42" s="170" t="s">
        <v>48</v>
      </c>
      <c r="M42" s="322" t="str">
        <f>IF(Admin!E32="","",Admin!E32)</f>
        <v/>
      </c>
      <c r="N42" s="323"/>
      <c r="O42" s="323"/>
      <c r="P42" s="323"/>
      <c r="Q42" s="215" t="str">
        <f>IF(Admin!F32="","",Admin!F32)</f>
        <v/>
      </c>
      <c r="R42" s="178"/>
      <c r="S42" s="178"/>
      <c r="T42" s="71">
        <f>IF(L42=Lists!AA$1,(S42-R42)-YK!P$3,S42-R42)</f>
        <v>0</v>
      </c>
      <c r="V42" s="329"/>
      <c r="W42" s="330"/>
      <c r="X42" s="330"/>
      <c r="Y42" s="331"/>
      <c r="Z42" s="236"/>
      <c r="AA42" s="237"/>
      <c r="AB42" s="237"/>
      <c r="AC42" s="238"/>
      <c r="AD42" s="239"/>
      <c r="AE42" s="240"/>
      <c r="AF42" s="240"/>
      <c r="AG42" s="240"/>
      <c r="AH42" s="240"/>
      <c r="AI42" s="240"/>
      <c r="AJ42" s="240"/>
      <c r="AK42" s="240"/>
      <c r="AL42" s="240"/>
      <c r="AM42" s="240"/>
      <c r="AN42" s="240"/>
      <c r="AO42" s="240"/>
      <c r="AP42" s="240"/>
      <c r="AQ42" s="241"/>
      <c r="AR42" s="241"/>
      <c r="AS42" s="241"/>
      <c r="AT42" s="241"/>
      <c r="AU42" s="241"/>
      <c r="AV42" s="241"/>
      <c r="AW42" s="233"/>
      <c r="AX42" s="187"/>
      <c r="AY42" s="343"/>
      <c r="AZ42" s="343"/>
      <c r="BA42" s="343"/>
      <c r="BB42" s="187"/>
      <c r="BC42" s="187"/>
      <c r="BD42" s="187"/>
      <c r="BE42" s="187"/>
      <c r="BF42" s="187"/>
      <c r="BG42" s="187"/>
      <c r="BH42" s="187"/>
      <c r="BI42" s="187"/>
      <c r="BJ42" s="187"/>
      <c r="BK42" s="187"/>
      <c r="BL42" s="187"/>
      <c r="BM42" s="187"/>
      <c r="BN42" s="187"/>
      <c r="BO42" s="187"/>
      <c r="BP42" s="187"/>
      <c r="BQ42" s="187"/>
      <c r="BR42" s="187"/>
      <c r="BS42" s="187"/>
      <c r="BT42" s="187"/>
      <c r="BU42" s="187"/>
      <c r="BV42" s="187"/>
      <c r="BW42" s="187"/>
      <c r="BX42" s="187"/>
      <c r="BY42" s="187"/>
      <c r="BZ42" s="187"/>
      <c r="CA42" s="187"/>
      <c r="CB42" s="187"/>
      <c r="CC42" s="187"/>
      <c r="CD42" s="187"/>
    </row>
    <row r="43" spans="2:85" s="41" customFormat="1" ht="27.95" customHeight="1">
      <c r="B43" s="170" t="s">
        <v>48</v>
      </c>
      <c r="C43" s="322" t="str">
        <f>IF(Admin!E13="","",Admin!E13)</f>
        <v>MiD 4h</v>
      </c>
      <c r="D43" s="323"/>
      <c r="E43" s="323"/>
      <c r="F43" s="323"/>
      <c r="G43" s="323"/>
      <c r="H43" s="215" t="str">
        <f>IF(Admin!F13="","",Admin!F13)</f>
        <v>MI4</v>
      </c>
      <c r="I43" s="178">
        <v>0.41666666666666669</v>
      </c>
      <c r="J43" s="178">
        <v>0.58333333333333337</v>
      </c>
      <c r="K43" s="71">
        <f ca="1">IF(B43=Lists!Q$1,(J43-I43)-YK!F$3,J43-I43)</f>
        <v>0.16666666666666669</v>
      </c>
      <c r="L43" s="170" t="s">
        <v>48</v>
      </c>
      <c r="M43" s="322" t="str">
        <f>IF(Admin!E33="","",Admin!E33)</f>
        <v/>
      </c>
      <c r="N43" s="323"/>
      <c r="O43" s="323"/>
      <c r="P43" s="323"/>
      <c r="Q43" s="215" t="str">
        <f>IF(Admin!F33="","",Admin!F33)</f>
        <v/>
      </c>
      <c r="R43" s="178"/>
      <c r="S43" s="178"/>
      <c r="T43" s="71">
        <f>IF(L43=Lists!AA$1,(S43-R43)-YK!P$3,S43-R43)</f>
        <v>0</v>
      </c>
      <c r="V43" s="329"/>
      <c r="W43" s="330"/>
      <c r="X43" s="330"/>
      <c r="Y43" s="331"/>
      <c r="Z43" s="236"/>
      <c r="AA43" s="237"/>
      <c r="AB43" s="237"/>
      <c r="AC43" s="238"/>
      <c r="AD43" s="239"/>
      <c r="AE43" s="240"/>
      <c r="AF43" s="240"/>
      <c r="AG43" s="240"/>
      <c r="AH43" s="240"/>
      <c r="AI43" s="240"/>
      <c r="AJ43" s="240"/>
      <c r="AK43" s="240"/>
      <c r="AL43" s="240"/>
      <c r="AM43" s="240"/>
      <c r="AN43" s="240"/>
      <c r="AO43" s="240"/>
      <c r="AP43" s="240"/>
      <c r="AQ43" s="241"/>
      <c r="AR43" s="241"/>
      <c r="AS43" s="241"/>
      <c r="AT43" s="241"/>
      <c r="AU43" s="241"/>
      <c r="AV43" s="241"/>
      <c r="AW43" s="233"/>
      <c r="AX43" s="187"/>
      <c r="AY43" s="343"/>
      <c r="AZ43" s="343"/>
      <c r="BA43" s="343"/>
      <c r="BB43" s="187"/>
      <c r="BC43" s="187"/>
      <c r="BD43" s="187"/>
      <c r="BE43" s="187"/>
      <c r="BF43" s="187"/>
      <c r="BG43" s="187"/>
      <c r="BH43" s="187"/>
      <c r="BI43" s="187"/>
      <c r="BJ43" s="187"/>
      <c r="BK43" s="187"/>
      <c r="BL43" s="187"/>
      <c r="BM43" s="187"/>
      <c r="BN43" s="187"/>
      <c r="BO43" s="187"/>
      <c r="BP43" s="187"/>
      <c r="BQ43" s="187"/>
      <c r="BR43" s="187"/>
      <c r="BS43" s="187"/>
      <c r="BT43" s="187"/>
      <c r="BU43" s="187"/>
      <c r="BV43" s="187"/>
      <c r="BW43" s="187"/>
      <c r="BX43" s="187"/>
      <c r="BY43" s="187"/>
      <c r="BZ43" s="187"/>
      <c r="CA43" s="187"/>
      <c r="CB43" s="187"/>
      <c r="CC43" s="187"/>
      <c r="CD43" s="187"/>
    </row>
    <row r="44" spans="2:85" s="41" customFormat="1" ht="27.95" customHeight="1">
      <c r="B44" s="170" t="s">
        <v>48</v>
      </c>
      <c r="C44" s="322" t="str">
        <f>IF(Admin!E14="","",Admin!E14)</f>
        <v>Business Trip</v>
      </c>
      <c r="D44" s="323"/>
      <c r="E44" s="323"/>
      <c r="F44" s="323"/>
      <c r="G44" s="323"/>
      <c r="H44" s="215" t="str">
        <f>IF(Admin!F14="","",Admin!F14)</f>
        <v>BT</v>
      </c>
      <c r="I44" s="178">
        <v>0.41666666666666669</v>
      </c>
      <c r="J44" s="178">
        <v>0.75</v>
      </c>
      <c r="K44" s="71">
        <f ca="1">IF(B44=Lists!Q$1,(J44-I44)-YK!F$3,J44-I44)</f>
        <v>0.33333333333333331</v>
      </c>
      <c r="L44" s="170" t="s">
        <v>48</v>
      </c>
      <c r="M44" s="322" t="str">
        <f>IF(Admin!E34="","",Admin!E34)</f>
        <v/>
      </c>
      <c r="N44" s="323"/>
      <c r="O44" s="323"/>
      <c r="P44" s="323"/>
      <c r="Q44" s="215" t="str">
        <f>IF(Admin!F34="","",Admin!F34)</f>
        <v/>
      </c>
      <c r="R44" s="178"/>
      <c r="S44" s="178"/>
      <c r="T44" s="71">
        <f>IF(L44=Lists!AA$1,(S44-R44)-YK!P$3,S44-R44)</f>
        <v>0</v>
      </c>
      <c r="V44" s="329"/>
      <c r="W44" s="330"/>
      <c r="X44" s="330"/>
      <c r="Y44" s="331"/>
      <c r="Z44" s="236"/>
      <c r="AA44" s="237"/>
      <c r="AB44" s="237"/>
      <c r="AC44" s="238"/>
      <c r="AD44" s="239"/>
      <c r="AE44" s="240"/>
      <c r="AF44" s="240"/>
      <c r="AG44" s="240"/>
      <c r="AH44" s="240"/>
      <c r="AI44" s="240"/>
      <c r="AJ44" s="240"/>
      <c r="AK44" s="240"/>
      <c r="AL44" s="240"/>
      <c r="AM44" s="240"/>
      <c r="AN44" s="240"/>
      <c r="AO44" s="240"/>
      <c r="AP44" s="240"/>
      <c r="AQ44" s="241"/>
      <c r="AR44" s="241"/>
      <c r="AS44" s="241"/>
      <c r="AT44" s="241"/>
      <c r="AU44" s="241"/>
      <c r="AV44" s="241"/>
      <c r="AW44" s="233"/>
      <c r="AX44" s="187"/>
      <c r="AY44" s="343"/>
      <c r="AZ44" s="343"/>
      <c r="BA44" s="343"/>
      <c r="BB44" s="187"/>
      <c r="BC44" s="187"/>
      <c r="BD44" s="187"/>
      <c r="BE44" s="187"/>
      <c r="BF44" s="187"/>
      <c r="BG44" s="187"/>
      <c r="BH44" s="187"/>
      <c r="BI44" s="187"/>
      <c r="BJ44" s="187"/>
      <c r="BK44" s="187"/>
      <c r="BL44" s="187"/>
      <c r="BM44" s="187"/>
      <c r="BN44" s="187"/>
      <c r="BO44" s="187"/>
      <c r="BP44" s="187"/>
      <c r="BQ44" s="187"/>
      <c r="BR44" s="187"/>
      <c r="BS44" s="187"/>
      <c r="BT44" s="187"/>
      <c r="BU44" s="187"/>
      <c r="BV44" s="187"/>
      <c r="BW44" s="187"/>
      <c r="BX44" s="187"/>
      <c r="BY44" s="187"/>
      <c r="BZ44" s="187"/>
      <c r="CA44" s="187"/>
      <c r="CB44" s="187"/>
      <c r="CC44" s="187"/>
      <c r="CD44" s="187"/>
    </row>
    <row r="45" spans="2:85" s="41" customFormat="1" ht="27.95" customHeight="1">
      <c r="B45" s="171" t="s">
        <v>48</v>
      </c>
      <c r="C45" s="322" t="str">
        <f>IF(Admin!E15="","",Admin!E15)</f>
        <v/>
      </c>
      <c r="D45" s="323"/>
      <c r="E45" s="323"/>
      <c r="F45" s="323"/>
      <c r="G45" s="323"/>
      <c r="H45" s="215" t="str">
        <f>IF(Admin!F15="","",Admin!F15)</f>
        <v/>
      </c>
      <c r="I45" s="178"/>
      <c r="J45" s="178"/>
      <c r="K45" s="71">
        <f ca="1">IF(B45=Lists!Q$1,(J45-I45)-YK!F$3,J45-I45)</f>
        <v>0</v>
      </c>
      <c r="L45" s="171" t="s">
        <v>48</v>
      </c>
      <c r="M45" s="322" t="str">
        <f>IF(Admin!E35="","",Admin!E35)</f>
        <v/>
      </c>
      <c r="N45" s="323"/>
      <c r="O45" s="323"/>
      <c r="P45" s="323"/>
      <c r="Q45" s="215" t="str">
        <f>IF(Admin!F35="","",Admin!F35)</f>
        <v/>
      </c>
      <c r="R45" s="178"/>
      <c r="S45" s="178"/>
      <c r="T45" s="71">
        <f>IF(L45=Lists!AA$1,(S45-R45)-YK!P$3,S45-R45)</f>
        <v>0</v>
      </c>
      <c r="V45" s="329"/>
      <c r="W45" s="330"/>
      <c r="X45" s="330"/>
      <c r="Y45" s="331"/>
      <c r="Z45" s="236"/>
      <c r="AA45" s="237"/>
      <c r="AB45" s="237"/>
      <c r="AC45" s="238"/>
      <c r="AD45" s="239"/>
      <c r="AE45" s="240"/>
      <c r="AF45" s="240"/>
      <c r="AG45" s="240"/>
      <c r="AH45" s="240"/>
      <c r="AI45" s="240"/>
      <c r="AJ45" s="240"/>
      <c r="AK45" s="240"/>
      <c r="AL45" s="240"/>
      <c r="AM45" s="240"/>
      <c r="AN45" s="240"/>
      <c r="AO45" s="240"/>
      <c r="AP45" s="240"/>
      <c r="AQ45" s="242"/>
      <c r="AR45" s="242"/>
      <c r="AS45" s="242"/>
      <c r="AT45" s="242"/>
      <c r="AU45" s="242"/>
      <c r="AV45" s="242"/>
      <c r="AW45" s="233"/>
      <c r="AX45" s="187"/>
      <c r="AY45" s="187"/>
      <c r="AZ45" s="187"/>
      <c r="BA45" s="187"/>
      <c r="BB45" s="187"/>
      <c r="BC45" s="187"/>
      <c r="BD45" s="187"/>
      <c r="BE45" s="187"/>
      <c r="BF45" s="187"/>
      <c r="BG45" s="187"/>
      <c r="BH45" s="187"/>
      <c r="BI45" s="187"/>
      <c r="BJ45" s="187"/>
      <c r="BK45" s="187"/>
      <c r="BL45" s="187"/>
      <c r="BM45" s="187"/>
      <c r="BN45" s="187"/>
      <c r="BO45" s="187"/>
      <c r="BP45" s="187"/>
      <c r="BQ45" s="187"/>
      <c r="BR45" s="187"/>
      <c r="BS45" s="187"/>
      <c r="BT45" s="187"/>
      <c r="BU45" s="187"/>
      <c r="BV45" s="187"/>
      <c r="BW45" s="187"/>
      <c r="BX45" s="187"/>
      <c r="BY45" s="187"/>
      <c r="BZ45" s="187"/>
      <c r="CA45" s="187"/>
      <c r="CB45" s="187"/>
      <c r="CC45" s="187"/>
      <c r="CD45" s="187"/>
    </row>
    <row r="46" spans="2:85" s="41" customFormat="1" ht="27.75" customHeight="1">
      <c r="B46" s="171" t="s">
        <v>48</v>
      </c>
      <c r="C46" s="322" t="str">
        <f>IF(Admin!E16="","",Admin!E16)</f>
        <v/>
      </c>
      <c r="D46" s="323"/>
      <c r="E46" s="323"/>
      <c r="F46" s="323"/>
      <c r="G46" s="323"/>
      <c r="H46" s="215" t="str">
        <f>IF(Admin!F16="","",Admin!F16)</f>
        <v/>
      </c>
      <c r="I46" s="178"/>
      <c r="J46" s="178"/>
      <c r="K46" s="71">
        <f ca="1">IF(B46=Lists!Q$1,(J46-I46)-YK!F$3,J46-I46)</f>
        <v>0</v>
      </c>
      <c r="L46" s="171" t="s">
        <v>48</v>
      </c>
      <c r="M46" s="322" t="str">
        <f>IF(Admin!E36="","",Admin!E36)</f>
        <v/>
      </c>
      <c r="N46" s="323"/>
      <c r="O46" s="323"/>
      <c r="P46" s="323"/>
      <c r="Q46" s="215" t="str">
        <f>IF(Admin!F36="","",Admin!F36)</f>
        <v/>
      </c>
      <c r="R46" s="178"/>
      <c r="S46" s="178"/>
      <c r="T46" s="71">
        <f>IF(L46=Lists!AA$1,(S46-R46)-YK!P$3,S46-R46)</f>
        <v>0</v>
      </c>
      <c r="V46" s="329"/>
      <c r="W46" s="330"/>
      <c r="X46" s="330"/>
      <c r="Y46" s="331"/>
      <c r="Z46" s="236"/>
      <c r="AA46" s="237"/>
      <c r="AB46" s="237"/>
      <c r="AC46" s="238"/>
      <c r="AD46" s="239"/>
      <c r="AE46" s="240"/>
      <c r="AF46" s="240"/>
      <c r="AG46" s="240"/>
      <c r="AH46" s="240"/>
      <c r="AI46" s="240"/>
      <c r="AJ46" s="240"/>
      <c r="AK46" s="240"/>
      <c r="AL46" s="240"/>
      <c r="AM46" s="240"/>
      <c r="AN46" s="240"/>
      <c r="AO46" s="240"/>
      <c r="AP46" s="240"/>
      <c r="AQ46" s="242"/>
      <c r="AR46" s="242"/>
      <c r="AS46" s="242"/>
      <c r="AT46" s="242"/>
      <c r="AU46" s="242"/>
      <c r="AV46" s="242"/>
      <c r="AW46" s="233"/>
      <c r="AX46" s="187"/>
      <c r="AY46" s="187"/>
      <c r="AZ46" s="187"/>
      <c r="BA46" s="187"/>
      <c r="BB46" s="187"/>
      <c r="BC46" s="187"/>
      <c r="BD46" s="187"/>
      <c r="BE46" s="187"/>
      <c r="BF46" s="187"/>
      <c r="BG46" s="187"/>
      <c r="BH46" s="187"/>
      <c r="BI46" s="187"/>
      <c r="BJ46" s="187"/>
      <c r="BK46" s="187"/>
      <c r="BL46" s="187"/>
      <c r="BM46" s="187"/>
      <c r="BN46" s="187"/>
      <c r="BO46" s="187"/>
      <c r="BP46" s="187"/>
      <c r="BQ46" s="187"/>
      <c r="BR46" s="187"/>
      <c r="BS46" s="187"/>
      <c r="BT46" s="187"/>
      <c r="BU46" s="187"/>
      <c r="BV46" s="187"/>
      <c r="BW46" s="187"/>
      <c r="BX46" s="187"/>
      <c r="BY46" s="187"/>
      <c r="BZ46" s="187"/>
      <c r="CA46" s="187"/>
      <c r="CB46" s="187"/>
      <c r="CC46" s="187"/>
      <c r="CD46" s="187"/>
    </row>
    <row r="47" spans="2:85" s="41" customFormat="1" ht="27.75" customHeight="1">
      <c r="B47" s="171" t="s">
        <v>48</v>
      </c>
      <c r="C47" s="476" t="str">
        <f>IF(Admin!E17="","",Admin!E17)</f>
        <v/>
      </c>
      <c r="D47" s="477"/>
      <c r="E47" s="477"/>
      <c r="F47" s="477"/>
      <c r="G47" s="477"/>
      <c r="H47" s="221" t="str">
        <f>IF(Admin!F17="","",Admin!F17)</f>
        <v/>
      </c>
      <c r="I47" s="222"/>
      <c r="J47" s="222"/>
      <c r="K47" s="223">
        <f ca="1">IF(B47=Lists!Q$1,(J47-I47)-YK!F$3,J47-I47)</f>
        <v>0</v>
      </c>
      <c r="L47" s="171" t="s">
        <v>48</v>
      </c>
      <c r="M47" s="322" t="str">
        <f>IF(Admin!E37="","",Admin!E37)</f>
        <v/>
      </c>
      <c r="N47" s="323"/>
      <c r="O47" s="323"/>
      <c r="P47" s="323"/>
      <c r="Q47" s="215" t="str">
        <f>IF(Admin!F37="","",Admin!F37)</f>
        <v/>
      </c>
      <c r="R47" s="178"/>
      <c r="S47" s="178"/>
      <c r="T47" s="71">
        <f>IF(L47=Lists!AA$1,(S47-R47)-YK!P$3,S47-R47)</f>
        <v>0</v>
      </c>
      <c r="V47" s="329"/>
      <c r="W47" s="330"/>
      <c r="X47" s="330"/>
      <c r="Y47" s="331"/>
      <c r="Z47" s="236"/>
      <c r="AA47" s="237"/>
      <c r="AB47" s="237"/>
      <c r="AC47" s="238"/>
      <c r="AD47" s="239"/>
      <c r="AE47" s="240"/>
      <c r="AF47" s="240"/>
      <c r="AG47" s="240"/>
      <c r="AH47" s="240"/>
      <c r="AI47" s="240"/>
      <c r="AJ47" s="240"/>
      <c r="AK47" s="240"/>
      <c r="AL47" s="240"/>
      <c r="AM47" s="240"/>
      <c r="AN47" s="240"/>
      <c r="AO47" s="240"/>
      <c r="AP47" s="240"/>
      <c r="AQ47" s="242"/>
      <c r="AR47" s="242"/>
      <c r="AS47" s="242"/>
      <c r="AT47" s="242"/>
      <c r="AU47" s="242"/>
      <c r="AV47" s="242"/>
      <c r="AW47" s="233"/>
      <c r="AX47" s="187"/>
      <c r="AY47" s="187"/>
      <c r="AZ47" s="187"/>
      <c r="BA47" s="187"/>
      <c r="BB47" s="187"/>
      <c r="BC47" s="187"/>
      <c r="BD47" s="187"/>
      <c r="BE47" s="187"/>
      <c r="BF47" s="187"/>
      <c r="BG47" s="187"/>
      <c r="BH47" s="187"/>
      <c r="BI47" s="187"/>
      <c r="BJ47" s="187"/>
      <c r="BK47" s="187"/>
      <c r="BL47" s="187"/>
      <c r="BM47" s="187"/>
      <c r="BN47" s="187"/>
      <c r="BO47" s="187"/>
      <c r="BP47" s="187"/>
      <c r="BQ47" s="187"/>
      <c r="BR47" s="187"/>
      <c r="BS47" s="187"/>
      <c r="BT47" s="187"/>
      <c r="BU47" s="187"/>
      <c r="BV47" s="187"/>
      <c r="BW47" s="187"/>
      <c r="BX47" s="187"/>
      <c r="BY47" s="187"/>
      <c r="BZ47" s="187"/>
      <c r="CA47" s="187"/>
      <c r="CB47" s="187"/>
      <c r="CC47" s="187"/>
      <c r="CD47" s="187"/>
    </row>
    <row r="48" spans="2:85" s="41" customFormat="1" ht="27.75" customHeight="1">
      <c r="B48" s="171" t="s">
        <v>48</v>
      </c>
      <c r="C48" s="322" t="str">
        <f>IF(Admin!E18="","",Admin!E18)</f>
        <v/>
      </c>
      <c r="D48" s="323"/>
      <c r="E48" s="323"/>
      <c r="F48" s="323"/>
      <c r="G48" s="323"/>
      <c r="H48" s="215" t="str">
        <f>IF(Admin!F18="","",Admin!F18)</f>
        <v/>
      </c>
      <c r="I48" s="178"/>
      <c r="J48" s="178"/>
      <c r="K48" s="71">
        <f ca="1">IF(B48=Lists!Q$1,(J48-I48)-YK!F$3,J48-I48)</f>
        <v>0</v>
      </c>
      <c r="L48" s="171" t="s">
        <v>48</v>
      </c>
      <c r="M48" s="322" t="str">
        <f>IF(Admin!E38="","",Admin!E38)</f>
        <v/>
      </c>
      <c r="N48" s="323"/>
      <c r="O48" s="323"/>
      <c r="P48" s="323"/>
      <c r="Q48" s="215" t="str">
        <f>IF(Admin!F38="","",Admin!F38)</f>
        <v/>
      </c>
      <c r="R48" s="178"/>
      <c r="S48" s="178"/>
      <c r="T48" s="71">
        <f>IF(L48=Lists!AA$1,(S48-R48)-YK!P$3,S48-R48)</f>
        <v>0</v>
      </c>
      <c r="V48" s="329"/>
      <c r="W48" s="330"/>
      <c r="X48" s="330"/>
      <c r="Y48" s="331"/>
      <c r="Z48" s="236"/>
      <c r="AA48" s="237"/>
      <c r="AB48" s="237"/>
      <c r="AC48" s="238"/>
      <c r="AD48" s="239"/>
      <c r="AE48" s="240"/>
      <c r="AF48" s="243"/>
      <c r="AG48" s="243"/>
      <c r="AH48" s="243"/>
      <c r="AI48" s="243"/>
      <c r="AJ48" s="243"/>
      <c r="AK48" s="243"/>
      <c r="AL48" s="243"/>
      <c r="AM48" s="243"/>
      <c r="AN48" s="243"/>
      <c r="AO48" s="243"/>
      <c r="AP48" s="243"/>
      <c r="AQ48" s="244"/>
      <c r="AR48" s="244"/>
      <c r="AS48" s="244"/>
      <c r="AT48" s="244"/>
      <c r="AU48" s="244"/>
      <c r="AV48" s="244"/>
      <c r="AW48" s="245"/>
      <c r="AX48" s="187"/>
      <c r="AY48" s="187"/>
      <c r="AZ48" s="187"/>
      <c r="BA48" s="187"/>
      <c r="BB48" s="187"/>
      <c r="BC48" s="187"/>
      <c r="BD48" s="187"/>
      <c r="BE48" s="187"/>
      <c r="BF48" s="187"/>
      <c r="BG48" s="187"/>
      <c r="BH48" s="187"/>
      <c r="BI48" s="187"/>
      <c r="BJ48" s="187"/>
      <c r="BK48" s="187"/>
      <c r="BL48" s="187"/>
      <c r="BM48" s="187"/>
      <c r="BN48" s="187"/>
      <c r="BO48" s="187"/>
      <c r="BP48" s="187"/>
      <c r="BQ48" s="187"/>
      <c r="BR48" s="187"/>
      <c r="BS48" s="187"/>
      <c r="BT48" s="187"/>
      <c r="BU48" s="187"/>
      <c r="BV48" s="187"/>
      <c r="BW48" s="187"/>
      <c r="BX48" s="187"/>
      <c r="BY48" s="187"/>
      <c r="BZ48" s="187"/>
      <c r="CA48" s="187"/>
      <c r="CB48" s="187"/>
      <c r="CC48" s="187"/>
      <c r="CD48" s="187"/>
    </row>
    <row r="49" spans="2:82" s="41" customFormat="1" ht="27.75" customHeight="1">
      <c r="B49" s="171" t="s">
        <v>48</v>
      </c>
      <c r="C49" s="322" t="str">
        <f>IF(Admin!E19="","",Admin!E19)</f>
        <v/>
      </c>
      <c r="D49" s="323"/>
      <c r="E49" s="323"/>
      <c r="F49" s="323"/>
      <c r="G49" s="323"/>
      <c r="H49" s="215" t="str">
        <f>IF(Admin!F19="","",Admin!F19)</f>
        <v/>
      </c>
      <c r="I49" s="178"/>
      <c r="J49" s="178"/>
      <c r="K49" s="71">
        <f ca="1">IF(B49=Lists!Q$1,(J49-I49)-YK!F$3,J49-I49)</f>
        <v>0</v>
      </c>
      <c r="L49" s="171" t="s">
        <v>48</v>
      </c>
      <c r="M49" s="322" t="str">
        <f>IF(Admin!E39="","",Admin!E39)</f>
        <v/>
      </c>
      <c r="N49" s="323"/>
      <c r="O49" s="323"/>
      <c r="P49" s="323"/>
      <c r="Q49" s="215" t="str">
        <f>IF(Admin!F39="","",Admin!F39)</f>
        <v/>
      </c>
      <c r="R49" s="178"/>
      <c r="S49" s="178"/>
      <c r="T49" s="71">
        <f>IF(L49=Lists!AA$1,(S49-R49)-YK!P$3,S49-R49)</f>
        <v>0</v>
      </c>
      <c r="V49" s="329"/>
      <c r="W49" s="330"/>
      <c r="X49" s="330"/>
      <c r="Y49" s="331"/>
      <c r="Z49" s="236"/>
      <c r="AA49" s="237"/>
      <c r="AB49" s="237"/>
      <c r="AC49" s="238"/>
      <c r="AD49" s="239"/>
      <c r="AE49" s="240"/>
      <c r="AF49" s="240"/>
      <c r="AG49" s="240"/>
      <c r="AH49" s="240"/>
      <c r="AI49" s="240"/>
      <c r="AJ49" s="240"/>
      <c r="AK49" s="240"/>
      <c r="AL49" s="240"/>
      <c r="AM49" s="240"/>
      <c r="AN49" s="240"/>
      <c r="AO49" s="240"/>
      <c r="AP49" s="240"/>
      <c r="AQ49" s="240"/>
      <c r="AR49" s="240"/>
      <c r="AS49" s="240"/>
      <c r="AT49" s="240"/>
      <c r="AU49" s="240"/>
      <c r="AV49" s="240"/>
      <c r="AW49" s="233"/>
      <c r="AX49" s="187"/>
      <c r="AY49" s="187"/>
      <c r="AZ49" s="187"/>
      <c r="BA49" s="187"/>
      <c r="BB49" s="187"/>
      <c r="BC49" s="187"/>
      <c r="BD49" s="187"/>
      <c r="BE49" s="187"/>
      <c r="BF49" s="187"/>
      <c r="BG49" s="187"/>
      <c r="BH49" s="187"/>
      <c r="BI49" s="187"/>
      <c r="BJ49" s="187"/>
      <c r="BK49" s="187"/>
      <c r="BL49" s="187"/>
      <c r="BM49" s="187"/>
      <c r="BN49" s="187"/>
      <c r="BO49" s="187"/>
      <c r="BP49" s="187"/>
      <c r="BQ49" s="187"/>
      <c r="BR49" s="187"/>
      <c r="BS49" s="187"/>
      <c r="BT49" s="187"/>
      <c r="BU49" s="187"/>
      <c r="BV49" s="187"/>
      <c r="BW49" s="187"/>
      <c r="BX49" s="187"/>
      <c r="BY49" s="187"/>
      <c r="BZ49" s="187"/>
      <c r="CA49" s="187"/>
      <c r="CB49" s="187"/>
      <c r="CC49" s="187"/>
      <c r="CD49" s="187"/>
    </row>
    <row r="50" spans="2:82" s="41" customFormat="1" ht="27.75" customHeight="1">
      <c r="B50" s="171" t="s">
        <v>48</v>
      </c>
      <c r="C50" s="322" t="str">
        <f>IF(Admin!E20="","",Admin!E20)</f>
        <v/>
      </c>
      <c r="D50" s="323"/>
      <c r="E50" s="323"/>
      <c r="F50" s="323"/>
      <c r="G50" s="323"/>
      <c r="H50" s="215" t="str">
        <f>IF(Admin!F20="","",Admin!F20)</f>
        <v/>
      </c>
      <c r="I50" s="178"/>
      <c r="J50" s="178"/>
      <c r="K50" s="71">
        <f ca="1">IF(B50=Lists!Q$1,(J50-I50)-YK!F$3,J50-I50)</f>
        <v>0</v>
      </c>
      <c r="L50" s="171" t="s">
        <v>48</v>
      </c>
      <c r="M50" s="322" t="str">
        <f>IF(Admin!E40="","",Admin!E40)</f>
        <v/>
      </c>
      <c r="N50" s="323"/>
      <c r="O50" s="323"/>
      <c r="P50" s="323"/>
      <c r="Q50" s="215" t="str">
        <f>IF(Admin!F40="","",Admin!F40)</f>
        <v/>
      </c>
      <c r="R50" s="178"/>
      <c r="S50" s="178"/>
      <c r="T50" s="71">
        <f>IF(L50=Lists!AA$1,(S50-R50)-YK!P$3,S50-R50)</f>
        <v>0</v>
      </c>
      <c r="V50" s="329"/>
      <c r="W50" s="330"/>
      <c r="X50" s="330"/>
      <c r="Y50" s="331"/>
      <c r="Z50" s="236"/>
      <c r="AA50" s="237"/>
      <c r="AB50" s="237"/>
      <c r="AC50" s="238"/>
      <c r="AD50" s="239"/>
      <c r="AE50" s="240"/>
      <c r="AF50" s="240"/>
      <c r="AG50" s="240"/>
      <c r="AH50" s="240"/>
      <c r="AI50" s="240"/>
      <c r="AJ50" s="240"/>
      <c r="AK50" s="240"/>
      <c r="AL50" s="240"/>
      <c r="AM50" s="240"/>
      <c r="AN50" s="240"/>
      <c r="AO50" s="240"/>
      <c r="AP50" s="240"/>
      <c r="AQ50" s="240"/>
      <c r="AR50" s="240"/>
      <c r="AS50" s="240"/>
      <c r="AT50" s="240"/>
      <c r="AU50" s="240"/>
      <c r="AV50" s="240"/>
      <c r="AW50" s="233"/>
      <c r="AX50" s="187"/>
      <c r="AY50" s="187"/>
      <c r="AZ50" s="187"/>
      <c r="BA50" s="187"/>
      <c r="BB50" s="187"/>
      <c r="BC50" s="187"/>
      <c r="BD50" s="187"/>
      <c r="BE50" s="187"/>
      <c r="BF50" s="187"/>
      <c r="BG50" s="187"/>
      <c r="BH50" s="187"/>
      <c r="BI50" s="187"/>
      <c r="BJ50" s="187"/>
      <c r="BK50" s="187"/>
      <c r="BL50" s="187"/>
      <c r="BM50" s="187"/>
      <c r="BN50" s="187"/>
      <c r="BO50" s="187"/>
      <c r="BP50" s="187"/>
      <c r="BQ50" s="187"/>
      <c r="BR50" s="187"/>
      <c r="BS50" s="187"/>
      <c r="BT50" s="187"/>
      <c r="BU50" s="187"/>
      <c r="BV50" s="187"/>
      <c r="BW50" s="187"/>
      <c r="BX50" s="187"/>
      <c r="BY50" s="187"/>
      <c r="BZ50" s="187"/>
      <c r="CA50" s="187"/>
      <c r="CB50" s="187"/>
      <c r="CC50" s="187"/>
      <c r="CD50" s="187"/>
    </row>
    <row r="51" spans="2:82" s="41" customFormat="1" ht="27.75" customHeight="1">
      <c r="B51" s="171" t="s">
        <v>48</v>
      </c>
      <c r="C51" s="322" t="str">
        <f>IF(Admin!E21="","",Admin!E21)</f>
        <v/>
      </c>
      <c r="D51" s="323"/>
      <c r="E51" s="323"/>
      <c r="F51" s="323"/>
      <c r="G51" s="323"/>
      <c r="H51" s="215" t="str">
        <f>IF(Admin!F21="","",Admin!F21)</f>
        <v/>
      </c>
      <c r="I51" s="178"/>
      <c r="J51" s="178"/>
      <c r="K51" s="71">
        <f ca="1">IF(B51=Lists!Q$1,(J51-I51)-YK!F$3,J51-I51)</f>
        <v>0</v>
      </c>
      <c r="L51" s="171" t="s">
        <v>48</v>
      </c>
      <c r="M51" s="322" t="str">
        <f>IF(Admin!E41="","",Admin!E41)</f>
        <v/>
      </c>
      <c r="N51" s="323"/>
      <c r="O51" s="323"/>
      <c r="P51" s="323"/>
      <c r="Q51" s="215" t="str">
        <f>IF(Admin!F41="","",Admin!F41)</f>
        <v/>
      </c>
      <c r="R51" s="178"/>
      <c r="S51" s="178"/>
      <c r="T51" s="71">
        <f>IF(L51=Lists!AA$1,(S51-R51)-YK!P$3,S51-R51)</f>
        <v>0</v>
      </c>
      <c r="V51" s="329"/>
      <c r="W51" s="330"/>
      <c r="X51" s="330"/>
      <c r="Y51" s="331"/>
      <c r="Z51" s="236"/>
      <c r="AA51" s="237"/>
      <c r="AB51" s="237"/>
      <c r="AC51" s="238"/>
      <c r="AD51" s="239"/>
      <c r="AE51" s="240"/>
      <c r="AF51" s="240"/>
      <c r="AG51" s="240"/>
      <c r="AH51" s="240"/>
      <c r="AI51" s="240"/>
      <c r="AJ51" s="240"/>
      <c r="AK51" s="240"/>
      <c r="AL51" s="240"/>
      <c r="AM51" s="240"/>
      <c r="AN51" s="240"/>
      <c r="AO51" s="240"/>
      <c r="AP51" s="240"/>
      <c r="AQ51" s="240"/>
      <c r="AR51" s="240"/>
      <c r="AS51" s="240"/>
      <c r="AT51" s="240"/>
      <c r="AU51" s="240"/>
      <c r="AV51" s="240"/>
      <c r="AW51" s="233"/>
      <c r="AX51" s="187"/>
      <c r="AY51" s="187"/>
      <c r="AZ51" s="187"/>
      <c r="BA51" s="187"/>
      <c r="BB51" s="187"/>
      <c r="BC51" s="187"/>
      <c r="BD51" s="187"/>
      <c r="BE51" s="187"/>
      <c r="BF51" s="187"/>
      <c r="BG51" s="187"/>
      <c r="BH51" s="187"/>
      <c r="BI51" s="187"/>
      <c r="BJ51" s="187"/>
      <c r="BK51" s="187"/>
      <c r="BL51" s="187"/>
      <c r="BM51" s="187"/>
      <c r="BN51" s="187"/>
      <c r="BO51" s="187"/>
      <c r="BP51" s="187"/>
      <c r="BQ51" s="187"/>
      <c r="BR51" s="187"/>
      <c r="BS51" s="187"/>
      <c r="BT51" s="187"/>
      <c r="BU51" s="187"/>
      <c r="BV51" s="187"/>
      <c r="BW51" s="187"/>
      <c r="BX51" s="187"/>
      <c r="BY51" s="187"/>
      <c r="BZ51" s="187"/>
      <c r="CA51" s="187"/>
      <c r="CB51" s="187"/>
      <c r="CC51" s="187"/>
      <c r="CD51" s="187"/>
    </row>
    <row r="52" spans="2:82" s="41" customFormat="1" ht="27.75" customHeight="1" thickBot="1">
      <c r="B52" s="171" t="s">
        <v>48</v>
      </c>
      <c r="C52" s="337" t="str">
        <f>IF(Admin!E22="","",Admin!E22)</f>
        <v/>
      </c>
      <c r="D52" s="338"/>
      <c r="E52" s="338"/>
      <c r="F52" s="338"/>
      <c r="G52" s="338"/>
      <c r="H52" s="216" t="str">
        <f>IF(Admin!F22="","",Admin!F22)</f>
        <v/>
      </c>
      <c r="I52" s="179"/>
      <c r="J52" s="179"/>
      <c r="K52" s="72">
        <f ca="1">IF(B52=Lists!Q$1,(J52-I52)-YK!F$3,J52-I52)</f>
        <v>0</v>
      </c>
      <c r="L52" s="171" t="s">
        <v>48</v>
      </c>
      <c r="M52" s="337" t="str">
        <f>IF(Admin!E42="","",Admin!E42)</f>
        <v/>
      </c>
      <c r="N52" s="338"/>
      <c r="O52" s="338"/>
      <c r="P52" s="338"/>
      <c r="Q52" s="216" t="str">
        <f>IF(Admin!F42="","",Admin!F42)</f>
        <v/>
      </c>
      <c r="R52" s="179"/>
      <c r="S52" s="179"/>
      <c r="T52" s="72">
        <f>IF(L52=Lists!AA$1,(S52-R52)-YK!P$3,S52-R52)</f>
        <v>0</v>
      </c>
      <c r="V52" s="332"/>
      <c r="W52" s="333"/>
      <c r="X52" s="333"/>
      <c r="Y52" s="334"/>
      <c r="Z52" s="246"/>
      <c r="AA52" s="247"/>
      <c r="AB52" s="247"/>
      <c r="AC52" s="248"/>
      <c r="AD52" s="249"/>
      <c r="AE52" s="250"/>
      <c r="AF52" s="250"/>
      <c r="AG52" s="250"/>
      <c r="AH52" s="250"/>
      <c r="AI52" s="250"/>
      <c r="AJ52" s="250"/>
      <c r="AK52" s="250"/>
      <c r="AL52" s="250"/>
      <c r="AM52" s="250"/>
      <c r="AN52" s="250"/>
      <c r="AO52" s="250"/>
      <c r="AP52" s="250"/>
      <c r="AQ52" s="250"/>
      <c r="AR52" s="250"/>
      <c r="AS52" s="250"/>
      <c r="AT52" s="250"/>
      <c r="AU52" s="250"/>
      <c r="AV52" s="250"/>
      <c r="AW52" s="235"/>
      <c r="AX52" s="187"/>
      <c r="AY52" s="187"/>
      <c r="AZ52" s="187"/>
      <c r="BA52" s="187"/>
      <c r="BB52" s="187"/>
      <c r="BC52" s="187"/>
      <c r="BD52" s="187"/>
      <c r="BE52" s="187"/>
      <c r="BF52" s="187"/>
      <c r="BG52" s="187"/>
      <c r="BH52" s="187"/>
      <c r="BI52" s="187"/>
      <c r="BJ52" s="187"/>
      <c r="BK52" s="187"/>
      <c r="BL52" s="187"/>
      <c r="BM52" s="187"/>
      <c r="BN52" s="187"/>
      <c r="BO52" s="187"/>
      <c r="BP52" s="187"/>
      <c r="BQ52" s="187"/>
      <c r="BR52" s="187"/>
      <c r="BS52" s="187"/>
      <c r="BT52" s="187"/>
      <c r="BU52" s="187"/>
      <c r="BV52" s="187"/>
      <c r="BW52" s="187"/>
      <c r="BX52" s="187"/>
      <c r="BY52" s="187"/>
      <c r="BZ52" s="187"/>
      <c r="CA52" s="187"/>
      <c r="CB52" s="187"/>
      <c r="CC52" s="187"/>
      <c r="CD52" s="187"/>
    </row>
    <row r="53" spans="2:82" s="41" customFormat="1" ht="27.95" customHeight="1">
      <c r="B53" s="171" t="s">
        <v>48</v>
      </c>
      <c r="C53" s="335"/>
      <c r="D53" s="335"/>
      <c r="E53" s="335"/>
      <c r="F53" s="335"/>
      <c r="G53" s="335"/>
      <c r="H53" s="82"/>
      <c r="I53" s="67"/>
      <c r="J53" s="67"/>
      <c r="K53" s="67"/>
      <c r="L53" s="81"/>
      <c r="M53" s="201"/>
      <c r="N53" s="201"/>
      <c r="O53" s="201"/>
      <c r="P53" s="201"/>
      <c r="Q53" s="201"/>
      <c r="R53" s="201"/>
      <c r="S53" s="201"/>
      <c r="T53" s="201"/>
      <c r="U53" s="201"/>
      <c r="V53" s="336"/>
      <c r="W53" s="336"/>
      <c r="X53" s="336"/>
      <c r="Y53" s="336"/>
      <c r="Z53" s="336"/>
      <c r="AA53" s="336"/>
      <c r="AB53" s="336"/>
      <c r="AC53" s="219"/>
      <c r="AD53" s="219"/>
      <c r="AE53" s="201"/>
      <c r="AF53" s="201"/>
      <c r="AG53" s="201"/>
      <c r="AH53" s="201"/>
      <c r="AI53" s="201"/>
      <c r="AK53" s="67"/>
      <c r="AL53" s="67"/>
      <c r="AX53" s="187"/>
      <c r="AY53" s="187"/>
      <c r="AZ53" s="187"/>
      <c r="BA53" s="187"/>
      <c r="BB53" s="187"/>
      <c r="BC53" s="187"/>
      <c r="BD53" s="187"/>
      <c r="BE53" s="187"/>
      <c r="BF53" s="187"/>
      <c r="BG53" s="187"/>
      <c r="BH53" s="187"/>
      <c r="BI53" s="187"/>
      <c r="BJ53" s="187"/>
      <c r="BK53" s="187"/>
      <c r="BL53" s="187"/>
      <c r="BM53" s="187"/>
      <c r="BN53" s="187"/>
      <c r="BO53" s="187"/>
      <c r="BP53" s="187"/>
      <c r="BQ53" s="187"/>
      <c r="BR53" s="187"/>
      <c r="BS53" s="187"/>
      <c r="BT53" s="187"/>
      <c r="BU53" s="187"/>
      <c r="BV53" s="187"/>
      <c r="BW53" s="187"/>
      <c r="BX53" s="187"/>
      <c r="BY53" s="187"/>
      <c r="BZ53" s="187"/>
      <c r="CA53" s="187"/>
      <c r="CB53" s="187"/>
      <c r="CC53" s="187"/>
      <c r="CD53" s="187"/>
    </row>
    <row r="54" spans="2:82" s="41" customFormat="1" ht="19.5" hidden="1" customHeight="1" thickBot="1">
      <c r="B54" s="171"/>
      <c r="C54" s="327" t="str">
        <f>C41</f>
        <v>AM Bar</v>
      </c>
      <c r="D54" s="328"/>
      <c r="E54" s="328"/>
      <c r="F54" s="328"/>
      <c r="G54" s="328"/>
      <c r="H54" s="173" t="str">
        <f>H41</f>
        <v>AMB</v>
      </c>
      <c r="I54" s="67"/>
      <c r="J54" s="67"/>
      <c r="K54" s="67"/>
      <c r="L54" s="81"/>
      <c r="M54" s="201"/>
      <c r="N54" s="201"/>
      <c r="O54" s="201"/>
      <c r="P54" s="201"/>
      <c r="Q54" s="201"/>
      <c r="R54" s="201"/>
      <c r="S54" s="201"/>
      <c r="T54" s="201"/>
      <c r="U54" s="201"/>
      <c r="V54" s="226"/>
      <c r="W54" s="226"/>
      <c r="X54" s="226"/>
      <c r="Y54" s="226"/>
      <c r="Z54" s="226"/>
      <c r="AA54" s="226"/>
      <c r="AB54" s="226"/>
      <c r="AC54" s="219"/>
      <c r="AD54" s="219"/>
      <c r="AE54" s="201"/>
      <c r="AF54" s="201"/>
      <c r="AG54" s="201"/>
      <c r="AH54" s="201"/>
      <c r="AI54" s="201"/>
      <c r="AK54" s="67"/>
      <c r="AL54" s="67"/>
      <c r="AX54" s="187"/>
      <c r="AY54" s="187"/>
      <c r="AZ54" s="187"/>
      <c r="BA54" s="187"/>
      <c r="BB54" s="187"/>
      <c r="BC54" s="187"/>
      <c r="BD54" s="187"/>
      <c r="BE54" s="187"/>
      <c r="BF54" s="187"/>
      <c r="BG54" s="187"/>
      <c r="BH54" s="187"/>
      <c r="BI54" s="187"/>
      <c r="BJ54" s="187"/>
      <c r="BK54" s="187"/>
      <c r="BL54" s="187"/>
      <c r="BM54" s="187"/>
      <c r="BN54" s="187"/>
      <c r="BO54" s="187"/>
      <c r="BP54" s="187"/>
      <c r="BQ54" s="187"/>
      <c r="BR54" s="187"/>
      <c r="BS54" s="187"/>
      <c r="BT54" s="187"/>
      <c r="BU54" s="187"/>
      <c r="BV54" s="187"/>
      <c r="BW54" s="187"/>
      <c r="BX54" s="187"/>
      <c r="BY54" s="187"/>
      <c r="BZ54" s="187"/>
      <c r="CA54" s="187"/>
      <c r="CB54" s="187"/>
      <c r="CC54" s="187"/>
      <c r="CD54" s="187"/>
    </row>
    <row r="55" spans="2:82" s="41" customFormat="1" ht="19.5" hidden="1" customHeight="1" thickBot="1">
      <c r="B55" s="171"/>
      <c r="C55" s="327" t="str">
        <f t="shared" ref="C55:C60" si="3">C42</f>
        <v>PM Bar</v>
      </c>
      <c r="D55" s="328"/>
      <c r="E55" s="328"/>
      <c r="F55" s="328"/>
      <c r="G55" s="328"/>
      <c r="H55" s="173" t="str">
        <f t="shared" ref="H55:H60" si="4">H42</f>
        <v>PMB</v>
      </c>
      <c r="I55" s="67"/>
      <c r="J55" s="67"/>
      <c r="K55" s="67"/>
      <c r="L55" s="81"/>
      <c r="M55" s="201"/>
      <c r="N55" s="201"/>
      <c r="O55" s="201"/>
      <c r="P55" s="201"/>
      <c r="Q55" s="201"/>
      <c r="R55" s="201"/>
      <c r="S55" s="201"/>
      <c r="T55" s="201"/>
      <c r="U55" s="201"/>
      <c r="V55" s="226"/>
      <c r="W55" s="226"/>
      <c r="X55" s="226"/>
      <c r="Y55" s="226"/>
      <c r="Z55" s="226"/>
      <c r="AA55" s="226"/>
      <c r="AB55" s="226"/>
      <c r="AC55" s="219"/>
      <c r="AD55" s="219"/>
      <c r="AE55" s="201"/>
      <c r="AF55" s="201"/>
      <c r="AG55" s="201"/>
      <c r="AH55" s="201"/>
      <c r="AI55" s="201"/>
      <c r="AK55" s="67"/>
      <c r="AL55" s="67"/>
      <c r="AX55" s="187"/>
      <c r="AY55" s="187"/>
      <c r="AZ55" s="187"/>
      <c r="BA55" s="187"/>
      <c r="BB55" s="187"/>
      <c r="BC55" s="187"/>
      <c r="BD55" s="187"/>
      <c r="BE55" s="187"/>
      <c r="BF55" s="187"/>
      <c r="BG55" s="187"/>
      <c r="BH55" s="187"/>
      <c r="BI55" s="187"/>
      <c r="BJ55" s="187"/>
      <c r="BK55" s="187"/>
      <c r="BL55" s="187"/>
      <c r="BM55" s="187"/>
      <c r="BN55" s="187"/>
      <c r="BO55" s="187"/>
      <c r="BP55" s="187"/>
      <c r="BQ55" s="187"/>
      <c r="BR55" s="187"/>
      <c r="BS55" s="187"/>
      <c r="BT55" s="187"/>
      <c r="BU55" s="187"/>
      <c r="BV55" s="187"/>
      <c r="BW55" s="187"/>
      <c r="BX55" s="187"/>
      <c r="BY55" s="187"/>
      <c r="BZ55" s="187"/>
      <c r="CA55" s="187"/>
      <c r="CB55" s="187"/>
      <c r="CC55" s="187"/>
      <c r="CD55" s="187"/>
    </row>
    <row r="56" spans="2:82" s="41" customFormat="1" ht="19.5" hidden="1" customHeight="1" thickBot="1">
      <c r="B56" s="171"/>
      <c r="C56" s="327" t="str">
        <f t="shared" si="3"/>
        <v>MiD 4h</v>
      </c>
      <c r="D56" s="328"/>
      <c r="E56" s="328"/>
      <c r="F56" s="328"/>
      <c r="G56" s="328"/>
      <c r="H56" s="173" t="str">
        <f t="shared" si="4"/>
        <v>MI4</v>
      </c>
      <c r="I56" s="67"/>
      <c r="J56" s="67"/>
      <c r="K56" s="67"/>
      <c r="L56" s="81"/>
      <c r="M56" s="201"/>
      <c r="N56" s="201"/>
      <c r="O56" s="201"/>
      <c r="P56" s="201"/>
      <c r="Q56" s="201"/>
      <c r="R56" s="201"/>
      <c r="S56" s="201"/>
      <c r="T56" s="201"/>
      <c r="U56" s="201"/>
      <c r="V56" s="226"/>
      <c r="W56" s="226"/>
      <c r="X56" s="226"/>
      <c r="Y56" s="226"/>
      <c r="Z56" s="226"/>
      <c r="AA56" s="226"/>
      <c r="AB56" s="226"/>
      <c r="AC56" s="219"/>
      <c r="AD56" s="219"/>
      <c r="AE56" s="201"/>
      <c r="AF56" s="201"/>
      <c r="AG56" s="201"/>
      <c r="AH56" s="201"/>
      <c r="AI56" s="201"/>
      <c r="AK56" s="67"/>
      <c r="AL56" s="67"/>
      <c r="AX56" s="187"/>
      <c r="AY56" s="187"/>
      <c r="AZ56" s="187"/>
      <c r="BA56" s="187"/>
      <c r="BB56" s="187"/>
      <c r="BC56" s="187"/>
      <c r="BD56" s="187"/>
      <c r="BE56" s="187"/>
      <c r="BF56" s="187"/>
      <c r="BG56" s="187"/>
      <c r="BH56" s="187"/>
      <c r="BI56" s="187"/>
      <c r="BJ56" s="187"/>
      <c r="BK56" s="187"/>
      <c r="BL56" s="187"/>
      <c r="BM56" s="187"/>
      <c r="BN56" s="187"/>
      <c r="BO56" s="187"/>
      <c r="BP56" s="187"/>
      <c r="BQ56" s="187"/>
      <c r="BR56" s="187"/>
      <c r="BS56" s="187"/>
      <c r="BT56" s="187"/>
      <c r="BU56" s="187"/>
      <c r="BV56" s="187"/>
      <c r="BW56" s="187"/>
      <c r="BX56" s="187"/>
      <c r="BY56" s="187"/>
      <c r="BZ56" s="187"/>
      <c r="CA56" s="187"/>
      <c r="CB56" s="187"/>
      <c r="CC56" s="187"/>
      <c r="CD56" s="187"/>
    </row>
    <row r="57" spans="2:82" s="41" customFormat="1" ht="19.5" hidden="1" customHeight="1" thickBot="1">
      <c r="B57" s="171"/>
      <c r="C57" s="327" t="str">
        <f t="shared" si="3"/>
        <v>Business Trip</v>
      </c>
      <c r="D57" s="328"/>
      <c r="E57" s="328"/>
      <c r="F57" s="328"/>
      <c r="G57" s="328"/>
      <c r="H57" s="173" t="str">
        <f t="shared" si="4"/>
        <v>BT</v>
      </c>
      <c r="I57" s="67"/>
      <c r="J57" s="67"/>
      <c r="K57" s="67"/>
      <c r="L57" s="81"/>
      <c r="M57" s="201"/>
      <c r="N57" s="201"/>
      <c r="O57" s="201"/>
      <c r="P57" s="201"/>
      <c r="Q57" s="201"/>
      <c r="R57" s="201"/>
      <c r="S57" s="201"/>
      <c r="T57" s="201"/>
      <c r="U57" s="201"/>
      <c r="V57" s="226"/>
      <c r="W57" s="226"/>
      <c r="X57" s="226"/>
      <c r="Y57" s="226"/>
      <c r="Z57" s="226"/>
      <c r="AA57" s="226"/>
      <c r="AB57" s="226"/>
      <c r="AC57" s="219"/>
      <c r="AD57" s="219"/>
      <c r="AE57" s="201"/>
      <c r="AF57" s="201"/>
      <c r="AG57" s="201"/>
      <c r="AH57" s="201"/>
      <c r="AI57" s="201"/>
      <c r="AK57" s="67"/>
      <c r="AL57" s="67"/>
      <c r="AX57" s="187"/>
      <c r="AY57" s="187"/>
      <c r="AZ57" s="187"/>
      <c r="BA57" s="187"/>
      <c r="BB57" s="187"/>
      <c r="BC57" s="187"/>
      <c r="BD57" s="187"/>
      <c r="BE57" s="187"/>
      <c r="BF57" s="187"/>
      <c r="BG57" s="187"/>
      <c r="BH57" s="187"/>
      <c r="BI57" s="187"/>
      <c r="BJ57" s="187"/>
      <c r="BK57" s="187"/>
      <c r="BL57" s="187"/>
      <c r="BM57" s="187"/>
      <c r="BN57" s="187"/>
      <c r="BO57" s="187"/>
      <c r="BP57" s="187"/>
      <c r="BQ57" s="187"/>
      <c r="BR57" s="187"/>
      <c r="BS57" s="187"/>
      <c r="BT57" s="187"/>
      <c r="BU57" s="187"/>
      <c r="BV57" s="187"/>
      <c r="BW57" s="187"/>
      <c r="BX57" s="187"/>
      <c r="BY57" s="187"/>
      <c r="BZ57" s="187"/>
      <c r="CA57" s="187"/>
      <c r="CB57" s="187"/>
      <c r="CC57" s="187"/>
      <c r="CD57" s="187"/>
    </row>
    <row r="58" spans="2:82" s="41" customFormat="1" ht="19.5" hidden="1" customHeight="1" thickBot="1">
      <c r="B58" s="171"/>
      <c r="C58" s="327" t="str">
        <f t="shared" si="3"/>
        <v/>
      </c>
      <c r="D58" s="328"/>
      <c r="E58" s="328"/>
      <c r="F58" s="328"/>
      <c r="G58" s="328"/>
      <c r="H58" s="173" t="str">
        <f t="shared" si="4"/>
        <v/>
      </c>
      <c r="I58" s="67"/>
      <c r="J58" s="67"/>
      <c r="K58" s="67"/>
      <c r="L58" s="81"/>
      <c r="M58" s="201"/>
      <c r="N58" s="201"/>
      <c r="O58" s="201"/>
      <c r="P58" s="201"/>
      <c r="Q58" s="201"/>
      <c r="R58" s="201"/>
      <c r="S58" s="201"/>
      <c r="T58" s="201"/>
      <c r="U58" s="201"/>
      <c r="V58" s="226"/>
      <c r="W58" s="226"/>
      <c r="X58" s="226"/>
      <c r="Y58" s="226"/>
      <c r="Z58" s="226"/>
      <c r="AA58" s="226"/>
      <c r="AB58" s="226"/>
      <c r="AC58" s="219"/>
      <c r="AD58" s="219"/>
      <c r="AE58" s="201"/>
      <c r="AF58" s="201"/>
      <c r="AG58" s="201"/>
      <c r="AH58" s="201"/>
      <c r="AI58" s="201"/>
      <c r="AK58" s="67"/>
      <c r="AL58" s="67"/>
      <c r="AX58" s="187"/>
      <c r="AY58" s="187"/>
      <c r="AZ58" s="187"/>
      <c r="BA58" s="187"/>
      <c r="BB58" s="187"/>
      <c r="BC58" s="187"/>
      <c r="BD58" s="187"/>
      <c r="BE58" s="187"/>
      <c r="BF58" s="187"/>
      <c r="BG58" s="187"/>
      <c r="BH58" s="187"/>
      <c r="BI58" s="187"/>
      <c r="BJ58" s="187"/>
      <c r="BK58" s="187"/>
      <c r="BL58" s="187"/>
      <c r="BM58" s="187"/>
      <c r="BN58" s="187"/>
      <c r="BO58" s="187"/>
      <c r="BP58" s="187"/>
      <c r="BQ58" s="187"/>
      <c r="BR58" s="187"/>
      <c r="BS58" s="187"/>
      <c r="BT58" s="187"/>
      <c r="BU58" s="187"/>
      <c r="BV58" s="187"/>
      <c r="BW58" s="187"/>
      <c r="BX58" s="187"/>
      <c r="BY58" s="187"/>
      <c r="BZ58" s="187"/>
      <c r="CA58" s="187"/>
      <c r="CB58" s="187"/>
      <c r="CC58" s="187"/>
      <c r="CD58" s="187"/>
    </row>
    <row r="59" spans="2:82" s="41" customFormat="1" ht="19.5" hidden="1" customHeight="1" thickBot="1">
      <c r="B59" s="171"/>
      <c r="C59" s="327" t="str">
        <f t="shared" si="3"/>
        <v/>
      </c>
      <c r="D59" s="328"/>
      <c r="E59" s="328"/>
      <c r="F59" s="328"/>
      <c r="G59" s="328"/>
      <c r="H59" s="173" t="str">
        <f t="shared" si="4"/>
        <v/>
      </c>
      <c r="I59" s="67"/>
      <c r="J59" s="67"/>
      <c r="K59" s="67"/>
      <c r="L59" s="81"/>
      <c r="M59" s="201"/>
      <c r="N59" s="201"/>
      <c r="O59" s="201"/>
      <c r="P59" s="201"/>
      <c r="Q59" s="201"/>
      <c r="R59" s="201"/>
      <c r="S59" s="201"/>
      <c r="T59" s="201"/>
      <c r="U59" s="201"/>
      <c r="V59" s="226"/>
      <c r="W59" s="226"/>
      <c r="X59" s="226"/>
      <c r="Y59" s="226"/>
      <c r="Z59" s="226"/>
      <c r="AA59" s="226"/>
      <c r="AB59" s="226"/>
      <c r="AC59" s="219"/>
      <c r="AD59" s="219"/>
      <c r="AE59" s="201"/>
      <c r="AF59" s="201"/>
      <c r="AG59" s="201"/>
      <c r="AH59" s="201"/>
      <c r="AI59" s="201"/>
      <c r="AK59" s="67"/>
      <c r="AL59" s="67"/>
      <c r="AX59" s="187"/>
      <c r="AY59" s="187"/>
      <c r="AZ59" s="187"/>
      <c r="BA59" s="187"/>
      <c r="BB59" s="187"/>
      <c r="BC59" s="187"/>
      <c r="BD59" s="187"/>
      <c r="BE59" s="187"/>
      <c r="BF59" s="187"/>
      <c r="BG59" s="187"/>
      <c r="BH59" s="187"/>
      <c r="BI59" s="187"/>
      <c r="BJ59" s="187"/>
      <c r="BK59" s="187"/>
      <c r="BL59" s="187"/>
      <c r="BM59" s="187"/>
      <c r="BN59" s="187"/>
      <c r="BO59" s="187"/>
      <c r="BP59" s="187"/>
      <c r="BQ59" s="187"/>
      <c r="BR59" s="187"/>
      <c r="BS59" s="187"/>
      <c r="BT59" s="187"/>
      <c r="BU59" s="187"/>
      <c r="BV59" s="187"/>
      <c r="BW59" s="187"/>
      <c r="BX59" s="187"/>
      <c r="BY59" s="187"/>
      <c r="BZ59" s="187"/>
      <c r="CA59" s="187"/>
      <c r="CB59" s="187"/>
      <c r="CC59" s="187"/>
      <c r="CD59" s="187"/>
    </row>
    <row r="60" spans="2:82" s="41" customFormat="1" ht="19.5" hidden="1" customHeight="1" thickBot="1">
      <c r="B60" s="171"/>
      <c r="C60" s="327" t="str">
        <f t="shared" si="3"/>
        <v/>
      </c>
      <c r="D60" s="328"/>
      <c r="E60" s="328"/>
      <c r="F60" s="328"/>
      <c r="G60" s="328"/>
      <c r="H60" s="173" t="str">
        <f t="shared" si="4"/>
        <v/>
      </c>
      <c r="I60" s="67"/>
      <c r="J60" s="67"/>
      <c r="K60" s="67"/>
      <c r="L60" s="81"/>
      <c r="M60" s="201"/>
      <c r="N60" s="201"/>
      <c r="O60" s="201"/>
      <c r="P60" s="201"/>
      <c r="Q60" s="201"/>
      <c r="R60" s="201"/>
      <c r="S60" s="201"/>
      <c r="T60" s="201"/>
      <c r="U60" s="201"/>
      <c r="V60" s="226"/>
      <c r="W60" s="226"/>
      <c r="X60" s="226"/>
      <c r="Y60" s="226"/>
      <c r="Z60" s="226"/>
      <c r="AA60" s="226"/>
      <c r="AB60" s="226"/>
      <c r="AC60" s="219"/>
      <c r="AD60" s="219"/>
      <c r="AE60" s="201"/>
      <c r="AF60" s="201"/>
      <c r="AG60" s="201"/>
      <c r="AH60" s="201"/>
      <c r="AI60" s="201"/>
      <c r="AK60" s="67"/>
      <c r="AL60" s="67"/>
      <c r="AX60" s="187"/>
      <c r="AY60" s="187"/>
      <c r="AZ60" s="187"/>
      <c r="BA60" s="187"/>
      <c r="BB60" s="187"/>
      <c r="BC60" s="187"/>
      <c r="BD60" s="187"/>
      <c r="BE60" s="187"/>
      <c r="BF60" s="187"/>
      <c r="BG60" s="187"/>
      <c r="BH60" s="187"/>
      <c r="BI60" s="187"/>
      <c r="BJ60" s="187"/>
      <c r="BK60" s="187"/>
      <c r="BL60" s="187"/>
      <c r="BM60" s="187"/>
      <c r="BN60" s="187"/>
      <c r="BO60" s="187"/>
      <c r="BP60" s="187"/>
      <c r="BQ60" s="187"/>
      <c r="BR60" s="187"/>
      <c r="BS60" s="187"/>
      <c r="BT60" s="187"/>
      <c r="BU60" s="187"/>
      <c r="BV60" s="187"/>
      <c r="BW60" s="187"/>
      <c r="BX60" s="187"/>
      <c r="BY60" s="187"/>
      <c r="BZ60" s="187"/>
      <c r="CA60" s="187"/>
      <c r="CB60" s="187"/>
      <c r="CC60" s="187"/>
      <c r="CD60" s="187"/>
    </row>
    <row r="61" spans="2:82" s="41" customFormat="1" ht="19.5" hidden="1" customHeight="1">
      <c r="B61" s="171"/>
      <c r="C61" s="327" t="str">
        <f>Admin!E23</f>
        <v xml:space="preserve">NC </v>
      </c>
      <c r="D61" s="328"/>
      <c r="E61" s="328"/>
      <c r="F61" s="328"/>
      <c r="G61" s="328"/>
      <c r="H61" s="173" t="str">
        <f>Admin!F23</f>
        <v>NC</v>
      </c>
      <c r="I61" s="67"/>
      <c r="J61" s="67"/>
      <c r="K61" s="67"/>
      <c r="L61" s="81"/>
      <c r="M61" s="201"/>
      <c r="N61" s="201"/>
      <c r="O61" s="201"/>
      <c r="P61" s="201"/>
      <c r="Q61" s="201"/>
      <c r="R61" s="201"/>
      <c r="S61" s="201"/>
      <c r="T61" s="201"/>
      <c r="U61" s="201"/>
      <c r="V61" s="336"/>
      <c r="W61" s="336"/>
      <c r="X61" s="336"/>
      <c r="Y61" s="336"/>
      <c r="Z61" s="336"/>
      <c r="AA61" s="336"/>
      <c r="AB61" s="336"/>
      <c r="AC61" s="219"/>
      <c r="AD61" s="219"/>
      <c r="AE61" s="201"/>
      <c r="AF61" s="201"/>
      <c r="AG61" s="201"/>
      <c r="AH61" s="201"/>
      <c r="AI61" s="201"/>
      <c r="AK61" s="67"/>
      <c r="AL61" s="67"/>
      <c r="AX61" s="187"/>
      <c r="AY61" s="187"/>
      <c r="AZ61" s="187"/>
      <c r="BA61" s="187"/>
      <c r="BB61" s="187"/>
      <c r="BC61" s="187"/>
      <c r="BD61" s="187"/>
      <c r="BE61" s="187"/>
      <c r="BF61" s="187"/>
      <c r="BG61" s="187"/>
      <c r="BH61" s="187"/>
      <c r="BI61" s="187"/>
      <c r="BJ61" s="187"/>
      <c r="BK61" s="187"/>
      <c r="BL61" s="187"/>
      <c r="BM61" s="187"/>
      <c r="BN61" s="187"/>
      <c r="BO61" s="187"/>
      <c r="BP61" s="187"/>
      <c r="BQ61" s="187"/>
      <c r="BR61" s="187"/>
      <c r="BS61" s="187"/>
      <c r="BT61" s="187"/>
      <c r="BU61" s="187"/>
      <c r="BV61" s="187"/>
      <c r="BW61" s="187"/>
      <c r="BX61" s="187"/>
      <c r="BY61" s="187"/>
      <c r="BZ61" s="187"/>
      <c r="CA61" s="187"/>
      <c r="CB61" s="187"/>
      <c r="CC61" s="187"/>
      <c r="CD61" s="187"/>
    </row>
    <row r="62" spans="2:82" s="41" customFormat="1" ht="19.5" hidden="1" customHeight="1">
      <c r="B62" s="171"/>
      <c r="C62" s="325" t="str">
        <f>Admin!E24</f>
        <v>Szkolenie AM</v>
      </c>
      <c r="D62" s="326"/>
      <c r="E62" s="326"/>
      <c r="F62" s="326"/>
      <c r="G62" s="326"/>
      <c r="H62" s="163" t="str">
        <f>Admin!F24</f>
        <v>TAM</v>
      </c>
      <c r="I62" s="67"/>
      <c r="J62" s="67"/>
      <c r="K62" s="67"/>
      <c r="L62" s="81"/>
      <c r="M62" s="201"/>
      <c r="N62" s="201"/>
      <c r="O62" s="201"/>
      <c r="P62" s="201"/>
      <c r="Q62" s="201"/>
      <c r="R62" s="201"/>
      <c r="S62" s="201"/>
      <c r="T62" s="201"/>
      <c r="U62" s="201"/>
      <c r="V62" s="336"/>
      <c r="W62" s="336"/>
      <c r="X62" s="336"/>
      <c r="Y62" s="336"/>
      <c r="Z62" s="336"/>
      <c r="AA62" s="336"/>
      <c r="AB62" s="336"/>
      <c r="AC62" s="219"/>
      <c r="AD62" s="219"/>
      <c r="AE62" s="201"/>
      <c r="AF62" s="201"/>
      <c r="AG62" s="201"/>
      <c r="AH62" s="201"/>
      <c r="AI62" s="201"/>
      <c r="AK62" s="67"/>
      <c r="AL62" s="67"/>
      <c r="AX62" s="187"/>
      <c r="AY62" s="187"/>
      <c r="AZ62" s="187"/>
      <c r="BA62" s="187"/>
      <c r="BB62" s="187"/>
      <c r="BC62" s="187"/>
      <c r="BD62" s="187"/>
      <c r="BE62" s="187"/>
      <c r="BF62" s="187"/>
      <c r="BG62" s="187"/>
      <c r="BH62" s="187"/>
      <c r="BI62" s="187"/>
      <c r="BJ62" s="187"/>
      <c r="BK62" s="187"/>
      <c r="BL62" s="187"/>
      <c r="BM62" s="187"/>
      <c r="BN62" s="187"/>
      <c r="BO62" s="187"/>
      <c r="BP62" s="187"/>
      <c r="BQ62" s="187"/>
      <c r="BR62" s="187"/>
      <c r="BS62" s="187"/>
      <c r="BT62" s="187"/>
      <c r="BU62" s="187"/>
      <c r="BV62" s="187"/>
      <c r="BW62" s="187"/>
      <c r="BX62" s="187"/>
      <c r="BY62" s="187"/>
      <c r="BZ62" s="187"/>
      <c r="CA62" s="187"/>
      <c r="CB62" s="187"/>
      <c r="CC62" s="187"/>
      <c r="CD62" s="187"/>
    </row>
    <row r="63" spans="2:82" s="41" customFormat="1" ht="19.5" hidden="1" customHeight="1">
      <c r="B63" s="171"/>
      <c r="C63" s="325" t="str">
        <f>Admin!E25</f>
        <v>Szkolenie PM</v>
      </c>
      <c r="D63" s="326"/>
      <c r="E63" s="326"/>
      <c r="F63" s="326"/>
      <c r="G63" s="326"/>
      <c r="H63" s="163" t="str">
        <f>Admin!F25</f>
        <v>TPM</v>
      </c>
      <c r="I63" s="67"/>
      <c r="J63" s="67"/>
      <c r="K63" s="67"/>
      <c r="L63" s="81"/>
      <c r="M63" s="201"/>
      <c r="N63" s="201"/>
      <c r="O63" s="201"/>
      <c r="P63" s="201"/>
      <c r="Q63" s="201"/>
      <c r="R63" s="201"/>
      <c r="S63" s="201"/>
      <c r="T63" s="201"/>
      <c r="U63" s="201"/>
      <c r="V63" s="336"/>
      <c r="W63" s="336"/>
      <c r="X63" s="336"/>
      <c r="Y63" s="336"/>
      <c r="Z63" s="336"/>
      <c r="AA63" s="336"/>
      <c r="AB63" s="336"/>
      <c r="AC63" s="219"/>
      <c r="AD63" s="219"/>
      <c r="AE63" s="201"/>
      <c r="AF63" s="201"/>
      <c r="AG63" s="201"/>
      <c r="AH63" s="201"/>
      <c r="AI63" s="201"/>
      <c r="AK63" s="67"/>
      <c r="AL63" s="67"/>
      <c r="AX63" s="187"/>
      <c r="AY63" s="187"/>
      <c r="AZ63" s="187"/>
      <c r="BA63" s="187"/>
      <c r="BB63" s="187"/>
      <c r="BC63" s="187"/>
      <c r="BD63" s="187"/>
      <c r="BE63" s="187"/>
      <c r="BF63" s="187"/>
      <c r="BG63" s="187"/>
      <c r="BH63" s="187"/>
      <c r="BI63" s="187"/>
      <c r="BJ63" s="187"/>
      <c r="BK63" s="187"/>
      <c r="BL63" s="187"/>
      <c r="BM63" s="187"/>
      <c r="BN63" s="187"/>
      <c r="BO63" s="187"/>
      <c r="BP63" s="187"/>
      <c r="BQ63" s="187"/>
      <c r="BR63" s="187"/>
      <c r="BS63" s="187"/>
      <c r="BT63" s="187"/>
      <c r="BU63" s="187"/>
      <c r="BV63" s="187"/>
      <c r="BW63" s="187"/>
      <c r="BX63" s="187"/>
      <c r="BY63" s="187"/>
      <c r="BZ63" s="187"/>
      <c r="CA63" s="187"/>
      <c r="CB63" s="187"/>
      <c r="CC63" s="187"/>
      <c r="CD63" s="187"/>
    </row>
    <row r="64" spans="2:82" s="41" customFormat="1" ht="19.5" hidden="1" customHeight="1">
      <c r="B64" s="171"/>
      <c r="C64" s="325" t="str">
        <f>Admin!E26</f>
        <v>Odbiór nadgodziny</v>
      </c>
      <c r="D64" s="326"/>
      <c r="E64" s="326"/>
      <c r="F64" s="326"/>
      <c r="G64" s="326"/>
      <c r="H64" s="163" t="str">
        <f>Admin!F26</f>
        <v>RET</v>
      </c>
      <c r="I64" s="67"/>
      <c r="J64" s="67"/>
      <c r="K64" s="67"/>
      <c r="L64" s="81"/>
      <c r="M64" s="201"/>
      <c r="N64" s="201"/>
      <c r="O64" s="201"/>
      <c r="P64" s="201"/>
      <c r="Q64" s="201"/>
      <c r="R64" s="201"/>
      <c r="S64" s="201"/>
      <c r="T64" s="201"/>
      <c r="U64" s="201"/>
      <c r="V64" s="697"/>
      <c r="W64" s="697"/>
      <c r="X64" s="697"/>
      <c r="Y64" s="697"/>
      <c r="Z64" s="697"/>
      <c r="AA64" s="697"/>
      <c r="AB64" s="697"/>
      <c r="AC64" s="219"/>
      <c r="AD64" s="219"/>
      <c r="AE64" s="201"/>
      <c r="AF64" s="201"/>
      <c r="AG64" s="201"/>
      <c r="AH64" s="201"/>
      <c r="AI64" s="201"/>
      <c r="AK64" s="67"/>
      <c r="AL64" s="67"/>
      <c r="AX64" s="187"/>
      <c r="AY64" s="187"/>
      <c r="AZ64" s="187"/>
      <c r="BA64" s="187"/>
      <c r="BB64" s="187"/>
      <c r="BC64" s="187"/>
      <c r="BD64" s="187"/>
      <c r="BE64" s="187"/>
      <c r="BF64" s="187"/>
      <c r="BG64" s="187"/>
      <c r="BH64" s="187"/>
      <c r="BI64" s="187"/>
      <c r="BJ64" s="187"/>
      <c r="BK64" s="187"/>
      <c r="BL64" s="187"/>
      <c r="BM64" s="187"/>
      <c r="BN64" s="187"/>
      <c r="BO64" s="187"/>
      <c r="BP64" s="187"/>
      <c r="BQ64" s="187"/>
      <c r="BR64" s="187"/>
      <c r="BS64" s="187"/>
      <c r="BT64" s="187"/>
      <c r="BU64" s="187"/>
      <c r="BV64" s="187"/>
      <c r="BW64" s="187"/>
      <c r="BX64" s="187"/>
      <c r="BY64" s="187"/>
      <c r="BZ64" s="187"/>
      <c r="CA64" s="187"/>
      <c r="CB64" s="187"/>
      <c r="CC64" s="187"/>
      <c r="CD64" s="187"/>
    </row>
    <row r="65" spans="2:82" s="41" customFormat="1" ht="19.5" hidden="1" customHeight="1">
      <c r="B65" s="171"/>
      <c r="C65" s="325" t="str">
        <f>Admin!E27</f>
        <v>Training</v>
      </c>
      <c r="D65" s="326"/>
      <c r="E65" s="326"/>
      <c r="F65" s="326"/>
      <c r="G65" s="326"/>
      <c r="H65" s="163" t="str">
        <f>Admin!F27</f>
        <v>T</v>
      </c>
      <c r="I65" s="67"/>
      <c r="J65" s="67"/>
      <c r="K65" s="67"/>
      <c r="L65" s="81"/>
      <c r="M65" s="201"/>
      <c r="N65" s="201"/>
      <c r="O65" s="201"/>
      <c r="P65" s="201"/>
      <c r="Q65" s="201"/>
      <c r="R65" s="201"/>
      <c r="S65" s="201"/>
      <c r="T65" s="201"/>
      <c r="U65" s="201"/>
      <c r="V65" s="202"/>
      <c r="W65" s="202"/>
      <c r="X65" s="202"/>
      <c r="Y65" s="81"/>
      <c r="Z65" s="201"/>
      <c r="AA65" s="201"/>
      <c r="AB65" s="201"/>
      <c r="AC65" s="201"/>
      <c r="AD65" s="201"/>
      <c r="AE65" s="201"/>
      <c r="AF65" s="217"/>
      <c r="AG65" s="217"/>
      <c r="AH65" s="217"/>
      <c r="AI65" s="217"/>
      <c r="AK65" s="68"/>
      <c r="AL65" s="67"/>
      <c r="AX65" s="187"/>
      <c r="AY65" s="187"/>
      <c r="AZ65" s="187"/>
      <c r="BA65" s="187"/>
      <c r="BB65" s="187"/>
      <c r="BC65" s="187"/>
      <c r="BD65" s="187"/>
      <c r="BE65" s="187"/>
      <c r="BF65" s="187"/>
      <c r="BG65" s="187"/>
      <c r="BH65" s="187"/>
      <c r="BI65" s="187"/>
      <c r="BJ65" s="187"/>
      <c r="BK65" s="187"/>
      <c r="BL65" s="187"/>
      <c r="BM65" s="187"/>
      <c r="BN65" s="187"/>
      <c r="BO65" s="187"/>
      <c r="BP65" s="187"/>
      <c r="BQ65" s="187"/>
      <c r="BR65" s="187"/>
      <c r="BS65" s="187"/>
      <c r="BT65" s="187"/>
      <c r="BU65" s="187"/>
      <c r="BV65" s="187"/>
      <c r="BW65" s="187"/>
      <c r="BX65" s="187"/>
      <c r="BY65" s="187"/>
      <c r="BZ65" s="187"/>
      <c r="CA65" s="187"/>
      <c r="CB65" s="187"/>
      <c r="CC65" s="187"/>
      <c r="CD65" s="187"/>
    </row>
    <row r="66" spans="2:82" s="41" customFormat="1" ht="19.5" hidden="1" customHeight="1">
      <c r="B66" s="171"/>
      <c r="C66" s="325" t="str">
        <f>Admin!E28</f>
        <v>Praktyki dział PR</v>
      </c>
      <c r="D66" s="326"/>
      <c r="E66" s="326"/>
      <c r="F66" s="326"/>
      <c r="G66" s="326"/>
      <c r="H66" s="163" t="str">
        <f>Admin!F28</f>
        <v>PR</v>
      </c>
      <c r="I66" s="67"/>
      <c r="J66" s="67"/>
      <c r="K66" s="67"/>
      <c r="L66" s="81"/>
      <c r="M66" s="201"/>
      <c r="N66" s="201"/>
      <c r="O66" s="201"/>
      <c r="P66" s="201"/>
      <c r="Q66" s="201"/>
      <c r="R66" s="201"/>
      <c r="S66" s="201"/>
      <c r="T66" s="201"/>
      <c r="U66" s="201"/>
      <c r="V66" s="202"/>
      <c r="W66" s="202"/>
      <c r="X66" s="202"/>
      <c r="Y66" s="81"/>
      <c r="Z66" s="201"/>
      <c r="AA66" s="201"/>
      <c r="AB66" s="201"/>
      <c r="AC66" s="201"/>
      <c r="AD66" s="201"/>
      <c r="AE66" s="201"/>
      <c r="AX66" s="187"/>
      <c r="AY66" s="187"/>
      <c r="AZ66" s="187"/>
      <c r="BA66" s="187"/>
      <c r="BB66" s="187"/>
      <c r="BC66" s="187"/>
      <c r="BD66" s="187"/>
      <c r="BE66" s="187"/>
      <c r="BF66" s="187"/>
      <c r="BG66" s="187"/>
      <c r="BH66" s="187"/>
      <c r="BI66" s="187"/>
      <c r="BJ66" s="187"/>
      <c r="BK66" s="187"/>
      <c r="BL66" s="187"/>
      <c r="BM66" s="187"/>
      <c r="BN66" s="187"/>
      <c r="BO66" s="187"/>
      <c r="BP66" s="187"/>
      <c r="BQ66" s="187"/>
      <c r="BR66" s="187"/>
      <c r="BS66" s="187"/>
      <c r="BT66" s="187"/>
      <c r="BU66" s="187"/>
      <c r="BV66" s="187"/>
      <c r="BW66" s="187"/>
      <c r="BX66" s="187"/>
      <c r="BY66" s="187"/>
      <c r="BZ66" s="187"/>
      <c r="CA66" s="187"/>
      <c r="CB66" s="187"/>
      <c r="CC66" s="187"/>
      <c r="CD66" s="187"/>
    </row>
    <row r="67" spans="2:82" s="41" customFormat="1" ht="19.5" hidden="1" customHeight="1">
      <c r="B67" s="171"/>
      <c r="C67" s="325">
        <f>Admin!E29</f>
        <v>0</v>
      </c>
      <c r="D67" s="326"/>
      <c r="E67" s="326"/>
      <c r="F67" s="326"/>
      <c r="G67" s="326"/>
      <c r="H67" s="163">
        <f>Admin!F29</f>
        <v>0</v>
      </c>
      <c r="I67" s="67"/>
      <c r="J67" s="67"/>
      <c r="K67" s="67"/>
      <c r="L67" s="81"/>
      <c r="M67" s="201"/>
      <c r="N67" s="201"/>
      <c r="O67" s="201"/>
      <c r="P67" s="201"/>
      <c r="Q67" s="201"/>
      <c r="R67" s="201"/>
      <c r="S67" s="201"/>
      <c r="T67" s="201"/>
      <c r="U67" s="201"/>
      <c r="V67" s="202"/>
      <c r="W67" s="202"/>
      <c r="X67" s="202"/>
      <c r="Y67" s="81"/>
      <c r="Z67" s="201"/>
      <c r="AA67" s="201"/>
      <c r="AB67" s="201"/>
      <c r="AC67" s="201"/>
      <c r="AD67" s="201"/>
      <c r="AE67" s="201"/>
      <c r="AX67" s="187"/>
      <c r="AY67" s="187"/>
      <c r="AZ67" s="187"/>
      <c r="BA67" s="187"/>
      <c r="BB67" s="187"/>
      <c r="BC67" s="187"/>
      <c r="BD67" s="187"/>
      <c r="BE67" s="187"/>
      <c r="BF67" s="187"/>
      <c r="BG67" s="187"/>
      <c r="BH67" s="187"/>
      <c r="BI67" s="187"/>
      <c r="BJ67" s="187"/>
      <c r="BK67" s="187"/>
      <c r="BL67" s="187"/>
      <c r="BM67" s="187"/>
      <c r="BN67" s="187"/>
      <c r="BO67" s="187"/>
      <c r="BP67" s="187"/>
      <c r="BQ67" s="187"/>
      <c r="BR67" s="187"/>
      <c r="BS67" s="187"/>
      <c r="BT67" s="187"/>
      <c r="BU67" s="187"/>
      <c r="BV67" s="187"/>
      <c r="BW67" s="187"/>
      <c r="BX67" s="187"/>
      <c r="BY67" s="187"/>
      <c r="BZ67" s="187"/>
      <c r="CA67" s="187"/>
      <c r="CB67" s="187"/>
      <c r="CC67" s="187"/>
      <c r="CD67" s="187"/>
    </row>
    <row r="68" spans="2:82" s="41" customFormat="1" ht="19.5" hidden="1" customHeight="1">
      <c r="B68" s="171"/>
      <c r="C68" s="325">
        <f>Admin!E30</f>
        <v>0</v>
      </c>
      <c r="D68" s="326"/>
      <c r="E68" s="326"/>
      <c r="F68" s="326"/>
      <c r="G68" s="326"/>
      <c r="H68" s="163">
        <f>Admin!F30</f>
        <v>0</v>
      </c>
      <c r="I68" s="67"/>
      <c r="J68" s="67"/>
      <c r="K68" s="67"/>
      <c r="L68" s="81"/>
      <c r="M68" s="201"/>
      <c r="N68" s="201"/>
      <c r="O68" s="201"/>
      <c r="P68" s="201"/>
      <c r="Q68" s="201"/>
      <c r="R68" s="201"/>
      <c r="S68" s="201"/>
      <c r="T68" s="201"/>
      <c r="U68" s="201"/>
      <c r="V68" s="202"/>
      <c r="W68" s="202"/>
      <c r="X68" s="202"/>
      <c r="Y68" s="81"/>
      <c r="Z68" s="201"/>
      <c r="AA68" s="201"/>
      <c r="AB68" s="201"/>
      <c r="AC68" s="201"/>
      <c r="AD68" s="201"/>
      <c r="AE68" s="201"/>
      <c r="AX68" s="187"/>
      <c r="AY68" s="187"/>
      <c r="AZ68" s="187"/>
      <c r="BA68" s="187"/>
      <c r="BB68" s="187"/>
      <c r="BC68" s="187"/>
      <c r="BD68" s="187"/>
      <c r="BE68" s="187"/>
      <c r="BF68" s="187"/>
      <c r="BG68" s="187"/>
      <c r="BH68" s="187"/>
      <c r="BI68" s="187"/>
      <c r="BJ68" s="187"/>
      <c r="BK68" s="187"/>
      <c r="BL68" s="187"/>
      <c r="BM68" s="187"/>
      <c r="BN68" s="187"/>
      <c r="BO68" s="187"/>
      <c r="BP68" s="187"/>
      <c r="BQ68" s="187"/>
      <c r="BR68" s="187"/>
      <c r="BS68" s="187"/>
      <c r="BT68" s="187"/>
      <c r="BU68" s="187"/>
      <c r="BV68" s="187"/>
      <c r="BW68" s="187"/>
      <c r="BX68" s="187"/>
      <c r="BY68" s="187"/>
      <c r="BZ68" s="187"/>
      <c r="CA68" s="187"/>
      <c r="CB68" s="187"/>
      <c r="CC68" s="187"/>
      <c r="CD68" s="187"/>
    </row>
    <row r="69" spans="2:82" s="41" customFormat="1" ht="19.5" hidden="1" customHeight="1">
      <c r="B69" s="171"/>
      <c r="C69" s="325">
        <f>Admin!E31</f>
        <v>0</v>
      </c>
      <c r="D69" s="326"/>
      <c r="E69" s="326"/>
      <c r="F69" s="326"/>
      <c r="G69" s="326"/>
      <c r="H69" s="163">
        <f>Admin!F31</f>
        <v>0</v>
      </c>
      <c r="I69" s="67"/>
      <c r="J69" s="67"/>
      <c r="K69" s="67"/>
      <c r="L69" s="81"/>
      <c r="M69" s="201"/>
      <c r="N69" s="201"/>
      <c r="O69" s="201"/>
      <c r="P69" s="201"/>
      <c r="Q69" s="201"/>
      <c r="R69" s="201"/>
      <c r="S69" s="201"/>
      <c r="T69" s="201"/>
      <c r="U69" s="201"/>
      <c r="V69" s="202"/>
      <c r="W69" s="202"/>
      <c r="X69" s="202"/>
      <c r="Y69" s="81"/>
      <c r="Z69" s="201"/>
      <c r="AA69" s="201"/>
      <c r="AB69" s="201"/>
      <c r="AC69" s="201"/>
      <c r="AD69" s="201"/>
      <c r="AE69" s="201"/>
      <c r="AX69" s="187"/>
      <c r="AY69" s="187"/>
      <c r="AZ69" s="187"/>
      <c r="BA69" s="187"/>
      <c r="BB69" s="187"/>
      <c r="BC69" s="187"/>
      <c r="BD69" s="187"/>
      <c r="BE69" s="187"/>
      <c r="BF69" s="187"/>
      <c r="BG69" s="187"/>
      <c r="BH69" s="187"/>
      <c r="BI69" s="187"/>
      <c r="BJ69" s="187"/>
      <c r="BK69" s="187"/>
      <c r="BL69" s="187"/>
      <c r="BM69" s="187"/>
      <c r="BN69" s="187"/>
      <c r="BO69" s="187"/>
      <c r="BP69" s="187"/>
      <c r="BQ69" s="187"/>
      <c r="BR69" s="187"/>
      <c r="BS69" s="187"/>
      <c r="BT69" s="187"/>
      <c r="BU69" s="187"/>
      <c r="BV69" s="187"/>
      <c r="BW69" s="187"/>
      <c r="BX69" s="187"/>
      <c r="BY69" s="187"/>
      <c r="BZ69" s="187"/>
      <c r="CA69" s="187"/>
      <c r="CB69" s="187"/>
      <c r="CC69" s="187"/>
      <c r="CD69" s="187"/>
    </row>
    <row r="70" spans="2:82" s="41" customFormat="1" ht="19.5" hidden="1" customHeight="1">
      <c r="B70" s="171"/>
      <c r="C70" s="325">
        <f>Admin!E32</f>
        <v>0</v>
      </c>
      <c r="D70" s="326"/>
      <c r="E70" s="326"/>
      <c r="F70" s="326"/>
      <c r="G70" s="326"/>
      <c r="H70" s="163">
        <f>Admin!F32</f>
        <v>0</v>
      </c>
      <c r="I70" s="67"/>
      <c r="J70" s="67"/>
      <c r="K70" s="67"/>
      <c r="L70" s="81"/>
      <c r="M70" s="201"/>
      <c r="N70" s="201"/>
      <c r="O70" s="201"/>
      <c r="P70" s="201"/>
      <c r="Q70" s="201"/>
      <c r="R70" s="201"/>
      <c r="S70" s="201"/>
      <c r="T70" s="201"/>
      <c r="U70" s="201"/>
      <c r="V70" s="202"/>
      <c r="W70" s="202"/>
      <c r="X70" s="202"/>
      <c r="Y70" s="81"/>
      <c r="Z70" s="201"/>
      <c r="AA70" s="201"/>
      <c r="AB70" s="201"/>
      <c r="AC70" s="201"/>
      <c r="AD70" s="201"/>
      <c r="AE70" s="201"/>
      <c r="AX70" s="187"/>
      <c r="AY70" s="187"/>
      <c r="AZ70" s="187"/>
      <c r="BA70" s="187"/>
      <c r="BB70" s="187"/>
      <c r="BC70" s="187"/>
      <c r="BD70" s="187"/>
      <c r="BE70" s="187"/>
      <c r="BF70" s="187"/>
      <c r="BG70" s="187"/>
      <c r="BH70" s="187"/>
      <c r="BI70" s="187"/>
      <c r="BJ70" s="187"/>
      <c r="BK70" s="187"/>
      <c r="BL70" s="187"/>
      <c r="BM70" s="187"/>
      <c r="BN70" s="187"/>
      <c r="BO70" s="187"/>
      <c r="BP70" s="187"/>
      <c r="BQ70" s="187"/>
      <c r="BR70" s="187"/>
      <c r="BS70" s="187"/>
      <c r="BT70" s="187"/>
      <c r="BU70" s="187"/>
      <c r="BV70" s="187"/>
      <c r="BW70" s="187"/>
      <c r="BX70" s="187"/>
      <c r="BY70" s="187"/>
      <c r="BZ70" s="187"/>
      <c r="CA70" s="187"/>
      <c r="CB70" s="187"/>
      <c r="CC70" s="187"/>
      <c r="CD70" s="187"/>
    </row>
    <row r="71" spans="2:82" s="41" customFormat="1" ht="19.5" hidden="1" customHeight="1">
      <c r="B71" s="171"/>
      <c r="C71" s="325">
        <f>Admin!E33</f>
        <v>0</v>
      </c>
      <c r="D71" s="326"/>
      <c r="E71" s="326"/>
      <c r="F71" s="326"/>
      <c r="G71" s="326"/>
      <c r="H71" s="163">
        <f>Admin!F33</f>
        <v>0</v>
      </c>
      <c r="I71" s="67"/>
      <c r="J71" s="67"/>
      <c r="K71" s="67"/>
      <c r="L71" s="81"/>
      <c r="M71" s="201"/>
      <c r="N71" s="201"/>
      <c r="O71" s="201"/>
      <c r="P71" s="201"/>
      <c r="Q71" s="201"/>
      <c r="R71" s="201"/>
      <c r="S71" s="201"/>
      <c r="T71" s="201"/>
      <c r="U71" s="201"/>
      <c r="V71" s="202"/>
      <c r="W71" s="202"/>
      <c r="X71" s="202"/>
      <c r="Y71" s="81"/>
      <c r="Z71" s="201"/>
      <c r="AA71" s="201"/>
      <c r="AB71" s="201"/>
      <c r="AC71" s="201"/>
      <c r="AD71" s="201"/>
      <c r="AE71" s="201"/>
      <c r="AX71" s="187"/>
      <c r="AY71" s="187"/>
      <c r="AZ71" s="187"/>
      <c r="BA71" s="187"/>
      <c r="BB71" s="187"/>
      <c r="BC71" s="187"/>
      <c r="BD71" s="187"/>
      <c r="BE71" s="187"/>
      <c r="BF71" s="187"/>
      <c r="BG71" s="187"/>
      <c r="BH71" s="187"/>
      <c r="BI71" s="187"/>
      <c r="BJ71" s="187"/>
      <c r="BK71" s="187"/>
      <c r="BL71" s="187"/>
      <c r="BM71" s="187"/>
      <c r="BN71" s="187"/>
      <c r="BO71" s="187"/>
      <c r="BP71" s="187"/>
      <c r="BQ71" s="187"/>
      <c r="BR71" s="187"/>
      <c r="BS71" s="187"/>
      <c r="BT71" s="187"/>
      <c r="BU71" s="187"/>
      <c r="BV71" s="187"/>
      <c r="BW71" s="187"/>
      <c r="BX71" s="187"/>
      <c r="BY71" s="187"/>
      <c r="BZ71" s="187"/>
      <c r="CA71" s="187"/>
      <c r="CB71" s="187"/>
      <c r="CC71" s="187"/>
      <c r="CD71" s="187"/>
    </row>
    <row r="72" spans="2:82" s="41" customFormat="1" ht="19.5" hidden="1" customHeight="1">
      <c r="B72" s="171"/>
      <c r="C72" s="325">
        <f>Admin!E34</f>
        <v>0</v>
      </c>
      <c r="D72" s="326"/>
      <c r="E72" s="326"/>
      <c r="F72" s="326"/>
      <c r="G72" s="326"/>
      <c r="H72" s="163">
        <f>Admin!F34</f>
        <v>0</v>
      </c>
      <c r="I72" s="67"/>
      <c r="J72" s="67"/>
      <c r="K72" s="67"/>
      <c r="L72" s="81"/>
      <c r="M72" s="201"/>
      <c r="N72" s="201"/>
      <c r="O72" s="201"/>
      <c r="P72" s="201"/>
      <c r="Q72" s="201"/>
      <c r="R72" s="201"/>
      <c r="S72" s="201"/>
      <c r="T72" s="201"/>
      <c r="U72" s="201"/>
      <c r="V72" s="202"/>
      <c r="W72" s="202"/>
      <c r="X72" s="202"/>
      <c r="Y72" s="81"/>
      <c r="Z72" s="201"/>
      <c r="AA72" s="201"/>
      <c r="AB72" s="201"/>
      <c r="AC72" s="201"/>
      <c r="AD72" s="201"/>
      <c r="AE72" s="201"/>
      <c r="AX72" s="187"/>
      <c r="AY72" s="187"/>
      <c r="AZ72" s="187"/>
      <c r="BA72" s="187"/>
      <c r="BB72" s="187"/>
      <c r="BC72" s="187"/>
      <c r="BD72" s="187"/>
      <c r="BE72" s="187"/>
      <c r="BF72" s="187"/>
      <c r="BG72" s="187"/>
      <c r="BH72" s="187"/>
      <c r="BI72" s="187"/>
      <c r="BJ72" s="187"/>
      <c r="BK72" s="187"/>
      <c r="BL72" s="187"/>
      <c r="BM72" s="187"/>
      <c r="BN72" s="187"/>
      <c r="BO72" s="187"/>
      <c r="BP72" s="187"/>
      <c r="BQ72" s="187"/>
      <c r="BR72" s="187"/>
      <c r="BS72" s="187"/>
      <c r="BT72" s="187"/>
      <c r="BU72" s="187"/>
      <c r="BV72" s="187"/>
      <c r="BW72" s="187"/>
      <c r="BX72" s="187"/>
      <c r="BY72" s="187"/>
      <c r="BZ72" s="187"/>
      <c r="CA72" s="187"/>
      <c r="CB72" s="187"/>
      <c r="CC72" s="187"/>
      <c r="CD72" s="187"/>
    </row>
    <row r="73" spans="2:82" s="41" customFormat="1" ht="19.5" hidden="1" customHeight="1">
      <c r="B73" s="171" t="s">
        <v>48</v>
      </c>
      <c r="C73" s="325">
        <f>Admin!E35</f>
        <v>0</v>
      </c>
      <c r="D73" s="326"/>
      <c r="E73" s="326"/>
      <c r="F73" s="326"/>
      <c r="G73" s="326"/>
      <c r="H73" s="163">
        <f>Admin!F35</f>
        <v>0</v>
      </c>
      <c r="I73" s="67"/>
      <c r="J73" s="67"/>
      <c r="K73" s="67"/>
      <c r="L73" s="81"/>
      <c r="M73" s="201"/>
      <c r="N73" s="201"/>
      <c r="O73" s="201"/>
      <c r="P73" s="201"/>
      <c r="Q73" s="201"/>
      <c r="R73" s="201"/>
      <c r="S73" s="201"/>
      <c r="T73" s="201"/>
      <c r="U73" s="201"/>
      <c r="V73" s="335"/>
      <c r="W73" s="335"/>
      <c r="X73" s="335"/>
      <c r="Y73" s="81"/>
      <c r="Z73" s="201"/>
      <c r="AA73" s="201"/>
      <c r="AB73" s="201"/>
      <c r="AC73" s="201"/>
      <c r="AD73" s="201"/>
      <c r="AE73" s="201"/>
      <c r="AX73" s="187"/>
      <c r="AY73" s="187"/>
      <c r="AZ73" s="187"/>
      <c r="BA73" s="187"/>
      <c r="BB73" s="187"/>
      <c r="BC73" s="187"/>
      <c r="BD73" s="187"/>
      <c r="BE73" s="187"/>
      <c r="BF73" s="187"/>
      <c r="BG73" s="187"/>
      <c r="BH73" s="187"/>
      <c r="BI73" s="187"/>
      <c r="BJ73" s="187"/>
      <c r="BK73" s="187"/>
      <c r="BL73" s="187"/>
      <c r="BM73" s="187"/>
      <c r="BN73" s="187"/>
      <c r="BO73" s="187"/>
      <c r="BP73" s="187"/>
      <c r="BQ73" s="187"/>
      <c r="BR73" s="187"/>
      <c r="BS73" s="187"/>
      <c r="BT73" s="187"/>
      <c r="BU73" s="187"/>
      <c r="BV73" s="187"/>
      <c r="BW73" s="187"/>
      <c r="BX73" s="187"/>
      <c r="BY73" s="187"/>
      <c r="BZ73" s="187"/>
      <c r="CA73" s="187"/>
      <c r="CB73" s="187"/>
      <c r="CC73" s="187"/>
      <c r="CD73" s="187"/>
    </row>
    <row r="74" spans="2:82" s="41" customFormat="1" ht="19.5" hidden="1" customHeight="1">
      <c r="B74" s="171" t="s">
        <v>48</v>
      </c>
      <c r="C74" s="325">
        <f>Admin!E36</f>
        <v>0</v>
      </c>
      <c r="D74" s="326"/>
      <c r="E74" s="326"/>
      <c r="F74" s="326"/>
      <c r="G74" s="326"/>
      <c r="H74" s="163">
        <f>Admin!F36</f>
        <v>0</v>
      </c>
      <c r="I74" s="67"/>
      <c r="J74" s="67"/>
      <c r="K74" s="67"/>
      <c r="L74" s="81"/>
      <c r="M74" s="324"/>
      <c r="N74" s="324"/>
      <c r="O74" s="324"/>
      <c r="P74" s="324"/>
      <c r="Q74" s="324"/>
      <c r="R74" s="324"/>
      <c r="S74" s="324"/>
      <c r="T74" s="324"/>
      <c r="U74" s="324"/>
      <c r="V74" s="324"/>
      <c r="X74" s="68"/>
      <c r="Y74" s="81"/>
      <c r="Z74" s="201"/>
      <c r="AA74" s="201"/>
      <c r="AB74" s="201"/>
      <c r="AC74" s="201"/>
      <c r="AD74" s="201"/>
      <c r="AE74" s="201"/>
      <c r="AX74" s="187"/>
      <c r="AY74" s="187"/>
      <c r="AZ74" s="187"/>
      <c r="BA74" s="187"/>
      <c r="BB74" s="187"/>
      <c r="BC74" s="187"/>
      <c r="BD74" s="187"/>
      <c r="BE74" s="187"/>
      <c r="BF74" s="187"/>
      <c r="BG74" s="187"/>
      <c r="BH74" s="187"/>
      <c r="BI74" s="187"/>
      <c r="BJ74" s="187"/>
      <c r="BK74" s="187"/>
      <c r="BL74" s="187"/>
      <c r="BM74" s="187"/>
      <c r="BN74" s="187"/>
      <c r="BO74" s="187"/>
      <c r="BP74" s="187"/>
      <c r="BQ74" s="187"/>
      <c r="BR74" s="187"/>
      <c r="BS74" s="187"/>
      <c r="BT74" s="187"/>
      <c r="BU74" s="187"/>
      <c r="BV74" s="187"/>
      <c r="BW74" s="187"/>
      <c r="BX74" s="187"/>
      <c r="BY74" s="187"/>
      <c r="BZ74" s="187"/>
      <c r="CA74" s="187"/>
      <c r="CB74" s="187"/>
      <c r="CC74" s="187"/>
      <c r="CD74" s="187"/>
    </row>
    <row r="75" spans="2:82" s="41" customFormat="1" ht="19.5" hidden="1" customHeight="1">
      <c r="B75" s="171" t="s">
        <v>48</v>
      </c>
      <c r="C75" s="325">
        <f>Admin!E37</f>
        <v>0</v>
      </c>
      <c r="D75" s="326"/>
      <c r="E75" s="326"/>
      <c r="F75" s="326"/>
      <c r="G75" s="326"/>
      <c r="H75" s="163">
        <f>Admin!F37</f>
        <v>0</v>
      </c>
      <c r="I75" s="67"/>
      <c r="J75" s="67"/>
      <c r="K75" s="67"/>
      <c r="L75" s="81"/>
      <c r="M75" s="324"/>
      <c r="N75" s="324"/>
      <c r="O75" s="324"/>
      <c r="P75" s="324"/>
      <c r="Q75" s="324"/>
      <c r="R75" s="324"/>
      <c r="S75" s="324"/>
      <c r="T75" s="324"/>
      <c r="U75" s="324"/>
      <c r="V75" s="324"/>
      <c r="X75" s="68"/>
      <c r="Y75" s="81"/>
      <c r="Z75" s="217"/>
      <c r="AA75" s="217"/>
      <c r="AB75" s="217"/>
      <c r="AC75" s="217"/>
      <c r="AD75" s="217"/>
      <c r="AE75" s="217"/>
      <c r="AX75" s="187"/>
      <c r="AY75" s="187"/>
      <c r="AZ75" s="187"/>
      <c r="BA75" s="187"/>
      <c r="BB75" s="187"/>
      <c r="BC75" s="187"/>
      <c r="BD75" s="187"/>
      <c r="BE75" s="187"/>
      <c r="BF75" s="187"/>
      <c r="BG75" s="187"/>
      <c r="BH75" s="187"/>
      <c r="BI75" s="187"/>
      <c r="BJ75" s="187"/>
      <c r="BK75" s="187"/>
      <c r="BL75" s="187"/>
      <c r="BM75" s="187"/>
      <c r="BN75" s="187"/>
      <c r="BO75" s="187"/>
      <c r="BP75" s="187"/>
      <c r="BQ75" s="187"/>
      <c r="BR75" s="187"/>
      <c r="BS75" s="187"/>
      <c r="BT75" s="187"/>
      <c r="BU75" s="187"/>
      <c r="BV75" s="187"/>
      <c r="BW75" s="187"/>
      <c r="BX75" s="187"/>
      <c r="BY75" s="187"/>
      <c r="BZ75" s="187"/>
      <c r="CA75" s="187"/>
      <c r="CB75" s="187"/>
      <c r="CC75" s="187"/>
      <c r="CD75" s="187"/>
    </row>
    <row r="76" spans="2:82" s="41" customFormat="1" ht="19.5" hidden="1" customHeight="1">
      <c r="B76" s="149"/>
      <c r="C76" s="325">
        <f>Admin!E38</f>
        <v>0</v>
      </c>
      <c r="D76" s="326"/>
      <c r="E76" s="326"/>
      <c r="F76" s="326"/>
      <c r="G76" s="326"/>
      <c r="H76" s="163">
        <f>Admin!F38</f>
        <v>0</v>
      </c>
      <c r="I76" s="82"/>
      <c r="J76" s="67"/>
      <c r="K76" s="67"/>
      <c r="L76" s="67"/>
      <c r="AX76" s="187"/>
      <c r="AY76" s="187"/>
      <c r="AZ76" s="187"/>
      <c r="BA76" s="187"/>
      <c r="BB76" s="187"/>
      <c r="BC76" s="187"/>
      <c r="BD76" s="187"/>
      <c r="BE76" s="187"/>
      <c r="BF76" s="187"/>
      <c r="BG76" s="187"/>
      <c r="BH76" s="187"/>
      <c r="BI76" s="187"/>
      <c r="BJ76" s="187"/>
      <c r="BK76" s="187"/>
      <c r="BL76" s="187"/>
      <c r="BM76" s="187"/>
      <c r="BN76" s="187"/>
      <c r="BO76" s="187"/>
      <c r="BP76" s="187"/>
      <c r="BQ76" s="187"/>
      <c r="BR76" s="187"/>
      <c r="BS76" s="187"/>
      <c r="BT76" s="187"/>
      <c r="BU76" s="187"/>
      <c r="BV76" s="187"/>
      <c r="BW76" s="187"/>
      <c r="BX76" s="187"/>
      <c r="BY76" s="187"/>
      <c r="BZ76" s="187"/>
      <c r="CA76" s="187"/>
      <c r="CB76" s="187"/>
      <c r="CC76" s="187"/>
      <c r="CD76" s="187"/>
    </row>
    <row r="77" spans="2:82" s="41" customFormat="1" ht="19.5" hidden="1" customHeight="1">
      <c r="B77" s="149"/>
      <c r="C77" s="325">
        <f>Admin!E39</f>
        <v>0</v>
      </c>
      <c r="D77" s="326"/>
      <c r="E77" s="326"/>
      <c r="F77" s="326"/>
      <c r="G77" s="326"/>
      <c r="H77" s="163">
        <f>Admin!F39</f>
        <v>0</v>
      </c>
      <c r="I77" s="70"/>
      <c r="J77" s="68"/>
      <c r="K77" s="68"/>
      <c r="L77" s="67"/>
      <c r="AX77" s="187"/>
      <c r="AY77" s="187"/>
      <c r="AZ77" s="187"/>
      <c r="BA77" s="187"/>
      <c r="BB77" s="187"/>
      <c r="BC77" s="187"/>
      <c r="BD77" s="187"/>
      <c r="BE77" s="187"/>
      <c r="BF77" s="187"/>
      <c r="BG77" s="187"/>
      <c r="BH77" s="187"/>
      <c r="BI77" s="187"/>
      <c r="BJ77" s="187"/>
      <c r="BK77" s="187"/>
      <c r="BL77" s="187"/>
      <c r="BM77" s="187"/>
      <c r="BN77" s="187"/>
      <c r="BO77" s="187"/>
      <c r="BP77" s="187"/>
      <c r="BQ77" s="187"/>
      <c r="BR77" s="187"/>
      <c r="BS77" s="187"/>
      <c r="BT77" s="187"/>
      <c r="BU77" s="187"/>
      <c r="BV77" s="187"/>
      <c r="BW77" s="187"/>
      <c r="BX77" s="187"/>
      <c r="BY77" s="187"/>
      <c r="BZ77" s="187"/>
      <c r="CA77" s="187"/>
      <c r="CB77" s="187"/>
      <c r="CC77" s="187"/>
      <c r="CD77" s="187"/>
    </row>
    <row r="78" spans="2:82" s="41" customFormat="1" ht="19.5" hidden="1" customHeight="1">
      <c r="B78" s="149"/>
      <c r="C78" s="325">
        <f>Admin!E40</f>
        <v>0</v>
      </c>
      <c r="D78" s="326"/>
      <c r="E78" s="326"/>
      <c r="F78" s="326"/>
      <c r="G78" s="326"/>
      <c r="H78" s="163">
        <f>Admin!F40</f>
        <v>0</v>
      </c>
      <c r="I78" s="70"/>
      <c r="J78" s="68"/>
      <c r="K78" s="68"/>
      <c r="L78" s="67"/>
      <c r="AX78" s="187"/>
      <c r="AY78" s="187"/>
      <c r="AZ78" s="187"/>
      <c r="BA78" s="187"/>
      <c r="BB78" s="187"/>
      <c r="BC78" s="187"/>
      <c r="BD78" s="187"/>
      <c r="BE78" s="187"/>
      <c r="BF78" s="187"/>
      <c r="BG78" s="187"/>
      <c r="BH78" s="187"/>
      <c r="BI78" s="187"/>
      <c r="BJ78" s="187"/>
      <c r="BK78" s="187"/>
      <c r="BL78" s="187"/>
      <c r="BM78" s="187"/>
      <c r="BN78" s="187"/>
      <c r="BO78" s="187"/>
      <c r="BP78" s="187"/>
      <c r="BQ78" s="187"/>
      <c r="BR78" s="187"/>
      <c r="BS78" s="187"/>
      <c r="BT78" s="187"/>
      <c r="BU78" s="187"/>
      <c r="BV78" s="187"/>
      <c r="BW78" s="187"/>
      <c r="BX78" s="187"/>
      <c r="BY78" s="187"/>
      <c r="BZ78" s="187"/>
      <c r="CA78" s="187"/>
      <c r="CB78" s="187"/>
      <c r="CC78" s="187"/>
      <c r="CD78" s="187"/>
    </row>
    <row r="79" spans="2:82" s="41" customFormat="1" ht="19.5" hidden="1" customHeight="1">
      <c r="B79" s="149"/>
      <c r="C79" s="325">
        <f>Admin!E41</f>
        <v>0</v>
      </c>
      <c r="D79" s="326"/>
      <c r="E79" s="326"/>
      <c r="F79" s="326"/>
      <c r="G79" s="326"/>
      <c r="H79" s="163">
        <f>Admin!F41</f>
        <v>0</v>
      </c>
      <c r="I79" s="70"/>
      <c r="J79" s="68"/>
      <c r="K79" s="68"/>
      <c r="L79" s="67"/>
      <c r="AM79" s="9"/>
      <c r="AN79" s="9"/>
      <c r="AO79" s="9"/>
      <c r="AP79" s="9"/>
      <c r="AQ79" s="9"/>
      <c r="AR79" s="9"/>
      <c r="AS79" s="9"/>
      <c r="AT79" s="9"/>
      <c r="AU79" s="9"/>
      <c r="AV79" s="9"/>
      <c r="AX79" s="187"/>
      <c r="AY79" s="187"/>
      <c r="AZ79" s="187"/>
      <c r="BA79" s="187"/>
      <c r="BB79" s="187"/>
      <c r="BC79" s="187"/>
      <c r="BD79" s="187"/>
      <c r="BE79" s="187"/>
      <c r="BF79" s="187"/>
      <c r="BG79" s="187"/>
      <c r="BH79" s="187"/>
      <c r="BI79" s="187"/>
      <c r="BJ79" s="187"/>
      <c r="BK79" s="187"/>
      <c r="BL79" s="187"/>
      <c r="BM79" s="187"/>
      <c r="BN79" s="187"/>
      <c r="BO79" s="187"/>
      <c r="BP79" s="187"/>
      <c r="BQ79" s="187"/>
      <c r="BR79" s="187"/>
      <c r="BS79" s="187"/>
      <c r="BT79" s="187"/>
      <c r="BU79" s="187"/>
      <c r="BV79" s="187"/>
      <c r="BW79" s="187"/>
      <c r="BX79" s="187"/>
      <c r="BY79" s="187"/>
      <c r="BZ79" s="187"/>
      <c r="CA79" s="187"/>
      <c r="CB79" s="187"/>
      <c r="CC79" s="187"/>
      <c r="CD79" s="187"/>
    </row>
    <row r="80" spans="2:82" s="41" customFormat="1" ht="19.5" hidden="1" customHeight="1">
      <c r="B80" s="149"/>
      <c r="C80" s="325">
        <f>Admin!E42</f>
        <v>0</v>
      </c>
      <c r="D80" s="326"/>
      <c r="E80" s="326"/>
      <c r="F80" s="326"/>
      <c r="G80" s="326"/>
      <c r="H80" s="163">
        <f>Admin!F42</f>
        <v>0</v>
      </c>
      <c r="I80" s="70"/>
      <c r="J80" s="68"/>
      <c r="K80" s="68"/>
      <c r="L80" s="67"/>
      <c r="AM80" s="9"/>
      <c r="AN80" s="9"/>
      <c r="AO80" s="9"/>
      <c r="AP80" s="9"/>
      <c r="AQ80" s="9"/>
      <c r="AR80" s="9"/>
      <c r="AS80" s="9"/>
      <c r="AT80" s="9"/>
      <c r="AU80" s="9"/>
      <c r="AV80" s="9"/>
      <c r="AX80" s="187"/>
      <c r="AY80" s="187"/>
      <c r="AZ80" s="187"/>
      <c r="BA80" s="187"/>
      <c r="BB80" s="187"/>
      <c r="BC80" s="187"/>
      <c r="BD80" s="187"/>
      <c r="BE80" s="187"/>
      <c r="BF80" s="187"/>
      <c r="BG80" s="187"/>
      <c r="BH80" s="187"/>
      <c r="BI80" s="187"/>
      <c r="BJ80" s="187"/>
      <c r="BK80" s="187"/>
      <c r="BL80" s="187"/>
      <c r="BM80" s="187"/>
      <c r="BN80" s="187"/>
      <c r="BO80" s="187"/>
      <c r="BP80" s="187"/>
      <c r="BQ80" s="187"/>
      <c r="BR80" s="187"/>
      <c r="BS80" s="187"/>
      <c r="BT80" s="187"/>
      <c r="BU80" s="187"/>
      <c r="BV80" s="187"/>
      <c r="BW80" s="187"/>
      <c r="BX80" s="187"/>
      <c r="BY80" s="187"/>
      <c r="BZ80" s="187"/>
      <c r="CA80" s="187"/>
      <c r="CB80" s="187"/>
      <c r="CC80" s="187"/>
      <c r="CD80" s="187"/>
    </row>
    <row r="81" spans="2:82" s="41" customFormat="1" ht="19.5" hidden="1" customHeight="1">
      <c r="B81" s="149"/>
      <c r="C81" s="325" t="str">
        <f>Admin!E43</f>
        <v>Day Off</v>
      </c>
      <c r="D81" s="326"/>
      <c r="E81" s="326"/>
      <c r="F81" s="326"/>
      <c r="G81" s="326"/>
      <c r="H81" s="163" t="str">
        <f>Admin!F43</f>
        <v>OFF</v>
      </c>
      <c r="I81" s="70"/>
      <c r="J81" s="68"/>
      <c r="K81" s="68"/>
      <c r="L81" s="67"/>
      <c r="AM81" s="9"/>
      <c r="AN81" s="9"/>
      <c r="AO81" s="9"/>
      <c r="AP81" s="9"/>
      <c r="AQ81" s="9"/>
      <c r="AR81" s="9"/>
      <c r="AS81" s="9"/>
      <c r="AT81" s="9"/>
      <c r="AU81" s="9"/>
      <c r="AV81" s="9"/>
      <c r="AX81" s="187"/>
      <c r="AY81" s="187"/>
      <c r="AZ81" s="187"/>
      <c r="BA81" s="187"/>
      <c r="BB81" s="187"/>
      <c r="BC81" s="187"/>
      <c r="BD81" s="187"/>
      <c r="BE81" s="187"/>
      <c r="BF81" s="187"/>
      <c r="BG81" s="187"/>
      <c r="BH81" s="187"/>
      <c r="BI81" s="187"/>
      <c r="BJ81" s="187"/>
      <c r="BK81" s="187"/>
      <c r="BL81" s="187"/>
      <c r="BM81" s="187"/>
      <c r="BN81" s="187"/>
      <c r="BO81" s="187"/>
      <c r="BP81" s="187"/>
      <c r="BQ81" s="187"/>
      <c r="BR81" s="187"/>
      <c r="BS81" s="187"/>
      <c r="BT81" s="187"/>
      <c r="BU81" s="187"/>
      <c r="BV81" s="187"/>
      <c r="BW81" s="187"/>
      <c r="BX81" s="187"/>
      <c r="BY81" s="187"/>
      <c r="BZ81" s="187"/>
      <c r="CA81" s="187"/>
      <c r="CB81" s="187"/>
      <c r="CC81" s="187"/>
      <c r="CD81" s="187"/>
    </row>
    <row r="82" spans="2:82" s="41" customFormat="1" ht="27.95" hidden="1" customHeight="1">
      <c r="B82" s="149"/>
      <c r="C82" s="481" t="str">
        <f>Admin!E44</f>
        <v>Holiday</v>
      </c>
      <c r="D82" s="482"/>
      <c r="E82" s="482"/>
      <c r="F82" s="482"/>
      <c r="G82" s="482"/>
      <c r="H82" s="161" t="str">
        <f>Admin!F44</f>
        <v>H</v>
      </c>
      <c r="I82" s="70"/>
      <c r="J82" s="68"/>
      <c r="K82" s="68"/>
      <c r="L82" s="67"/>
      <c r="AM82" s="9"/>
      <c r="AN82" s="9"/>
      <c r="AO82" s="9"/>
      <c r="AP82" s="9"/>
      <c r="AQ82" s="9"/>
      <c r="AR82" s="9"/>
      <c r="AS82" s="9"/>
      <c r="AT82" s="9"/>
      <c r="AU82" s="9"/>
      <c r="AV82" s="9"/>
      <c r="AX82" s="187"/>
      <c r="AY82" s="187"/>
      <c r="AZ82" s="187"/>
      <c r="BA82" s="187"/>
      <c r="BB82" s="187"/>
      <c r="BC82" s="187"/>
      <c r="BD82" s="187"/>
      <c r="BE82" s="187"/>
      <c r="BF82" s="187"/>
      <c r="BG82" s="187"/>
      <c r="BH82" s="187"/>
      <c r="BI82" s="187"/>
      <c r="BJ82" s="187"/>
      <c r="BK82" s="187"/>
      <c r="BL82" s="187"/>
      <c r="BM82" s="187"/>
      <c r="BN82" s="187"/>
      <c r="BO82" s="187"/>
      <c r="BP82" s="187"/>
      <c r="BQ82" s="187"/>
      <c r="BR82" s="187"/>
      <c r="BS82" s="187"/>
      <c r="BT82" s="187"/>
      <c r="BU82" s="187"/>
      <c r="BV82" s="187"/>
      <c r="BW82" s="187"/>
      <c r="BX82" s="187"/>
      <c r="BY82" s="187"/>
      <c r="BZ82" s="187"/>
      <c r="CA82" s="187"/>
      <c r="CB82" s="187"/>
      <c r="CC82" s="187"/>
      <c r="CD82" s="187"/>
    </row>
    <row r="83" spans="2:82" s="41" customFormat="1" ht="27.95" hidden="1" customHeight="1" thickBot="1">
      <c r="B83" s="149"/>
      <c r="C83" s="483" t="str">
        <f>Admin!E45</f>
        <v>Sick Leave</v>
      </c>
      <c r="D83" s="484"/>
      <c r="E83" s="484"/>
      <c r="F83" s="484"/>
      <c r="G83" s="484"/>
      <c r="H83" s="162" t="str">
        <f>Admin!F45</f>
        <v>L4</v>
      </c>
      <c r="M83" s="68"/>
      <c r="N83" s="69"/>
      <c r="O83" s="69"/>
      <c r="P83" s="69"/>
      <c r="Q83" s="69"/>
      <c r="R83" s="69"/>
      <c r="S83" s="70"/>
      <c r="T83" s="68"/>
      <c r="U83" s="68"/>
      <c r="V83" s="67"/>
      <c r="AM83" s="9"/>
      <c r="AN83" s="9"/>
      <c r="AO83" s="9"/>
      <c r="AP83" s="9"/>
      <c r="AQ83" s="9"/>
      <c r="AR83" s="9"/>
      <c r="AS83" s="9"/>
      <c r="AT83" s="9"/>
      <c r="AU83" s="9"/>
      <c r="AV83" s="9"/>
      <c r="AX83" s="187"/>
      <c r="AY83" s="187"/>
      <c r="AZ83" s="187"/>
      <c r="BA83" s="187"/>
      <c r="BB83" s="187"/>
      <c r="BC83" s="187"/>
      <c r="BD83" s="187"/>
      <c r="BE83" s="187"/>
      <c r="BF83" s="187"/>
      <c r="BG83" s="187"/>
      <c r="BH83" s="187"/>
      <c r="BI83" s="187"/>
      <c r="BJ83" s="187"/>
      <c r="BK83" s="187"/>
      <c r="BL83" s="187"/>
      <c r="BM83" s="187"/>
      <c r="BN83" s="187"/>
      <c r="BO83" s="187"/>
      <c r="BP83" s="187"/>
      <c r="BQ83" s="187"/>
      <c r="BR83" s="187"/>
      <c r="BS83" s="187"/>
      <c r="BT83" s="187"/>
      <c r="BU83" s="187"/>
      <c r="BV83" s="187"/>
      <c r="BW83" s="187"/>
      <c r="BX83" s="187"/>
      <c r="BY83" s="187"/>
      <c r="BZ83" s="187"/>
      <c r="CA83" s="187"/>
      <c r="CB83" s="187"/>
      <c r="CC83" s="187"/>
      <c r="CD83" s="187"/>
    </row>
    <row r="84" spans="2:82" s="41" customFormat="1" ht="27.95" hidden="1" customHeight="1">
      <c r="B84" s="149"/>
      <c r="C84" s="327" t="s">
        <v>99</v>
      </c>
      <c r="D84" s="328"/>
      <c r="E84" s="328"/>
      <c r="F84" s="328"/>
      <c r="G84" s="328"/>
      <c r="H84" s="173" t="s">
        <v>100</v>
      </c>
      <c r="M84" s="68"/>
      <c r="N84" s="69"/>
      <c r="O84" s="69"/>
      <c r="P84" s="69"/>
      <c r="Q84" s="69"/>
      <c r="R84" s="69"/>
      <c r="S84" s="70"/>
      <c r="T84" s="68"/>
      <c r="U84" s="68"/>
      <c r="V84" s="67"/>
      <c r="AM84" s="9"/>
      <c r="AN84" s="9"/>
      <c r="AO84" s="9"/>
      <c r="AP84" s="9"/>
      <c r="AQ84" s="9"/>
      <c r="AR84" s="9"/>
      <c r="AS84" s="9"/>
      <c r="AT84" s="9"/>
      <c r="AU84" s="9"/>
      <c r="AV84" s="9"/>
      <c r="AW84" s="9"/>
      <c r="AX84" s="187"/>
      <c r="AY84" s="187"/>
      <c r="AZ84" s="187"/>
      <c r="BA84" s="187"/>
      <c r="BB84" s="187"/>
      <c r="BC84" s="187"/>
      <c r="BD84" s="187"/>
      <c r="BE84" s="187"/>
      <c r="BF84" s="187"/>
      <c r="BG84" s="187"/>
      <c r="BH84" s="187"/>
      <c r="BI84" s="187"/>
      <c r="BJ84" s="187"/>
      <c r="BK84" s="187"/>
      <c r="BL84" s="187"/>
      <c r="BM84" s="187"/>
      <c r="BN84" s="187"/>
      <c r="BO84" s="187"/>
      <c r="BP84" s="187"/>
      <c r="BQ84" s="187"/>
      <c r="BR84" s="187"/>
      <c r="BS84" s="187"/>
      <c r="BT84" s="187"/>
      <c r="BU84" s="187"/>
      <c r="BV84" s="187"/>
      <c r="BW84" s="187"/>
      <c r="BX84" s="187"/>
      <c r="BY84" s="187"/>
      <c r="BZ84" s="187"/>
      <c r="CA84" s="187"/>
      <c r="CB84" s="187"/>
      <c r="CC84" s="187"/>
      <c r="CD84" s="187"/>
    </row>
    <row r="85" spans="2:82" s="41" customFormat="1" ht="27.95" hidden="1" customHeight="1">
      <c r="B85" s="149"/>
      <c r="C85" s="481" t="s">
        <v>101</v>
      </c>
      <c r="D85" s="482"/>
      <c r="E85" s="482"/>
      <c r="F85" s="482"/>
      <c r="G85" s="482"/>
      <c r="H85" s="161" t="s">
        <v>102</v>
      </c>
      <c r="M85" s="68"/>
      <c r="N85" s="69"/>
      <c r="O85" s="69"/>
      <c r="P85" s="69"/>
      <c r="Q85" s="69"/>
      <c r="R85" s="69"/>
      <c r="S85" s="70"/>
      <c r="T85" s="68"/>
      <c r="U85" s="68"/>
      <c r="V85" s="67"/>
      <c r="AM85" s="9"/>
      <c r="AN85" s="9"/>
      <c r="AO85" s="9"/>
      <c r="AP85" s="9"/>
      <c r="AQ85" s="9"/>
      <c r="AR85" s="9"/>
      <c r="AS85" s="9"/>
      <c r="AT85" s="9"/>
      <c r="AU85" s="9"/>
      <c r="AV85" s="9"/>
      <c r="AW85" s="9"/>
      <c r="AX85" s="187"/>
      <c r="AY85" s="187"/>
      <c r="AZ85" s="187"/>
      <c r="BA85" s="187"/>
      <c r="BB85" s="187"/>
      <c r="BC85" s="187"/>
      <c r="BD85" s="187"/>
      <c r="BE85" s="187"/>
      <c r="BF85" s="187"/>
      <c r="BG85" s="187"/>
      <c r="BH85" s="187"/>
      <c r="BI85" s="187"/>
      <c r="BJ85" s="187"/>
      <c r="BK85" s="187"/>
      <c r="BL85" s="187"/>
      <c r="BM85" s="187"/>
      <c r="BN85" s="187"/>
      <c r="BO85" s="187"/>
      <c r="BP85" s="187"/>
      <c r="BQ85" s="187"/>
      <c r="BR85" s="187"/>
      <c r="BS85" s="187"/>
      <c r="BT85" s="187"/>
      <c r="BU85" s="187"/>
      <c r="BV85" s="187"/>
      <c r="BW85" s="187"/>
      <c r="BX85" s="187"/>
      <c r="BY85" s="187"/>
      <c r="BZ85" s="187"/>
      <c r="CA85" s="187"/>
      <c r="CB85" s="187"/>
      <c r="CC85" s="187"/>
      <c r="CD85" s="187"/>
    </row>
    <row r="86" spans="2:82" s="41" customFormat="1" ht="27.95" hidden="1" customHeight="1" thickBot="1">
      <c r="B86" s="149"/>
      <c r="C86" s="483" t="s">
        <v>103</v>
      </c>
      <c r="D86" s="484"/>
      <c r="E86" s="484"/>
      <c r="F86" s="484"/>
      <c r="G86" s="484"/>
      <c r="H86" s="162" t="s">
        <v>7</v>
      </c>
      <c r="M86" s="68"/>
      <c r="N86" s="69"/>
      <c r="O86" s="69"/>
      <c r="P86" s="69"/>
      <c r="Q86" s="69"/>
      <c r="R86" s="69"/>
      <c r="S86" s="70"/>
      <c r="T86" s="68"/>
      <c r="U86" s="68"/>
      <c r="V86" s="67"/>
      <c r="AM86" s="9"/>
      <c r="AN86" s="9"/>
      <c r="AO86" s="9"/>
      <c r="AP86" s="9"/>
      <c r="AQ86" s="9"/>
      <c r="AR86" s="9"/>
      <c r="AS86" s="9"/>
      <c r="AT86" s="9"/>
      <c r="AU86" s="9"/>
      <c r="AV86" s="9"/>
      <c r="AW86" s="9"/>
      <c r="AX86" s="187"/>
      <c r="AY86" s="187"/>
      <c r="AZ86" s="187"/>
      <c r="BA86" s="187"/>
      <c r="BB86" s="187"/>
      <c r="BC86" s="187"/>
      <c r="BD86" s="187"/>
      <c r="BE86" s="187"/>
      <c r="BF86" s="187"/>
      <c r="BG86" s="187"/>
      <c r="BH86" s="187"/>
      <c r="BI86" s="187"/>
      <c r="BJ86" s="187"/>
      <c r="BK86" s="187"/>
      <c r="BL86" s="187"/>
      <c r="BM86" s="187"/>
      <c r="BN86" s="187"/>
      <c r="BO86" s="187"/>
      <c r="BP86" s="187"/>
      <c r="BQ86" s="187"/>
      <c r="BR86" s="187"/>
      <c r="BS86" s="187"/>
      <c r="BT86" s="187"/>
      <c r="BU86" s="187"/>
      <c r="BV86" s="187"/>
      <c r="BW86" s="187"/>
      <c r="BX86" s="187"/>
      <c r="BY86" s="187"/>
      <c r="BZ86" s="187"/>
      <c r="CA86" s="187"/>
      <c r="CB86" s="187"/>
      <c r="CC86" s="187"/>
      <c r="CD86" s="187"/>
    </row>
    <row r="87" spans="2:82" s="41" customFormat="1" ht="27.95" hidden="1" customHeight="1">
      <c r="B87" s="149"/>
      <c r="C87" s="68"/>
      <c r="D87" s="69"/>
      <c r="E87" s="69"/>
      <c r="F87" s="69"/>
      <c r="G87" s="69"/>
      <c r="H87" s="69"/>
      <c r="M87" s="68"/>
      <c r="N87" s="69"/>
      <c r="O87" s="69"/>
      <c r="P87" s="69"/>
      <c r="Q87" s="69"/>
      <c r="R87" s="69"/>
      <c r="S87" s="70"/>
      <c r="T87" s="68"/>
      <c r="U87" s="68"/>
      <c r="V87" s="67"/>
      <c r="AM87" s="9"/>
      <c r="AN87" s="9"/>
      <c r="AO87" s="9"/>
      <c r="AP87" s="9"/>
      <c r="AQ87" s="9"/>
      <c r="AR87" s="9"/>
      <c r="AS87" s="9"/>
      <c r="AT87" s="9"/>
      <c r="AU87" s="9"/>
      <c r="AV87" s="9"/>
      <c r="AW87" s="9"/>
      <c r="AX87" s="187"/>
      <c r="AY87" s="187"/>
      <c r="AZ87" s="187"/>
      <c r="BA87" s="187"/>
      <c r="BB87" s="187"/>
      <c r="BC87" s="187"/>
      <c r="BD87" s="187"/>
      <c r="BE87" s="187"/>
      <c r="BF87" s="187"/>
      <c r="BG87" s="187"/>
      <c r="BH87" s="187"/>
      <c r="BI87" s="187"/>
      <c r="BJ87" s="187"/>
      <c r="BK87" s="187"/>
      <c r="BL87" s="187"/>
      <c r="BM87" s="187"/>
      <c r="BN87" s="187"/>
      <c r="BO87" s="187"/>
      <c r="BP87" s="187"/>
      <c r="BQ87" s="187"/>
      <c r="BR87" s="187"/>
      <c r="BS87" s="187"/>
      <c r="BT87" s="187"/>
      <c r="BU87" s="187"/>
      <c r="BV87" s="187"/>
      <c r="BW87" s="187"/>
      <c r="BX87" s="187"/>
      <c r="BY87" s="187"/>
      <c r="BZ87" s="187"/>
      <c r="CA87" s="187"/>
      <c r="CB87" s="187"/>
      <c r="CC87" s="187"/>
      <c r="CD87" s="187"/>
    </row>
    <row r="88" spans="2:82" s="41" customFormat="1" ht="27.95" hidden="1" customHeight="1">
      <c r="B88" s="149"/>
      <c r="C88" s="42"/>
      <c r="D88" s="42"/>
      <c r="E88" s="42"/>
      <c r="F88" s="42"/>
      <c r="G88" s="42"/>
      <c r="M88" s="68"/>
      <c r="N88" s="69"/>
      <c r="O88" s="69"/>
      <c r="P88" s="69"/>
      <c r="Q88" s="69"/>
      <c r="R88" s="69"/>
      <c r="S88" s="70"/>
      <c r="T88" s="68"/>
      <c r="U88" s="68"/>
      <c r="V88" s="67"/>
      <c r="AM88" s="9"/>
      <c r="AN88" s="9"/>
      <c r="AO88" s="9"/>
      <c r="AP88" s="9"/>
      <c r="AQ88" s="9"/>
      <c r="AR88" s="9"/>
      <c r="AS88" s="9"/>
      <c r="AT88" s="9"/>
      <c r="AU88" s="9"/>
      <c r="AV88" s="9"/>
      <c r="AW88" s="9"/>
      <c r="AX88" s="187"/>
      <c r="AY88" s="187"/>
      <c r="AZ88" s="187"/>
      <c r="BA88" s="187"/>
      <c r="BB88" s="187"/>
      <c r="BC88" s="187"/>
      <c r="BD88" s="187"/>
      <c r="BE88" s="187"/>
      <c r="BF88" s="187"/>
      <c r="BG88" s="187"/>
      <c r="BH88" s="187"/>
      <c r="BI88" s="187"/>
      <c r="BJ88" s="187"/>
      <c r="BK88" s="187"/>
      <c r="BL88" s="187"/>
      <c r="BM88" s="187"/>
      <c r="BN88" s="187"/>
      <c r="BO88" s="187"/>
      <c r="BP88" s="187"/>
      <c r="BQ88" s="187"/>
      <c r="BR88" s="187"/>
      <c r="BS88" s="187"/>
      <c r="BT88" s="187"/>
      <c r="BU88" s="187"/>
      <c r="BV88" s="187"/>
      <c r="BW88" s="187"/>
      <c r="BX88" s="187"/>
      <c r="BY88" s="187"/>
      <c r="BZ88" s="187"/>
      <c r="CA88" s="187"/>
      <c r="CB88" s="187"/>
      <c r="CC88" s="187"/>
      <c r="CD88" s="187"/>
    </row>
    <row r="89" spans="2:82" s="41" customFormat="1" ht="27.95" hidden="1" customHeight="1">
      <c r="B89" s="149"/>
      <c r="C89" s="42"/>
      <c r="D89" s="42"/>
      <c r="E89" s="42"/>
      <c r="F89" s="42"/>
      <c r="G89" s="42"/>
      <c r="M89" s="68"/>
      <c r="N89" s="69"/>
      <c r="O89" s="69"/>
      <c r="P89" s="69"/>
      <c r="Q89" s="69"/>
      <c r="R89" s="69"/>
      <c r="S89" s="70"/>
      <c r="T89" s="68"/>
      <c r="U89" s="68"/>
      <c r="V89" s="67"/>
      <c r="AM89" s="9"/>
      <c r="AN89" s="9"/>
      <c r="AO89" s="9"/>
      <c r="AP89" s="9"/>
      <c r="AQ89" s="9"/>
      <c r="AR89" s="9"/>
      <c r="AS89" s="9"/>
      <c r="AT89" s="9"/>
      <c r="AU89" s="9"/>
      <c r="AV89" s="9"/>
      <c r="AW89" s="9"/>
      <c r="AX89" s="187"/>
      <c r="AY89" s="187"/>
      <c r="AZ89" s="187"/>
      <c r="BA89" s="187"/>
      <c r="BB89" s="187"/>
      <c r="BC89" s="187"/>
      <c r="BD89" s="187"/>
      <c r="BE89" s="187"/>
      <c r="BF89" s="187"/>
      <c r="BG89" s="187"/>
      <c r="BH89" s="187"/>
      <c r="BI89" s="187"/>
      <c r="BJ89" s="187"/>
      <c r="BK89" s="187"/>
      <c r="BL89" s="187"/>
      <c r="BM89" s="187"/>
      <c r="BN89" s="187"/>
      <c r="BO89" s="187"/>
      <c r="BP89" s="187"/>
      <c r="BQ89" s="187"/>
      <c r="BR89" s="187"/>
      <c r="BS89" s="187"/>
      <c r="BT89" s="187"/>
      <c r="BU89" s="187"/>
      <c r="BV89" s="187"/>
      <c r="BW89" s="187"/>
      <c r="BX89" s="187"/>
      <c r="BY89" s="187"/>
      <c r="BZ89" s="187"/>
      <c r="CA89" s="187"/>
      <c r="CB89" s="187"/>
      <c r="CC89" s="187"/>
      <c r="CD89" s="187"/>
    </row>
    <row r="90" spans="2:82" s="41" customFormat="1" ht="27.95" hidden="1" customHeight="1">
      <c r="B90" s="149"/>
      <c r="C90" s="42"/>
      <c r="D90" s="42"/>
      <c r="E90" s="42"/>
      <c r="F90" s="42"/>
      <c r="G90" s="42"/>
      <c r="M90" s="68"/>
      <c r="N90" s="69"/>
      <c r="O90" s="69"/>
      <c r="P90" s="69"/>
      <c r="Q90" s="69"/>
      <c r="R90" s="69"/>
      <c r="S90" s="70"/>
      <c r="T90" s="68"/>
      <c r="U90" s="68"/>
      <c r="V90" s="67"/>
      <c r="AM90" s="9"/>
      <c r="AN90" s="9"/>
      <c r="AO90" s="9"/>
      <c r="AP90" s="9"/>
      <c r="AQ90" s="9"/>
      <c r="AR90" s="9"/>
      <c r="AS90" s="9"/>
      <c r="AT90" s="9"/>
      <c r="AU90" s="9"/>
      <c r="AV90" s="9"/>
      <c r="AW90" s="9"/>
      <c r="AX90" s="187"/>
      <c r="AY90" s="187"/>
      <c r="AZ90" s="187"/>
      <c r="BA90" s="187"/>
      <c r="BB90" s="187"/>
      <c r="BC90" s="187"/>
      <c r="BD90" s="187"/>
      <c r="BE90" s="187"/>
      <c r="BF90" s="187"/>
      <c r="BG90" s="187"/>
      <c r="BH90" s="187"/>
      <c r="BI90" s="187"/>
      <c r="BJ90" s="187"/>
      <c r="BK90" s="187"/>
      <c r="BL90" s="187"/>
      <c r="BM90" s="187"/>
      <c r="BN90" s="187"/>
      <c r="BO90" s="187"/>
      <c r="BP90" s="187"/>
      <c r="BQ90" s="187"/>
      <c r="BR90" s="187"/>
      <c r="BS90" s="187"/>
      <c r="BT90" s="187"/>
      <c r="BU90" s="187"/>
      <c r="BV90" s="187"/>
      <c r="BW90" s="187"/>
      <c r="BX90" s="187"/>
      <c r="BY90" s="187"/>
      <c r="BZ90" s="187"/>
      <c r="CA90" s="187"/>
      <c r="CB90" s="187"/>
      <c r="CC90" s="187"/>
      <c r="CD90" s="187"/>
    </row>
    <row r="91" spans="2:82" s="41" customFormat="1" ht="27.95" hidden="1" customHeight="1">
      <c r="B91" s="149"/>
      <c r="C91" s="42"/>
      <c r="D91" s="42"/>
      <c r="E91" s="42"/>
      <c r="F91" s="42"/>
      <c r="G91" s="42"/>
      <c r="M91" s="68"/>
      <c r="N91" s="69"/>
      <c r="O91" s="69"/>
      <c r="P91" s="69"/>
      <c r="Q91" s="69"/>
      <c r="R91" s="69"/>
      <c r="S91" s="70"/>
      <c r="T91" s="68"/>
      <c r="U91" s="68"/>
      <c r="V91" s="67"/>
      <c r="AM91" s="9"/>
      <c r="AN91" s="9"/>
      <c r="AO91" s="9"/>
      <c r="AP91" s="9"/>
      <c r="AQ91" s="9"/>
      <c r="AR91" s="9"/>
      <c r="AS91" s="9"/>
      <c r="AT91" s="9"/>
      <c r="AU91" s="9"/>
      <c r="AV91" s="9"/>
      <c r="AW91" s="9"/>
      <c r="AX91" s="187"/>
      <c r="AY91" s="187"/>
      <c r="AZ91" s="187"/>
      <c r="BA91" s="187"/>
      <c r="BB91" s="187"/>
      <c r="BC91" s="187"/>
      <c r="BD91" s="187"/>
      <c r="BE91" s="187"/>
      <c r="BF91" s="187"/>
      <c r="BG91" s="187"/>
      <c r="BH91" s="187"/>
      <c r="BI91" s="187"/>
      <c r="BJ91" s="187"/>
      <c r="BK91" s="187"/>
      <c r="BL91" s="187"/>
      <c r="BM91" s="187"/>
      <c r="BN91" s="187"/>
      <c r="BO91" s="187"/>
      <c r="BP91" s="187"/>
      <c r="BQ91" s="187"/>
      <c r="BR91" s="187"/>
      <c r="BS91" s="187"/>
      <c r="BT91" s="187"/>
      <c r="BU91" s="187"/>
      <c r="BV91" s="187"/>
      <c r="BW91" s="187"/>
      <c r="BX91" s="187"/>
      <c r="BY91" s="187"/>
      <c r="BZ91" s="187"/>
      <c r="CA91" s="187"/>
      <c r="CB91" s="187"/>
      <c r="CC91" s="187"/>
      <c r="CD91" s="187"/>
    </row>
    <row r="92" spans="2:82" s="41" customFormat="1" ht="27.95" hidden="1" customHeight="1">
      <c r="B92" s="149"/>
      <c r="C92" s="42"/>
      <c r="D92" s="42"/>
      <c r="E92" s="42"/>
      <c r="F92" s="42"/>
      <c r="G92" s="42"/>
      <c r="M92" s="68"/>
      <c r="N92" s="69"/>
      <c r="O92" s="69"/>
      <c r="P92" s="69"/>
      <c r="Q92" s="69"/>
      <c r="R92" s="69"/>
      <c r="S92" s="70"/>
      <c r="T92" s="68"/>
      <c r="U92" s="68"/>
      <c r="V92" s="67"/>
      <c r="AF92" s="9"/>
      <c r="AG92" s="9"/>
      <c r="AH92" s="9"/>
      <c r="AI92" s="9"/>
      <c r="AJ92" s="9"/>
      <c r="AK92" s="9"/>
      <c r="AL92" s="9"/>
      <c r="AM92" s="9"/>
      <c r="AN92" s="9"/>
      <c r="AO92" s="9"/>
      <c r="AP92" s="9"/>
      <c r="AQ92" s="9"/>
      <c r="AR92" s="9"/>
      <c r="AS92" s="9"/>
      <c r="AT92" s="9"/>
      <c r="AU92" s="9"/>
      <c r="AV92" s="9"/>
      <c r="AW92" s="9"/>
      <c r="AX92" s="187"/>
      <c r="AY92" s="187"/>
      <c r="AZ92" s="187"/>
      <c r="BA92" s="187"/>
      <c r="BB92" s="187"/>
      <c r="BC92" s="187"/>
      <c r="BD92" s="187"/>
      <c r="BE92" s="187"/>
      <c r="BF92" s="187"/>
      <c r="BG92" s="187"/>
      <c r="BH92" s="187"/>
      <c r="BI92" s="187"/>
      <c r="BJ92" s="187"/>
      <c r="BK92" s="187"/>
      <c r="BL92" s="187"/>
      <c r="BM92" s="187"/>
      <c r="BN92" s="187"/>
      <c r="BO92" s="187"/>
      <c r="BP92" s="187"/>
      <c r="BQ92" s="187"/>
      <c r="BR92" s="187"/>
      <c r="BS92" s="187"/>
      <c r="BT92" s="187"/>
      <c r="BU92" s="187"/>
      <c r="BV92" s="187"/>
      <c r="BW92" s="187"/>
      <c r="BX92" s="187"/>
      <c r="BY92" s="187"/>
      <c r="BZ92" s="187"/>
      <c r="CA92" s="187"/>
      <c r="CB92" s="187"/>
      <c r="CC92" s="187"/>
      <c r="CD92" s="187"/>
    </row>
    <row r="93" spans="2:82" s="41" customFormat="1" ht="27.95" hidden="1" customHeight="1">
      <c r="B93" s="149"/>
      <c r="C93" s="42"/>
      <c r="D93" s="42"/>
      <c r="E93" s="42"/>
      <c r="F93" s="42"/>
      <c r="G93" s="42"/>
      <c r="M93" s="68"/>
      <c r="N93" s="69"/>
      <c r="O93" s="69"/>
      <c r="P93" s="69"/>
      <c r="Q93" s="69"/>
      <c r="R93" s="69"/>
      <c r="S93" s="70"/>
      <c r="T93" s="68"/>
      <c r="U93" s="68"/>
      <c r="V93" s="67"/>
      <c r="AF93" s="9"/>
      <c r="AG93" s="9"/>
      <c r="AH93" s="9"/>
      <c r="AI93" s="9"/>
      <c r="AJ93" s="9"/>
      <c r="AK93" s="9"/>
      <c r="AL93" s="9"/>
      <c r="AM93" s="9"/>
      <c r="AN93" s="9"/>
      <c r="AO93" s="9"/>
      <c r="AP93" s="9"/>
      <c r="AQ93" s="9"/>
      <c r="AR93" s="9"/>
      <c r="AS93" s="9"/>
      <c r="AT93" s="9"/>
      <c r="AU93" s="9"/>
      <c r="AV93" s="9"/>
      <c r="AW93" s="9"/>
      <c r="AX93" s="187"/>
      <c r="AY93" s="187"/>
      <c r="AZ93" s="187"/>
      <c r="BA93" s="187"/>
      <c r="BB93" s="187"/>
      <c r="BC93" s="187"/>
      <c r="BD93" s="187"/>
      <c r="BE93" s="187"/>
      <c r="BF93" s="187"/>
      <c r="BG93" s="187"/>
      <c r="BH93" s="187"/>
      <c r="BI93" s="187"/>
      <c r="BJ93" s="187"/>
      <c r="BK93" s="187"/>
      <c r="BL93" s="187"/>
      <c r="BM93" s="187"/>
      <c r="BN93" s="187"/>
      <c r="BO93" s="187"/>
      <c r="BP93" s="187"/>
      <c r="BQ93" s="187"/>
      <c r="BR93" s="187"/>
      <c r="BS93" s="187"/>
      <c r="BT93" s="187"/>
      <c r="BU93" s="187"/>
      <c r="BV93" s="187"/>
      <c r="BW93" s="187"/>
      <c r="BX93" s="187"/>
      <c r="BY93" s="187"/>
      <c r="BZ93" s="187"/>
      <c r="CA93" s="187"/>
      <c r="CB93" s="187"/>
      <c r="CC93" s="187"/>
      <c r="CD93" s="187"/>
    </row>
    <row r="94" spans="2:82" s="41" customFormat="1" ht="27.95" hidden="1" customHeight="1">
      <c r="B94" s="149"/>
      <c r="C94" s="42"/>
      <c r="D94" s="42"/>
      <c r="E94" s="42"/>
      <c r="F94" s="42"/>
      <c r="G94" s="42"/>
      <c r="M94" s="68"/>
      <c r="N94" s="69"/>
      <c r="O94" s="69"/>
      <c r="P94" s="69"/>
      <c r="Q94" s="69"/>
      <c r="R94" s="69"/>
      <c r="S94" s="70"/>
      <c r="T94" s="68"/>
      <c r="U94" s="68"/>
      <c r="V94" s="67"/>
      <c r="AF94" s="9"/>
      <c r="AG94" s="9"/>
      <c r="AH94" s="9"/>
      <c r="AI94" s="9"/>
      <c r="AJ94" s="9"/>
      <c r="AK94" s="9"/>
      <c r="AL94" s="9"/>
      <c r="AM94" s="9"/>
      <c r="AN94" s="9"/>
      <c r="AO94" s="9"/>
      <c r="AP94" s="9"/>
      <c r="AQ94" s="9"/>
      <c r="AR94" s="9"/>
      <c r="AS94" s="9"/>
      <c r="AT94" s="9"/>
      <c r="AU94" s="9"/>
      <c r="AV94" s="9"/>
      <c r="AW94" s="9"/>
      <c r="AX94" s="187"/>
      <c r="AY94" s="187"/>
      <c r="AZ94" s="187"/>
      <c r="BA94" s="187"/>
      <c r="BB94" s="187"/>
      <c r="BC94" s="187"/>
      <c r="BD94" s="187"/>
      <c r="BE94" s="187"/>
      <c r="BF94" s="187"/>
      <c r="BG94" s="187"/>
      <c r="BH94" s="187"/>
      <c r="BI94" s="187"/>
      <c r="BJ94" s="187"/>
      <c r="BK94" s="187"/>
      <c r="BL94" s="187"/>
      <c r="BM94" s="187"/>
      <c r="BN94" s="187"/>
      <c r="BO94" s="187"/>
      <c r="BP94" s="187"/>
      <c r="BQ94" s="187"/>
      <c r="BR94" s="187"/>
      <c r="BS94" s="187"/>
      <c r="BT94" s="187"/>
      <c r="BU94" s="187"/>
      <c r="BV94" s="187"/>
      <c r="BW94" s="187"/>
      <c r="BX94" s="187"/>
      <c r="BY94" s="187"/>
      <c r="BZ94" s="187"/>
      <c r="CA94" s="187"/>
      <c r="CB94" s="187"/>
      <c r="CC94" s="187"/>
      <c r="CD94" s="187"/>
    </row>
    <row r="95" spans="2:82" s="41" customFormat="1" ht="27.95" hidden="1" customHeight="1">
      <c r="B95" s="149"/>
      <c r="C95" s="42"/>
      <c r="D95" s="42"/>
      <c r="E95" s="42"/>
      <c r="F95" s="42"/>
      <c r="G95" s="42"/>
      <c r="M95" s="68"/>
      <c r="N95" s="69"/>
      <c r="O95" s="69"/>
      <c r="P95" s="69"/>
      <c r="Q95" s="69"/>
      <c r="R95" s="69"/>
      <c r="S95" s="70"/>
      <c r="T95" s="68"/>
      <c r="U95" s="68"/>
      <c r="V95" s="67"/>
      <c r="AF95" s="9"/>
      <c r="AG95" s="9"/>
      <c r="AH95" s="9"/>
      <c r="AI95" s="9"/>
      <c r="AJ95" s="9"/>
      <c r="AK95" s="9"/>
      <c r="AL95" s="9"/>
      <c r="AM95" s="9"/>
      <c r="AN95" s="9"/>
      <c r="AO95" s="9"/>
      <c r="AP95" s="9"/>
      <c r="AQ95" s="9"/>
      <c r="AR95" s="9"/>
      <c r="AS95" s="9"/>
      <c r="AT95" s="9"/>
      <c r="AU95" s="9"/>
      <c r="AV95" s="9"/>
      <c r="AW95" s="9"/>
      <c r="AX95" s="187"/>
      <c r="AY95" s="187"/>
      <c r="AZ95" s="187"/>
      <c r="BA95" s="187"/>
      <c r="BB95" s="187"/>
      <c r="BC95" s="187"/>
      <c r="BD95" s="187"/>
      <c r="BE95" s="187"/>
      <c r="BF95" s="187"/>
      <c r="BG95" s="187"/>
      <c r="BH95" s="187"/>
      <c r="BI95" s="187"/>
      <c r="BJ95" s="187"/>
      <c r="BK95" s="187"/>
      <c r="BL95" s="187"/>
      <c r="BM95" s="187"/>
      <c r="BN95" s="187"/>
      <c r="BO95" s="187"/>
      <c r="BP95" s="187"/>
      <c r="BQ95" s="187"/>
      <c r="BR95" s="187"/>
      <c r="BS95" s="187"/>
      <c r="BT95" s="187"/>
      <c r="BU95" s="187"/>
      <c r="BV95" s="187"/>
      <c r="BW95" s="187"/>
      <c r="BX95" s="187"/>
      <c r="BY95" s="187"/>
      <c r="BZ95" s="187"/>
      <c r="CA95" s="187"/>
      <c r="CB95" s="187"/>
      <c r="CC95" s="187"/>
      <c r="CD95" s="187"/>
    </row>
    <row r="96" spans="2:82" s="41" customFormat="1" ht="27.95" hidden="1" customHeight="1">
      <c r="B96" s="149"/>
      <c r="C96" s="42"/>
      <c r="D96" s="42"/>
      <c r="E96" s="42"/>
      <c r="F96" s="42"/>
      <c r="G96" s="42"/>
      <c r="M96" s="68"/>
      <c r="N96" s="69"/>
      <c r="O96" s="69"/>
      <c r="P96" s="69"/>
      <c r="Q96" s="69"/>
      <c r="R96" s="69"/>
      <c r="S96" s="70"/>
      <c r="T96" s="68"/>
      <c r="U96" s="68"/>
      <c r="V96" s="67"/>
      <c r="AF96" s="9"/>
      <c r="AG96" s="9"/>
      <c r="AH96" s="9"/>
      <c r="AI96" s="9"/>
      <c r="AJ96" s="9"/>
      <c r="AK96" s="9"/>
      <c r="AL96" s="9"/>
      <c r="AM96" s="9"/>
      <c r="AN96" s="9"/>
      <c r="AO96" s="9"/>
      <c r="AP96" s="9"/>
      <c r="AQ96" s="9"/>
      <c r="AR96" s="9"/>
      <c r="AS96" s="9"/>
      <c r="AT96" s="9"/>
      <c r="AU96" s="9"/>
      <c r="AV96" s="9"/>
      <c r="AW96" s="9"/>
      <c r="AX96" s="187"/>
      <c r="AY96" s="187"/>
      <c r="AZ96" s="187"/>
      <c r="BA96" s="187"/>
      <c r="BB96" s="187"/>
      <c r="BC96" s="187"/>
      <c r="BD96" s="187"/>
      <c r="BE96" s="187"/>
      <c r="BF96" s="187"/>
      <c r="BG96" s="187"/>
      <c r="BH96" s="187"/>
      <c r="BI96" s="187"/>
      <c r="BJ96" s="187"/>
      <c r="BK96" s="187"/>
      <c r="BL96" s="187"/>
      <c r="BM96" s="187"/>
      <c r="BN96" s="187"/>
      <c r="BO96" s="187"/>
      <c r="BP96" s="187"/>
      <c r="BQ96" s="187"/>
      <c r="BR96" s="187"/>
      <c r="BS96" s="187"/>
      <c r="BT96" s="187"/>
      <c r="BU96" s="187"/>
      <c r="BV96" s="187"/>
      <c r="BW96" s="187"/>
      <c r="BX96" s="187"/>
      <c r="BY96" s="187"/>
      <c r="BZ96" s="187"/>
      <c r="CA96" s="187"/>
      <c r="CB96" s="187"/>
      <c r="CC96" s="187"/>
      <c r="CD96" s="187"/>
    </row>
    <row r="97" spans="2:82" s="41" customFormat="1" ht="27.95" hidden="1" customHeight="1">
      <c r="B97" s="149"/>
      <c r="C97" s="42"/>
      <c r="D97" s="42"/>
      <c r="E97" s="42"/>
      <c r="F97" s="42"/>
      <c r="G97" s="42"/>
      <c r="M97" s="68"/>
      <c r="N97" s="69"/>
      <c r="O97" s="69"/>
      <c r="P97" s="69"/>
      <c r="Q97" s="69"/>
      <c r="R97" s="69"/>
      <c r="S97" s="70"/>
      <c r="T97" s="68"/>
      <c r="U97" s="68"/>
      <c r="V97" s="67"/>
      <c r="AF97" s="9"/>
      <c r="AG97" s="9"/>
      <c r="AH97" s="9"/>
      <c r="AI97" s="9"/>
      <c r="AJ97" s="9"/>
      <c r="AK97" s="9"/>
      <c r="AL97" s="9"/>
      <c r="AM97" s="9"/>
      <c r="AN97" s="9"/>
      <c r="AO97" s="9"/>
      <c r="AP97" s="9"/>
      <c r="AQ97" s="9"/>
      <c r="AR97" s="9"/>
      <c r="AS97" s="9"/>
      <c r="AT97" s="9"/>
      <c r="AU97" s="9"/>
      <c r="AV97" s="9"/>
      <c r="AW97" s="9"/>
      <c r="AX97" s="187"/>
      <c r="AY97" s="187"/>
      <c r="AZ97" s="187"/>
      <c r="BA97" s="187"/>
      <c r="BB97" s="187"/>
      <c r="BC97" s="187"/>
      <c r="BD97" s="187"/>
      <c r="BE97" s="187"/>
      <c r="BF97" s="187"/>
      <c r="BG97" s="187"/>
      <c r="BH97" s="187"/>
      <c r="BI97" s="187"/>
      <c r="BJ97" s="187"/>
      <c r="BK97" s="187"/>
      <c r="BL97" s="187"/>
      <c r="BM97" s="187"/>
      <c r="BN97" s="187"/>
      <c r="BO97" s="187"/>
      <c r="BP97" s="187"/>
      <c r="BQ97" s="187"/>
      <c r="BR97" s="187"/>
      <c r="BS97" s="187"/>
      <c r="BT97" s="187"/>
      <c r="BU97" s="187"/>
      <c r="BV97" s="187"/>
      <c r="BW97" s="187"/>
      <c r="BX97" s="187"/>
      <c r="BY97" s="187"/>
      <c r="BZ97" s="187"/>
      <c r="CA97" s="187"/>
      <c r="CB97" s="187"/>
      <c r="CC97" s="187"/>
      <c r="CD97" s="187"/>
    </row>
    <row r="98" spans="2:82" s="41" customFormat="1" ht="27.95" hidden="1" customHeight="1">
      <c r="B98" s="149"/>
      <c r="C98" s="42"/>
      <c r="D98" s="42"/>
      <c r="E98" s="42"/>
      <c r="F98" s="42"/>
      <c r="G98" s="42"/>
      <c r="M98" s="68"/>
      <c r="N98" s="69"/>
      <c r="O98" s="69"/>
      <c r="P98" s="69"/>
      <c r="Q98" s="69"/>
      <c r="R98" s="69"/>
      <c r="S98" s="70"/>
      <c r="T98" s="68"/>
      <c r="U98" s="68"/>
      <c r="V98" s="67"/>
      <c r="AF98" s="9"/>
      <c r="AG98" s="9"/>
      <c r="AH98" s="9"/>
      <c r="AI98" s="9"/>
      <c r="AJ98" s="9"/>
      <c r="AK98" s="9"/>
      <c r="AL98" s="9"/>
      <c r="AM98" s="9"/>
      <c r="AN98" s="9"/>
      <c r="AO98" s="9"/>
      <c r="AP98" s="9"/>
      <c r="AQ98" s="9"/>
      <c r="AR98" s="9"/>
      <c r="AS98" s="9"/>
      <c r="AT98" s="9"/>
      <c r="AU98" s="9"/>
      <c r="AV98" s="9"/>
      <c r="AW98" s="9"/>
      <c r="AX98" s="187"/>
      <c r="AY98" s="187"/>
      <c r="AZ98" s="187"/>
      <c r="BA98" s="187"/>
      <c r="BB98" s="187"/>
      <c r="BC98" s="187"/>
      <c r="BD98" s="187"/>
      <c r="BE98" s="187"/>
      <c r="BF98" s="187"/>
      <c r="BG98" s="187"/>
      <c r="BH98" s="187"/>
      <c r="BI98" s="187"/>
      <c r="BJ98" s="187"/>
      <c r="BK98" s="187"/>
      <c r="BL98" s="187"/>
      <c r="BM98" s="187"/>
      <c r="BN98" s="187"/>
      <c r="BO98" s="187"/>
      <c r="BP98" s="187"/>
      <c r="BQ98" s="187"/>
      <c r="BR98" s="187"/>
      <c r="BS98" s="187"/>
      <c r="BT98" s="187"/>
      <c r="BU98" s="187"/>
      <c r="BV98" s="187"/>
      <c r="BW98" s="187"/>
      <c r="BX98" s="187"/>
      <c r="BY98" s="187"/>
      <c r="BZ98" s="187"/>
      <c r="CA98" s="187"/>
      <c r="CB98" s="187"/>
      <c r="CC98" s="187"/>
      <c r="CD98" s="187"/>
    </row>
    <row r="99" spans="2:82" s="41" customFormat="1" ht="27.95" hidden="1" customHeight="1">
      <c r="B99" s="149"/>
      <c r="C99" s="42"/>
      <c r="D99" s="42"/>
      <c r="E99" s="42"/>
      <c r="F99" s="42"/>
      <c r="G99" s="42"/>
      <c r="M99" s="68"/>
      <c r="N99" s="69"/>
      <c r="O99" s="69"/>
      <c r="P99" s="69"/>
      <c r="Q99" s="69"/>
      <c r="R99" s="69"/>
      <c r="S99" s="70"/>
      <c r="T99" s="68"/>
      <c r="U99" s="68"/>
      <c r="V99" s="67"/>
      <c r="AF99" s="9"/>
      <c r="AG99" s="9"/>
      <c r="AH99" s="9"/>
      <c r="AI99" s="9"/>
      <c r="AJ99" s="9"/>
      <c r="AK99" s="9"/>
      <c r="AL99" s="9"/>
      <c r="AM99" s="9"/>
      <c r="AN99" s="9"/>
      <c r="AO99" s="9"/>
      <c r="AP99" s="9"/>
      <c r="AQ99" s="9"/>
      <c r="AR99" s="9"/>
      <c r="AS99" s="9"/>
      <c r="AT99" s="9"/>
      <c r="AU99" s="9"/>
      <c r="AV99" s="9"/>
      <c r="AW99" s="9"/>
      <c r="AX99" s="187"/>
      <c r="AY99" s="187"/>
      <c r="AZ99" s="187"/>
      <c r="BA99" s="187"/>
      <c r="BB99" s="187"/>
      <c r="BC99" s="187"/>
      <c r="BD99" s="187"/>
      <c r="BE99" s="187"/>
      <c r="BF99" s="187"/>
      <c r="BG99" s="187"/>
      <c r="BH99" s="187"/>
      <c r="BI99" s="187"/>
      <c r="BJ99" s="187"/>
      <c r="BK99" s="187"/>
      <c r="BL99" s="187"/>
      <c r="BM99" s="187"/>
      <c r="BN99" s="187"/>
      <c r="BO99" s="187"/>
      <c r="BP99" s="187"/>
      <c r="BQ99" s="187"/>
      <c r="BR99" s="187"/>
      <c r="BS99" s="187"/>
      <c r="BT99" s="187"/>
      <c r="BU99" s="187"/>
      <c r="BV99" s="187"/>
      <c r="BW99" s="187"/>
      <c r="BX99" s="187"/>
      <c r="BY99" s="187"/>
      <c r="BZ99" s="187"/>
      <c r="CA99" s="187"/>
      <c r="CB99" s="187"/>
      <c r="CC99" s="187"/>
      <c r="CD99" s="187"/>
    </row>
    <row r="100" spans="2:82" s="41" customFormat="1" ht="27.95" hidden="1" customHeight="1">
      <c r="B100" s="149"/>
      <c r="C100" s="42"/>
      <c r="D100" s="42"/>
      <c r="E100" s="42"/>
      <c r="F100" s="42"/>
      <c r="G100" s="42"/>
      <c r="M100" s="68"/>
      <c r="N100" s="69"/>
      <c r="O100" s="69"/>
      <c r="P100" s="69"/>
      <c r="Q100" s="69"/>
      <c r="R100" s="69"/>
      <c r="S100" s="70"/>
      <c r="T100" s="68"/>
      <c r="U100" s="68"/>
      <c r="V100" s="67"/>
      <c r="AF100" s="9"/>
      <c r="AG100" s="9"/>
      <c r="AH100" s="9"/>
      <c r="AI100" s="9"/>
      <c r="AJ100" s="9"/>
      <c r="AK100" s="9"/>
      <c r="AL100" s="9"/>
      <c r="AM100" s="9"/>
      <c r="AN100" s="9"/>
      <c r="AO100" s="9"/>
      <c r="AP100" s="9"/>
      <c r="AQ100" s="9"/>
      <c r="AR100" s="9"/>
      <c r="AS100" s="9"/>
      <c r="AT100" s="9"/>
      <c r="AU100" s="9"/>
      <c r="AV100" s="9"/>
      <c r="AW100" s="9"/>
      <c r="AX100" s="187"/>
      <c r="AY100" s="187"/>
      <c r="AZ100" s="187"/>
      <c r="BA100" s="187"/>
      <c r="BB100" s="187"/>
      <c r="BC100" s="187"/>
      <c r="BD100" s="187"/>
      <c r="BE100" s="187"/>
      <c r="BF100" s="187"/>
      <c r="BG100" s="187"/>
      <c r="BH100" s="187"/>
      <c r="BI100" s="187"/>
      <c r="BJ100" s="187"/>
      <c r="BK100" s="187"/>
      <c r="BL100" s="187"/>
      <c r="BM100" s="187"/>
      <c r="BN100" s="187"/>
      <c r="BO100" s="187"/>
      <c r="BP100" s="187"/>
      <c r="BQ100" s="187"/>
      <c r="BR100" s="187"/>
      <c r="BS100" s="187"/>
      <c r="BT100" s="187"/>
      <c r="BU100" s="187"/>
      <c r="BV100" s="187"/>
      <c r="BW100" s="187"/>
      <c r="BX100" s="187"/>
      <c r="BY100" s="187"/>
      <c r="BZ100" s="187"/>
      <c r="CA100" s="187"/>
      <c r="CB100" s="187"/>
      <c r="CC100" s="187"/>
      <c r="CD100" s="187"/>
    </row>
    <row r="101" spans="2:82" s="41" customFormat="1" ht="27.95" hidden="1" customHeight="1">
      <c r="B101" s="149"/>
      <c r="C101" s="42"/>
      <c r="D101" s="42"/>
      <c r="E101" s="42"/>
      <c r="F101" s="42"/>
      <c r="G101" s="42"/>
      <c r="M101" s="68"/>
      <c r="N101" s="69"/>
      <c r="O101" s="69"/>
      <c r="P101" s="69"/>
      <c r="Q101" s="69"/>
      <c r="R101" s="69"/>
      <c r="S101" s="70"/>
      <c r="T101" s="68"/>
      <c r="U101" s="68"/>
      <c r="V101" s="67"/>
      <c r="AF101" s="9"/>
      <c r="AG101" s="9"/>
      <c r="AH101" s="9"/>
      <c r="AI101" s="9"/>
      <c r="AJ101" s="9"/>
      <c r="AK101" s="9"/>
      <c r="AL101" s="9"/>
      <c r="AM101" s="9"/>
      <c r="AN101" s="9"/>
      <c r="AO101" s="9"/>
      <c r="AP101" s="9"/>
      <c r="AQ101" s="9"/>
      <c r="AR101" s="9"/>
      <c r="AS101" s="9"/>
      <c r="AT101" s="9"/>
      <c r="AU101" s="9"/>
      <c r="AV101" s="9"/>
      <c r="AW101" s="9"/>
      <c r="AX101" s="187"/>
      <c r="AY101" s="187"/>
      <c r="AZ101" s="187"/>
      <c r="BA101" s="187"/>
      <c r="BB101" s="187"/>
      <c r="BC101" s="187"/>
      <c r="BD101" s="187"/>
      <c r="BE101" s="187"/>
      <c r="BF101" s="187"/>
      <c r="BG101" s="187"/>
      <c r="BH101" s="187"/>
      <c r="BI101" s="187"/>
      <c r="BJ101" s="187"/>
      <c r="BK101" s="187"/>
      <c r="BL101" s="187"/>
      <c r="BM101" s="187"/>
      <c r="BN101" s="187"/>
      <c r="BO101" s="187"/>
      <c r="BP101" s="187"/>
      <c r="BQ101" s="187"/>
      <c r="BR101" s="187"/>
      <c r="BS101" s="187"/>
      <c r="BT101" s="187"/>
      <c r="BU101" s="187"/>
      <c r="BV101" s="187"/>
      <c r="BW101" s="187"/>
      <c r="BX101" s="187"/>
      <c r="BY101" s="187"/>
      <c r="BZ101" s="187"/>
      <c r="CA101" s="187"/>
      <c r="CB101" s="187"/>
      <c r="CC101" s="187"/>
      <c r="CD101" s="187"/>
    </row>
    <row r="102" spans="2:82" ht="27.75" hidden="1" customHeight="1">
      <c r="C102" s="42"/>
      <c r="D102" s="42"/>
      <c r="E102" s="42"/>
      <c r="F102" s="42"/>
      <c r="G102" s="42"/>
      <c r="H102" s="41"/>
    </row>
    <row r="103" spans="2:82" ht="27.75" hidden="1" customHeight="1">
      <c r="C103" s="42"/>
      <c r="D103" s="42"/>
      <c r="E103" s="42"/>
      <c r="F103" s="42"/>
      <c r="G103" s="42"/>
      <c r="H103" s="41"/>
    </row>
    <row r="104" spans="2:82" ht="27.75" hidden="1" customHeight="1">
      <c r="C104" s="42"/>
      <c r="D104" s="42"/>
      <c r="E104" s="42"/>
      <c r="F104" s="42"/>
      <c r="G104" s="42"/>
      <c r="H104" s="41"/>
    </row>
    <row r="105" spans="2:82" ht="27.75" hidden="1" customHeight="1">
      <c r="C105" s="42"/>
      <c r="D105" s="42"/>
      <c r="E105" s="42"/>
      <c r="F105" s="42"/>
      <c r="G105" s="42"/>
      <c r="H105" s="41"/>
    </row>
    <row r="106" spans="2:82" ht="27.75" hidden="1" customHeight="1">
      <c r="C106" s="42"/>
      <c r="D106" s="42"/>
      <c r="E106" s="42"/>
      <c r="F106" s="42"/>
      <c r="G106" s="42"/>
      <c r="H106" s="41"/>
    </row>
    <row r="107" spans="2:82" ht="27.75" hidden="1" customHeight="1"/>
    <row r="108" spans="2:82" ht="27.75" hidden="1" customHeight="1"/>
    <row r="109" spans="2:82" ht="27.75" hidden="1" customHeight="1"/>
    <row r="110" spans="2:82" ht="27.75" hidden="1" customHeight="1"/>
  </sheetData>
  <sheetProtection algorithmName="SHA-512" hashValue="lTq2hriylt3J6MuMdKYEbO4K2+JgAyC59xdbjxz2QJ52mz7qiFFCCdexcpXM6mq6bGlg70WF/s6qtO50ZCxUdQ==" saltValue="r3cl2fr0FR3x7lYKQw9+9A==" spinCount="100000" sheet="1" formatCells="0" formatColumns="0" formatRows="0" selectLockedCells="1"/>
  <mergeCells count="330">
    <mergeCell ref="AP25:AW25"/>
    <mergeCell ref="P25:P31"/>
    <mergeCell ref="O25:O31"/>
    <mergeCell ref="AP27:AQ27"/>
    <mergeCell ref="AP28:AQ28"/>
    <mergeCell ref="AP29:AQ29"/>
    <mergeCell ref="AP30:AQ30"/>
    <mergeCell ref="AP31:AQ31"/>
    <mergeCell ref="AR26:AW26"/>
    <mergeCell ref="AR28:AW28"/>
    <mergeCell ref="AR29:AW29"/>
    <mergeCell ref="AR30:AW30"/>
    <mergeCell ref="AR31:AW31"/>
    <mergeCell ref="AR27:AW27"/>
    <mergeCell ref="AP26:AQ26"/>
    <mergeCell ref="T25:T31"/>
    <mergeCell ref="S25:S31"/>
    <mergeCell ref="R25:R31"/>
    <mergeCell ref="Q25:Q31"/>
    <mergeCell ref="L25:L31"/>
    <mergeCell ref="AO25:AO31"/>
    <mergeCell ref="AN25:AN31"/>
    <mergeCell ref="AM25:AM31"/>
    <mergeCell ref="AL25:AL31"/>
    <mergeCell ref="AK25:AK31"/>
    <mergeCell ref="AJ25:AJ31"/>
    <mergeCell ref="AI25:AI31"/>
    <mergeCell ref="AH25:AH31"/>
    <mergeCell ref="AG25:AG31"/>
    <mergeCell ref="AF25:AF31"/>
    <mergeCell ref="AE25:AE31"/>
    <mergeCell ref="AD25:AD31"/>
    <mergeCell ref="AC25:AC31"/>
    <mergeCell ref="AB25:AB31"/>
    <mergeCell ref="AA25:AA31"/>
    <mergeCell ref="Z25:Z31"/>
    <mergeCell ref="Y25:Y31"/>
    <mergeCell ref="X25:X31"/>
    <mergeCell ref="W25:W31"/>
    <mergeCell ref="V25:V31"/>
    <mergeCell ref="U25:U31"/>
    <mergeCell ref="N25:N31"/>
    <mergeCell ref="M25:M31"/>
    <mergeCell ref="K25:K31"/>
    <mergeCell ref="C84:G84"/>
    <mergeCell ref="C85:G85"/>
    <mergeCell ref="C86:G86"/>
    <mergeCell ref="C79:G79"/>
    <mergeCell ref="C80:G80"/>
    <mergeCell ref="C43:G43"/>
    <mergeCell ref="C44:G44"/>
    <mergeCell ref="C82:G82"/>
    <mergeCell ref="C83:G83"/>
    <mergeCell ref="C53:G53"/>
    <mergeCell ref="C78:G78"/>
    <mergeCell ref="C76:G76"/>
    <mergeCell ref="C77:G77"/>
    <mergeCell ref="C34:G34"/>
    <mergeCell ref="C35:G35"/>
    <mergeCell ref="C36:G36"/>
    <mergeCell ref="C37:G37"/>
    <mergeCell ref="C32:G32"/>
    <mergeCell ref="C81:G81"/>
    <mergeCell ref="C38:G38"/>
    <mergeCell ref="C39:G39"/>
    <mergeCell ref="C40:G40"/>
    <mergeCell ref="C41:G41"/>
    <mergeCell ref="C15:G15"/>
    <mergeCell ref="C16:G16"/>
    <mergeCell ref="C17:G17"/>
    <mergeCell ref="C18:G18"/>
    <mergeCell ref="H15:J15"/>
    <mergeCell ref="C42:G42"/>
    <mergeCell ref="C45:G45"/>
    <mergeCell ref="C46:G46"/>
    <mergeCell ref="C47:G47"/>
    <mergeCell ref="H21:J21"/>
    <mergeCell ref="H22:J22"/>
    <mergeCell ref="H23:J23"/>
    <mergeCell ref="AP18:AQ18"/>
    <mergeCell ref="AP17:AQ17"/>
    <mergeCell ref="AV13:AW14"/>
    <mergeCell ref="AV15:AW15"/>
    <mergeCell ref="AV16:AW16"/>
    <mergeCell ref="AV17:AW17"/>
    <mergeCell ref="AV18:AW18"/>
    <mergeCell ref="AR17:AS17"/>
    <mergeCell ref="AR18:AS18"/>
    <mergeCell ref="AT13:AU14"/>
    <mergeCell ref="AT15:AU15"/>
    <mergeCell ref="AT16:AU16"/>
    <mergeCell ref="AT17:AU17"/>
    <mergeCell ref="AT18:AU18"/>
    <mergeCell ref="L3:O3"/>
    <mergeCell ref="P3:Q3"/>
    <mergeCell ref="L4:O4"/>
    <mergeCell ref="L5:O5"/>
    <mergeCell ref="P4:Q4"/>
    <mergeCell ref="P5:Q5"/>
    <mergeCell ref="AR13:AS14"/>
    <mergeCell ref="AR15:AS15"/>
    <mergeCell ref="AR16:AS16"/>
    <mergeCell ref="AP13:AQ14"/>
    <mergeCell ref="AP15:AQ15"/>
    <mergeCell ref="AP16:AQ16"/>
    <mergeCell ref="S3:V4"/>
    <mergeCell ref="W3:AF4"/>
    <mergeCell ref="AV23:AW23"/>
    <mergeCell ref="AV24:AW24"/>
    <mergeCell ref="AT19:AU19"/>
    <mergeCell ref="AT20:AU20"/>
    <mergeCell ref="AT21:AU21"/>
    <mergeCell ref="AT22:AU22"/>
    <mergeCell ref="AT23:AU23"/>
    <mergeCell ref="AV19:AW19"/>
    <mergeCell ref="AV20:AW20"/>
    <mergeCell ref="AV21:AW21"/>
    <mergeCell ref="AV22:AW22"/>
    <mergeCell ref="AT24:AU24"/>
    <mergeCell ref="A1:J2"/>
    <mergeCell ref="A3:J3"/>
    <mergeCell ref="A4:J5"/>
    <mergeCell ref="H13:J14"/>
    <mergeCell ref="H9:J9"/>
    <mergeCell ref="H7:J7"/>
    <mergeCell ref="H8:J8"/>
    <mergeCell ref="C13:G14"/>
    <mergeCell ref="A13:B14"/>
    <mergeCell ref="H12:J12"/>
    <mergeCell ref="C12:G12"/>
    <mergeCell ref="A12:B12"/>
    <mergeCell ref="A15:B15"/>
    <mergeCell ref="C33:G33"/>
    <mergeCell ref="A20:B20"/>
    <mergeCell ref="C21:G21"/>
    <mergeCell ref="C22:G22"/>
    <mergeCell ref="C23:G23"/>
    <mergeCell ref="C24:G24"/>
    <mergeCell ref="A21:B21"/>
    <mergeCell ref="A22:B22"/>
    <mergeCell ref="A23:B23"/>
    <mergeCell ref="A24:B24"/>
    <mergeCell ref="C19:G19"/>
    <mergeCell ref="C20:G20"/>
    <mergeCell ref="A16:B16"/>
    <mergeCell ref="A17:B17"/>
    <mergeCell ref="A18:B18"/>
    <mergeCell ref="A19:B19"/>
    <mergeCell ref="A25:J31"/>
    <mergeCell ref="H16:J16"/>
    <mergeCell ref="H17:J17"/>
    <mergeCell ref="H18:J18"/>
    <mergeCell ref="H20:J20"/>
    <mergeCell ref="H24:J24"/>
    <mergeCell ref="H19:J19"/>
    <mergeCell ref="AR24:AS24"/>
    <mergeCell ref="AP23:AQ23"/>
    <mergeCell ref="AP24:AQ24"/>
    <mergeCell ref="AR19:AS19"/>
    <mergeCell ref="AR20:AS20"/>
    <mergeCell ref="AP19:AQ19"/>
    <mergeCell ref="AP20:AQ20"/>
    <mergeCell ref="AP21:AQ21"/>
    <mergeCell ref="AP22:AQ22"/>
    <mergeCell ref="AR21:AS21"/>
    <mergeCell ref="AR22:AS22"/>
    <mergeCell ref="AR23:AS23"/>
    <mergeCell ref="BG32:BQ32"/>
    <mergeCell ref="BK33:BL34"/>
    <mergeCell ref="BB35:BD35"/>
    <mergeCell ref="BB36:BD36"/>
    <mergeCell ref="BB37:BD37"/>
    <mergeCell ref="BB38:BD38"/>
    <mergeCell ref="AY39:BA39"/>
    <mergeCell ref="AY40:BA40"/>
    <mergeCell ref="AY41:BA41"/>
    <mergeCell ref="M41:P41"/>
    <mergeCell ref="M48:P48"/>
    <mergeCell ref="M49:P49"/>
    <mergeCell ref="M50:P50"/>
    <mergeCell ref="M51:P51"/>
    <mergeCell ref="M52:P52"/>
    <mergeCell ref="M45:P45"/>
    <mergeCell ref="V33:Y33"/>
    <mergeCell ref="V34:Y34"/>
    <mergeCell ref="V35:Y35"/>
    <mergeCell ref="V36:Y36"/>
    <mergeCell ref="V38:Y38"/>
    <mergeCell ref="V39:Y39"/>
    <mergeCell ref="V40:Y40"/>
    <mergeCell ref="V41:Y41"/>
    <mergeCell ref="V37:Y37"/>
    <mergeCell ref="M40:P40"/>
    <mergeCell ref="V42:Y42"/>
    <mergeCell ref="V43:Y43"/>
    <mergeCell ref="V44:Y44"/>
    <mergeCell ref="V45:Y45"/>
    <mergeCell ref="V46:Y46"/>
    <mergeCell ref="V47:Y47"/>
    <mergeCell ref="AY44:BA44"/>
    <mergeCell ref="BE33:BJ33"/>
    <mergeCell ref="BK35:BL35"/>
    <mergeCell ref="BK36:BL36"/>
    <mergeCell ref="BK37:BL37"/>
    <mergeCell ref="BK38:BL38"/>
    <mergeCell ref="AY42:BA42"/>
    <mergeCell ref="AY43:BA43"/>
    <mergeCell ref="M42:P42"/>
    <mergeCell ref="M43:P43"/>
    <mergeCell ref="M44:P44"/>
    <mergeCell ref="Z37:AA37"/>
    <mergeCell ref="AB37:AC37"/>
    <mergeCell ref="AD37:AE37"/>
    <mergeCell ref="AF37:AG37"/>
    <mergeCell ref="AH37:AI37"/>
    <mergeCell ref="AJ37:AK37"/>
    <mergeCell ref="AL37:AM37"/>
    <mergeCell ref="AN37:AO37"/>
    <mergeCell ref="AP37:AQ37"/>
    <mergeCell ref="AR37:AS37"/>
    <mergeCell ref="AT37:AU37"/>
    <mergeCell ref="AV37:AW37"/>
    <mergeCell ref="M39:P39"/>
    <mergeCell ref="AF32:AN32"/>
    <mergeCell ref="V53:AB53"/>
    <mergeCell ref="M46:P46"/>
    <mergeCell ref="M47:P47"/>
    <mergeCell ref="C51:G51"/>
    <mergeCell ref="C52:G52"/>
    <mergeCell ref="C54:G54"/>
    <mergeCell ref="C55:G55"/>
    <mergeCell ref="C56:G56"/>
    <mergeCell ref="V48:Y48"/>
    <mergeCell ref="V49:Y49"/>
    <mergeCell ref="V50:Y50"/>
    <mergeCell ref="AJ34:AK34"/>
    <mergeCell ref="AH34:AI34"/>
    <mergeCell ref="AF34:AG34"/>
    <mergeCell ref="AC32:AD32"/>
    <mergeCell ref="V32:AB32"/>
    <mergeCell ref="M32:P32"/>
    <mergeCell ref="M33:P33"/>
    <mergeCell ref="M34:P34"/>
    <mergeCell ref="M35:P35"/>
    <mergeCell ref="M36:P36"/>
    <mergeCell ref="M37:P37"/>
    <mergeCell ref="M38:P38"/>
    <mergeCell ref="C75:G75"/>
    <mergeCell ref="M75:V75"/>
    <mergeCell ref="C66:G66"/>
    <mergeCell ref="C67:G67"/>
    <mergeCell ref="C68:G68"/>
    <mergeCell ref="C69:G69"/>
    <mergeCell ref="C70:G70"/>
    <mergeCell ref="C60:G60"/>
    <mergeCell ref="V51:Y51"/>
    <mergeCell ref="V52:Y52"/>
    <mergeCell ref="C57:G57"/>
    <mergeCell ref="C58:G58"/>
    <mergeCell ref="V73:X73"/>
    <mergeCell ref="V61:AB61"/>
    <mergeCell ref="V62:AB62"/>
    <mergeCell ref="V63:AB63"/>
    <mergeCell ref="V64:AB64"/>
    <mergeCell ref="C61:G61"/>
    <mergeCell ref="C62:G62"/>
    <mergeCell ref="C63:G63"/>
    <mergeCell ref="C64:G64"/>
    <mergeCell ref="C65:G65"/>
    <mergeCell ref="C48:G48"/>
    <mergeCell ref="C49:G49"/>
    <mergeCell ref="C50:G50"/>
    <mergeCell ref="M74:V74"/>
    <mergeCell ref="C71:G71"/>
    <mergeCell ref="C59:G59"/>
    <mergeCell ref="C72:G72"/>
    <mergeCell ref="C73:G73"/>
    <mergeCell ref="C74:G74"/>
    <mergeCell ref="AF33:AK33"/>
    <mergeCell ref="AA39:AC39"/>
    <mergeCell ref="AD39:AG39"/>
    <mergeCell ref="AD38:AG38"/>
    <mergeCell ref="Z38:AC38"/>
    <mergeCell ref="Z36:AA36"/>
    <mergeCell ref="AB36:AC36"/>
    <mergeCell ref="AD36:AE36"/>
    <mergeCell ref="AF36:AG36"/>
    <mergeCell ref="AH36:AI36"/>
    <mergeCell ref="AJ36:AK36"/>
    <mergeCell ref="AH39:AI39"/>
    <mergeCell ref="AL33:AQ33"/>
    <mergeCell ref="AR33:AW33"/>
    <mergeCell ref="AD35:AE35"/>
    <mergeCell ref="AB35:AC35"/>
    <mergeCell ref="Z35:AA35"/>
    <mergeCell ref="AL35:AM35"/>
    <mergeCell ref="AJ35:AK35"/>
    <mergeCell ref="AH35:AI35"/>
    <mergeCell ref="AF35:AG35"/>
    <mergeCell ref="AV35:AW35"/>
    <mergeCell ref="AT35:AU35"/>
    <mergeCell ref="AR35:AS35"/>
    <mergeCell ref="AP35:AQ35"/>
    <mergeCell ref="AV34:AW34"/>
    <mergeCell ref="AT34:AU34"/>
    <mergeCell ref="AR34:AS34"/>
    <mergeCell ref="AP34:AQ34"/>
    <mergeCell ref="AN34:AO34"/>
    <mergeCell ref="AL34:AM34"/>
    <mergeCell ref="AN35:AO35"/>
    <mergeCell ref="AD34:AE34"/>
    <mergeCell ref="AB34:AC34"/>
    <mergeCell ref="Z34:AA34"/>
    <mergeCell ref="Z33:AE33"/>
    <mergeCell ref="AN36:AO36"/>
    <mergeCell ref="AP36:AQ36"/>
    <mergeCell ref="AP39:AS39"/>
    <mergeCell ref="AV39:AW39"/>
    <mergeCell ref="AT39:AU39"/>
    <mergeCell ref="AN39:AO39"/>
    <mergeCell ref="AL39:AM39"/>
    <mergeCell ref="AJ39:AK39"/>
    <mergeCell ref="AR36:AS36"/>
    <mergeCell ref="AT36:AU36"/>
    <mergeCell ref="AV36:AW36"/>
    <mergeCell ref="AT38:AW38"/>
    <mergeCell ref="AP38:AS38"/>
    <mergeCell ref="AL38:AO38"/>
    <mergeCell ref="AH38:AK38"/>
    <mergeCell ref="AL36:AM36"/>
  </mergeCells>
  <phoneticPr fontId="74" type="noConversion"/>
  <conditionalFormatting sqref="AM12:AM14">
    <cfRule type="expression" dxfId="207" priority="344">
      <formula>$AM$11=0</formula>
    </cfRule>
  </conditionalFormatting>
  <conditionalFormatting sqref="AN12:AN14">
    <cfRule type="expression" dxfId="206" priority="343">
      <formula>$AN$11=0</formula>
    </cfRule>
  </conditionalFormatting>
  <conditionalFormatting sqref="AO12:AO14">
    <cfRule type="expression" dxfId="205" priority="342">
      <formula>$AO$11=0</formula>
    </cfRule>
  </conditionalFormatting>
  <conditionalFormatting sqref="K13:K14">
    <cfRule type="expression" dxfId="204" priority="309">
      <formula>$K$10=2</formula>
    </cfRule>
  </conditionalFormatting>
  <conditionalFormatting sqref="L13:L14">
    <cfRule type="expression" dxfId="203" priority="308">
      <formula>$L$10=2</formula>
    </cfRule>
  </conditionalFormatting>
  <conditionalFormatting sqref="M13:M14">
    <cfRule type="expression" dxfId="202" priority="305">
      <formula>$M$10=2</formula>
    </cfRule>
  </conditionalFormatting>
  <conditionalFormatting sqref="N13:N14">
    <cfRule type="expression" dxfId="201" priority="304">
      <formula>$N$10=2</formula>
    </cfRule>
  </conditionalFormatting>
  <conditionalFormatting sqref="O13:O14">
    <cfRule type="expression" dxfId="200" priority="303">
      <formula>$O$10=2</formula>
    </cfRule>
  </conditionalFormatting>
  <conditionalFormatting sqref="P13:P14">
    <cfRule type="expression" dxfId="199" priority="302">
      <formula>$P$10=2</formula>
    </cfRule>
  </conditionalFormatting>
  <conditionalFormatting sqref="Q13:Q14">
    <cfRule type="expression" dxfId="198" priority="301">
      <formula>$Q$10=2</formula>
    </cfRule>
  </conditionalFormatting>
  <conditionalFormatting sqref="R13:R14">
    <cfRule type="expression" dxfId="197" priority="300">
      <formula>$R$10=2</formula>
    </cfRule>
  </conditionalFormatting>
  <conditionalFormatting sqref="S13:S14">
    <cfRule type="expression" dxfId="196" priority="299">
      <formula>$S$10=2</formula>
    </cfRule>
  </conditionalFormatting>
  <conditionalFormatting sqref="T13:T14">
    <cfRule type="expression" dxfId="195" priority="298">
      <formula>$T$10=2</formula>
    </cfRule>
  </conditionalFormatting>
  <conditionalFormatting sqref="U13:U14">
    <cfRule type="expression" dxfId="194" priority="297">
      <formula>$U$10=2</formula>
    </cfRule>
  </conditionalFormatting>
  <conditionalFormatting sqref="V13:V14">
    <cfRule type="expression" dxfId="193" priority="296">
      <formula>$V$10=2</formula>
    </cfRule>
  </conditionalFormatting>
  <conditionalFormatting sqref="W13:W14">
    <cfRule type="expression" dxfId="192" priority="295">
      <formula>$W$10=2</formula>
    </cfRule>
  </conditionalFormatting>
  <conditionalFormatting sqref="X13:X14">
    <cfRule type="expression" dxfId="191" priority="294">
      <formula>$X$10=2</formula>
    </cfRule>
  </conditionalFormatting>
  <conditionalFormatting sqref="Y13:Y14">
    <cfRule type="expression" dxfId="190" priority="293">
      <formula>$Y$10=2</formula>
    </cfRule>
  </conditionalFormatting>
  <conditionalFormatting sqref="Z13:Z14">
    <cfRule type="expression" dxfId="189" priority="292">
      <formula>$Z$10=2</formula>
    </cfRule>
  </conditionalFormatting>
  <conditionalFormatting sqref="AA13:AA14">
    <cfRule type="expression" dxfId="188" priority="291">
      <formula>$AA$10=2</formula>
    </cfRule>
  </conditionalFormatting>
  <conditionalFormatting sqref="AB13:AB14">
    <cfRule type="expression" dxfId="187" priority="290">
      <formula>$AB$10=2</formula>
    </cfRule>
  </conditionalFormatting>
  <conditionalFormatting sqref="AC13:AC14">
    <cfRule type="expression" dxfId="186" priority="289">
      <formula>$AC$10=2</formula>
    </cfRule>
  </conditionalFormatting>
  <conditionalFormatting sqref="AD13:AD14">
    <cfRule type="expression" dxfId="185" priority="288">
      <formula>$AD$10=2</formula>
    </cfRule>
  </conditionalFormatting>
  <conditionalFormatting sqref="AE13:AE14">
    <cfRule type="expression" dxfId="184" priority="287">
      <formula>$AE$10=2</formula>
    </cfRule>
  </conditionalFormatting>
  <conditionalFormatting sqref="AF13:AF14">
    <cfRule type="expression" dxfId="183" priority="286">
      <formula>$AF$10=2</formula>
    </cfRule>
  </conditionalFormatting>
  <conditionalFormatting sqref="AG13:AG14">
    <cfRule type="expression" dxfId="182" priority="285">
      <formula>$AG$10=2</formula>
    </cfRule>
  </conditionalFormatting>
  <conditionalFormatting sqref="AH13:AH14">
    <cfRule type="expression" dxfId="181" priority="284">
      <formula>$AH$10=2</formula>
    </cfRule>
  </conditionalFormatting>
  <conditionalFormatting sqref="AI13:AI14">
    <cfRule type="expression" dxfId="180" priority="283">
      <formula>$AI$10=2</formula>
    </cfRule>
  </conditionalFormatting>
  <conditionalFormatting sqref="AJ13:AJ14">
    <cfRule type="expression" dxfId="179" priority="282">
      <formula>$AJ$10=2</formula>
    </cfRule>
  </conditionalFormatting>
  <conditionalFormatting sqref="AK13:AK14">
    <cfRule type="expression" dxfId="178" priority="281">
      <formula>$AK$10=2</formula>
    </cfRule>
  </conditionalFormatting>
  <conditionalFormatting sqref="AL13:AL14">
    <cfRule type="expression" dxfId="177" priority="280">
      <formula>$AL$10=2</formula>
    </cfRule>
  </conditionalFormatting>
  <conditionalFormatting sqref="AM13:AM14">
    <cfRule type="expression" dxfId="176" priority="279">
      <formula>AND($AM$10=2,$AM$11=1)</formula>
    </cfRule>
  </conditionalFormatting>
  <conditionalFormatting sqref="AN13:AN14">
    <cfRule type="expression" dxfId="175" priority="278">
      <formula>AND($AN$10=2,$AN$11=1)</formula>
    </cfRule>
  </conditionalFormatting>
  <conditionalFormatting sqref="AO13:AO14">
    <cfRule type="expression" dxfId="174" priority="277">
      <formula>AND($AO$10=2,$AO$11=1)</formula>
    </cfRule>
  </conditionalFormatting>
  <conditionalFormatting sqref="AT15:AU24">
    <cfRule type="cellIs" dxfId="173" priority="266" operator="greaterThan">
      <formula>100%</formula>
    </cfRule>
    <cfRule type="cellIs" dxfId="172" priority="267" operator="equal">
      <formula>100%</formula>
    </cfRule>
    <cfRule type="cellIs" dxfId="171" priority="268" operator="lessThan">
      <formula>90%</formula>
    </cfRule>
  </conditionalFormatting>
  <conditionalFormatting sqref="M53:U73 AF33 Z65:AE74 AC53:AJ64 AF35 AD38:AF52">
    <cfRule type="cellIs" dxfId="170" priority="209" operator="equal">
      <formula>0</formula>
    </cfRule>
  </conditionalFormatting>
  <conditionalFormatting sqref="K24:AO24">
    <cfRule type="containsText" dxfId="169" priority="162" operator="containsText" text="ADM">
      <formula>NOT(ISERROR(SEARCH("ADM",K24)))</formula>
    </cfRule>
    <cfRule type="containsText" dxfId="168" priority="163" operator="containsText" text="PAY">
      <formula>NOT(ISERROR(SEARCH("PAY",K24)))</formula>
    </cfRule>
    <cfRule type="containsText" dxfId="167" priority="401" operator="containsText" text="evo">
      <formula>NOT(ISERROR(SEARCH("evo",K24)))</formula>
    </cfRule>
    <cfRule type="containsText" dxfId="166" priority="402" operator="containsText" text="ord">
      <formula>NOT(ISERROR(SEARCH("ord",K24)))</formula>
    </cfRule>
    <cfRule type="expression" dxfId="165" priority="403">
      <formula>AND(COUNTIF(K$15:K$24,K24)&gt;1,COUNTIF($H$54:$H$86,K24)=0)</formula>
    </cfRule>
    <cfRule type="cellIs" dxfId="164" priority="404" operator="equal">
      <formula>"OFF"</formula>
    </cfRule>
    <cfRule type="cellIs" dxfId="163" priority="405" operator="equal">
      <formula>"L4"</formula>
    </cfRule>
    <cfRule type="cellIs" dxfId="162" priority="406" operator="equal">
      <formula>"H"</formula>
    </cfRule>
    <cfRule type="cellIs" dxfId="161" priority="407" operator="equal">
      <formula>"RET"</formula>
    </cfRule>
  </conditionalFormatting>
  <conditionalFormatting sqref="AP39">
    <cfRule type="cellIs" dxfId="160" priority="159" operator="equal">
      <formula>0</formula>
    </cfRule>
  </conditionalFormatting>
  <conditionalFormatting sqref="K15:Z23">
    <cfRule type="containsText" dxfId="159" priority="137" operator="containsText" text="ADM">
      <formula>NOT(ISERROR(SEARCH("ADM",K15)))</formula>
    </cfRule>
    <cfRule type="containsText" dxfId="158" priority="138" operator="containsText" text="PAY">
      <formula>NOT(ISERROR(SEARCH("PAY",K15)))</formula>
    </cfRule>
    <cfRule type="containsText" dxfId="157" priority="143" operator="containsText" text="evo">
      <formula>NOT(ISERROR(SEARCH("evo",K15)))</formula>
    </cfRule>
    <cfRule type="containsText" dxfId="156" priority="144" operator="containsText" text="ord">
      <formula>NOT(ISERROR(SEARCH("ord",K15)))</formula>
    </cfRule>
    <cfRule type="expression" dxfId="155" priority="145">
      <formula>AND(COUNTIF(K$15:K$24,K15)&gt;1,COUNTIF($H$54:$H$86,K15)=0)</formula>
    </cfRule>
    <cfRule type="cellIs" dxfId="154" priority="146" operator="equal">
      <formula>"OFF"</formula>
    </cfRule>
    <cfRule type="cellIs" dxfId="153" priority="147" operator="equal">
      <formula>"L4"</formula>
    </cfRule>
    <cfRule type="cellIs" dxfId="152" priority="148" operator="equal">
      <formula>"H"</formula>
    </cfRule>
    <cfRule type="cellIs" dxfId="151" priority="149" operator="equal">
      <formula>"RET"</formula>
    </cfRule>
  </conditionalFormatting>
  <conditionalFormatting sqref="AA16:AA23 AH16:AH23 AD16:AE23 AK15:AL23 AO15:AO23">
    <cfRule type="containsText" dxfId="150" priority="123" operator="containsText" text="ADM">
      <formula>NOT(ISERROR(SEARCH("ADM",AA15)))</formula>
    </cfRule>
    <cfRule type="containsText" dxfId="149" priority="124" operator="containsText" text="PAY">
      <formula>NOT(ISERROR(SEARCH("PAY",AA15)))</formula>
    </cfRule>
    <cfRule type="containsText" dxfId="148" priority="129" operator="containsText" text="evo">
      <formula>NOT(ISERROR(SEARCH("evo",AA15)))</formula>
    </cfRule>
    <cfRule type="containsText" dxfId="147" priority="130" operator="containsText" text="ord">
      <formula>NOT(ISERROR(SEARCH("ord",AA15)))</formula>
    </cfRule>
    <cfRule type="expression" dxfId="146" priority="131">
      <formula>AND(COUNTIF(AA$15:AA$24,AA15)&gt;1,COUNTIF($H$54:$H$86,AA15)=0)</formula>
    </cfRule>
    <cfRule type="cellIs" dxfId="145" priority="132" operator="equal">
      <formula>"OFF"</formula>
    </cfRule>
    <cfRule type="cellIs" dxfId="144" priority="133" operator="equal">
      <formula>"L4"</formula>
    </cfRule>
    <cfRule type="cellIs" dxfId="143" priority="134" operator="equal">
      <formula>"H"</formula>
    </cfRule>
    <cfRule type="cellIs" dxfId="142" priority="135" operator="equal">
      <formula>"RET"</formula>
    </cfRule>
  </conditionalFormatting>
  <conditionalFormatting sqref="L20">
    <cfRule type="containsText" dxfId="141" priority="122" operator="containsText" text="PREV">
      <formula>NOT(ISERROR(SEARCH("PREV",L20)))</formula>
    </cfRule>
  </conditionalFormatting>
  <conditionalFormatting sqref="S20">
    <cfRule type="containsText" dxfId="140" priority="121" operator="containsText" text="PREV">
      <formula>NOT(ISERROR(SEARCH("PREV",S20)))</formula>
    </cfRule>
  </conditionalFormatting>
  <conditionalFormatting sqref="Z20">
    <cfRule type="containsText" dxfId="139" priority="120" operator="containsText" text="PREV">
      <formula>NOT(ISERROR(SEARCH("PREV",Z20)))</formula>
    </cfRule>
  </conditionalFormatting>
  <conditionalFormatting sqref="AF15:AG23">
    <cfRule type="containsText" dxfId="138" priority="107" operator="containsText" text="ADM">
      <formula>NOT(ISERROR(SEARCH("ADM",AF15)))</formula>
    </cfRule>
    <cfRule type="containsText" dxfId="137" priority="108" operator="containsText" text="PAY">
      <formula>NOT(ISERROR(SEARCH("PAY",AF15)))</formula>
    </cfRule>
    <cfRule type="containsText" dxfId="136" priority="113" operator="containsText" text="evo">
      <formula>NOT(ISERROR(SEARCH("evo",AF15)))</formula>
    </cfRule>
    <cfRule type="containsText" dxfId="135" priority="114" operator="containsText" text="ord">
      <formula>NOT(ISERROR(SEARCH("ord",AF15)))</formula>
    </cfRule>
    <cfRule type="expression" dxfId="134" priority="115">
      <formula>AND(COUNTIF(AF$15:AF$24,AF15)&gt;1,COUNTIF($H$54:$H$86,AF15)=0)</formula>
    </cfRule>
    <cfRule type="cellIs" dxfId="133" priority="116" operator="equal">
      <formula>"OFF"</formula>
    </cfRule>
    <cfRule type="cellIs" dxfId="132" priority="117" operator="equal">
      <formula>"L4"</formula>
    </cfRule>
    <cfRule type="cellIs" dxfId="131" priority="118" operator="equal">
      <formula>"H"</formula>
    </cfRule>
    <cfRule type="cellIs" dxfId="130" priority="119" operator="equal">
      <formula>"RET"</formula>
    </cfRule>
  </conditionalFormatting>
  <conditionalFormatting sqref="AG20">
    <cfRule type="containsText" dxfId="129" priority="106" operator="containsText" text="PREV">
      <formula>NOT(ISERROR(SEARCH("PREV",AG20)))</formula>
    </cfRule>
  </conditionalFormatting>
  <conditionalFormatting sqref="AM15:AN23">
    <cfRule type="containsText" dxfId="128" priority="93" operator="containsText" text="ADM">
      <formula>NOT(ISERROR(SEARCH("ADM",AM15)))</formula>
    </cfRule>
    <cfRule type="containsText" dxfId="127" priority="94" operator="containsText" text="PAY">
      <formula>NOT(ISERROR(SEARCH("PAY",AM15)))</formula>
    </cfRule>
    <cfRule type="containsText" dxfId="126" priority="99" operator="containsText" text="evo">
      <formula>NOT(ISERROR(SEARCH("evo",AM15)))</formula>
    </cfRule>
    <cfRule type="containsText" dxfId="125" priority="100" operator="containsText" text="ord">
      <formula>NOT(ISERROR(SEARCH("ord",AM15)))</formula>
    </cfRule>
    <cfRule type="expression" dxfId="124" priority="101">
      <formula>AND(COUNTIF(AM$15:AM$24,AM15)&gt;1,COUNTIF($H$54:$H$86,AM15)=0)</formula>
    </cfRule>
    <cfRule type="cellIs" dxfId="123" priority="102" operator="equal">
      <formula>"OFF"</formula>
    </cfRule>
    <cfRule type="cellIs" dxfId="122" priority="103" operator="equal">
      <formula>"L4"</formula>
    </cfRule>
    <cfRule type="cellIs" dxfId="121" priority="104" operator="equal">
      <formula>"H"</formula>
    </cfRule>
    <cfRule type="cellIs" dxfId="120" priority="105" operator="equal">
      <formula>"RET"</formula>
    </cfRule>
  </conditionalFormatting>
  <conditionalFormatting sqref="AN20">
    <cfRule type="containsText" dxfId="119" priority="92" operator="containsText" text="PREV">
      <formula>NOT(ISERROR(SEARCH("PREV",AN20)))</formula>
    </cfRule>
  </conditionalFormatting>
  <conditionalFormatting sqref="AB16:AC23 AB15">
    <cfRule type="containsText" dxfId="118" priority="79" operator="containsText" text="ADM">
      <formula>NOT(ISERROR(SEARCH("ADM",AB15)))</formula>
    </cfRule>
    <cfRule type="containsText" dxfId="117" priority="80" operator="containsText" text="PAY">
      <formula>NOT(ISERROR(SEARCH("PAY",AB15)))</formula>
    </cfRule>
    <cfRule type="containsText" dxfId="116" priority="85" operator="containsText" text="evo">
      <formula>NOT(ISERROR(SEARCH("evo",AB15)))</formula>
    </cfRule>
    <cfRule type="containsText" dxfId="115" priority="86" operator="containsText" text="ord">
      <formula>NOT(ISERROR(SEARCH("ord",AB15)))</formula>
    </cfRule>
    <cfRule type="expression" dxfId="114" priority="87">
      <formula>AND(COUNTIF(AB$15:AB$24,AB15)&gt;1,COUNTIF($H$54:$H$86,AB15)=0)</formula>
    </cfRule>
    <cfRule type="cellIs" dxfId="113" priority="88" operator="equal">
      <formula>"OFF"</formula>
    </cfRule>
    <cfRule type="cellIs" dxfId="112" priority="89" operator="equal">
      <formula>"L4"</formula>
    </cfRule>
    <cfRule type="cellIs" dxfId="111" priority="90" operator="equal">
      <formula>"H"</formula>
    </cfRule>
    <cfRule type="cellIs" dxfId="110" priority="91" operator="equal">
      <formula>"RET"</formula>
    </cfRule>
  </conditionalFormatting>
  <conditionalFormatting sqref="AI15:AJ23">
    <cfRule type="containsText" dxfId="109" priority="66" operator="containsText" text="ADM">
      <formula>NOT(ISERROR(SEARCH("ADM",AI15)))</formula>
    </cfRule>
    <cfRule type="containsText" dxfId="108" priority="67" operator="containsText" text="PAY">
      <formula>NOT(ISERROR(SEARCH("PAY",AI15)))</formula>
    </cfRule>
    <cfRule type="containsText" dxfId="107" priority="72" operator="containsText" text="evo">
      <formula>NOT(ISERROR(SEARCH("evo",AI15)))</formula>
    </cfRule>
    <cfRule type="containsText" dxfId="106" priority="73" operator="containsText" text="ord">
      <formula>NOT(ISERROR(SEARCH("ord",AI15)))</formula>
    </cfRule>
    <cfRule type="expression" dxfId="105" priority="74">
      <formula>AND(COUNTIF(AI$15:AI$24,AI15)&gt;1,COUNTIF($H$54:$H$86,AI15)=0)</formula>
    </cfRule>
    <cfRule type="cellIs" dxfId="104" priority="75" operator="equal">
      <formula>"OFF"</formula>
    </cfRule>
    <cfRule type="cellIs" dxfId="103" priority="76" operator="equal">
      <formula>"L4"</formula>
    </cfRule>
    <cfRule type="cellIs" dxfId="102" priority="77" operator="equal">
      <formula>"H"</formula>
    </cfRule>
    <cfRule type="cellIs" dxfId="101" priority="78" operator="equal">
      <formula>"RET"</formula>
    </cfRule>
  </conditionalFormatting>
  <conditionalFormatting sqref="AA15">
    <cfRule type="containsText" dxfId="100" priority="53" operator="containsText" text="ADM">
      <formula>NOT(ISERROR(SEARCH("ADM",AA15)))</formula>
    </cfRule>
    <cfRule type="containsText" dxfId="99" priority="54" operator="containsText" text="PAY">
      <formula>NOT(ISERROR(SEARCH("PAY",AA15)))</formula>
    </cfRule>
    <cfRule type="containsText" dxfId="98" priority="59" operator="containsText" text="evo">
      <formula>NOT(ISERROR(SEARCH("evo",AA15)))</formula>
    </cfRule>
    <cfRule type="containsText" dxfId="97" priority="60" operator="containsText" text="ord">
      <formula>NOT(ISERROR(SEARCH("ord",AA15)))</formula>
    </cfRule>
    <cfRule type="expression" dxfId="96" priority="61">
      <formula>AND(COUNTIF(AA$15:AA$24,AA15)&gt;1,COUNTIF($H$54:$H$86,AA15)=0)</formula>
    </cfRule>
    <cfRule type="cellIs" dxfId="95" priority="62" operator="equal">
      <formula>"OFF"</formula>
    </cfRule>
    <cfRule type="cellIs" dxfId="94" priority="63" operator="equal">
      <formula>"L4"</formula>
    </cfRule>
    <cfRule type="cellIs" dxfId="93" priority="64" operator="equal">
      <formula>"H"</formula>
    </cfRule>
    <cfRule type="cellIs" dxfId="92" priority="65" operator="equal">
      <formula>"RET"</formula>
    </cfRule>
  </conditionalFormatting>
  <conditionalFormatting sqref="AC15">
    <cfRule type="containsText" dxfId="91" priority="40" operator="containsText" text="ADM">
      <formula>NOT(ISERROR(SEARCH("ADM",AC15)))</formula>
    </cfRule>
    <cfRule type="containsText" dxfId="90" priority="41" operator="containsText" text="PAY">
      <formula>NOT(ISERROR(SEARCH("PAY",AC15)))</formula>
    </cfRule>
    <cfRule type="containsText" dxfId="89" priority="46" operator="containsText" text="evo">
      <formula>NOT(ISERROR(SEARCH("evo",AC15)))</formula>
    </cfRule>
    <cfRule type="containsText" dxfId="88" priority="47" operator="containsText" text="ord">
      <formula>NOT(ISERROR(SEARCH("ord",AC15)))</formula>
    </cfRule>
    <cfRule type="expression" dxfId="87" priority="48">
      <formula>AND(COUNTIF(AC$15:AC$24,AC15)&gt;1,COUNTIF($H$54:$H$86,AC15)=0)</formula>
    </cfRule>
    <cfRule type="cellIs" dxfId="86" priority="49" operator="equal">
      <formula>"OFF"</formula>
    </cfRule>
    <cfRule type="cellIs" dxfId="85" priority="50" operator="equal">
      <formula>"L4"</formula>
    </cfRule>
    <cfRule type="cellIs" dxfId="84" priority="51" operator="equal">
      <formula>"H"</formula>
    </cfRule>
    <cfRule type="cellIs" dxfId="83" priority="52" operator="equal">
      <formula>"RET"</formula>
    </cfRule>
  </conditionalFormatting>
  <conditionalFormatting sqref="AD15">
    <cfRule type="containsText" dxfId="82" priority="27" operator="containsText" text="ADM">
      <formula>NOT(ISERROR(SEARCH("ADM",AD15)))</formula>
    </cfRule>
    <cfRule type="containsText" dxfId="81" priority="28" operator="containsText" text="PAY">
      <formula>NOT(ISERROR(SEARCH("PAY",AD15)))</formula>
    </cfRule>
    <cfRule type="containsText" dxfId="80" priority="33" operator="containsText" text="evo">
      <formula>NOT(ISERROR(SEARCH("evo",AD15)))</formula>
    </cfRule>
    <cfRule type="containsText" dxfId="79" priority="34" operator="containsText" text="ord">
      <formula>NOT(ISERROR(SEARCH("ord",AD15)))</formula>
    </cfRule>
    <cfRule type="expression" dxfId="78" priority="35">
      <formula>AND(COUNTIF(AD$15:AD$24,AD15)&gt;1,COUNTIF($H$54:$H$86,AD15)=0)</formula>
    </cfRule>
    <cfRule type="cellIs" dxfId="77" priority="36" operator="equal">
      <formula>"OFF"</formula>
    </cfRule>
    <cfRule type="cellIs" dxfId="76" priority="37" operator="equal">
      <formula>"L4"</formula>
    </cfRule>
    <cfRule type="cellIs" dxfId="75" priority="38" operator="equal">
      <formula>"H"</formula>
    </cfRule>
    <cfRule type="cellIs" dxfId="74" priority="39" operator="equal">
      <formula>"RET"</formula>
    </cfRule>
  </conditionalFormatting>
  <conditionalFormatting sqref="AE15">
    <cfRule type="containsText" dxfId="73" priority="14" operator="containsText" text="ADM">
      <formula>NOT(ISERROR(SEARCH("ADM",AE15)))</formula>
    </cfRule>
    <cfRule type="containsText" dxfId="72" priority="15" operator="containsText" text="PAY">
      <formula>NOT(ISERROR(SEARCH("PAY",AE15)))</formula>
    </cfRule>
    <cfRule type="containsText" dxfId="71" priority="20" operator="containsText" text="evo">
      <formula>NOT(ISERROR(SEARCH("evo",AE15)))</formula>
    </cfRule>
    <cfRule type="containsText" dxfId="70" priority="21" operator="containsText" text="ord">
      <formula>NOT(ISERROR(SEARCH("ord",AE15)))</formula>
    </cfRule>
    <cfRule type="expression" dxfId="69" priority="22">
      <formula>AND(COUNTIF(AE$15:AE$24,AE15)&gt;1,COUNTIF($H$54:$H$86,AE15)=0)</formula>
    </cfRule>
    <cfRule type="cellIs" dxfId="68" priority="23" operator="equal">
      <formula>"OFF"</formula>
    </cfRule>
    <cfRule type="cellIs" dxfId="67" priority="24" operator="equal">
      <formula>"L4"</formula>
    </cfRule>
    <cfRule type="cellIs" dxfId="66" priority="25" operator="equal">
      <formula>"H"</formula>
    </cfRule>
    <cfRule type="cellIs" dxfId="65" priority="26" operator="equal">
      <formula>"RET"</formula>
    </cfRule>
  </conditionalFormatting>
  <conditionalFormatting sqref="AH15">
    <cfRule type="containsText" dxfId="64" priority="1" operator="containsText" text="ADM">
      <formula>NOT(ISERROR(SEARCH("ADM",AH15)))</formula>
    </cfRule>
    <cfRule type="containsText" dxfId="63" priority="2" operator="containsText" text="PAY">
      <formula>NOT(ISERROR(SEARCH("PAY",AH15)))</formula>
    </cfRule>
    <cfRule type="containsText" dxfId="62" priority="7" operator="containsText" text="evo">
      <formula>NOT(ISERROR(SEARCH("evo",AH15)))</formula>
    </cfRule>
    <cfRule type="containsText" dxfId="61" priority="8" operator="containsText" text="ord">
      <formula>NOT(ISERROR(SEARCH("ord",AH15)))</formula>
    </cfRule>
    <cfRule type="expression" dxfId="60" priority="9">
      <formula>AND(COUNTIF(AH$15:AH$24,AH15)&gt;1,COUNTIF($H$54:$H$86,AH15)=0)</formula>
    </cfRule>
    <cfRule type="cellIs" dxfId="59" priority="10" operator="equal">
      <formula>"OFF"</formula>
    </cfRule>
    <cfRule type="cellIs" dxfId="58" priority="11" operator="equal">
      <formula>"L4"</formula>
    </cfRule>
    <cfRule type="cellIs" dxfId="57" priority="12" operator="equal">
      <formula>"H"</formula>
    </cfRule>
    <cfRule type="cellIs" dxfId="56" priority="13" operator="equal">
      <formula>"RET"</formula>
    </cfRule>
  </conditionalFormatting>
  <dataValidations count="10">
    <dataValidation type="list" allowBlank="1" showInputMessage="1" showErrorMessage="1" sqref="A4:J5" xr:uid="{00000000-0002-0000-0100-000000000000}">
      <formula1>months</formula1>
    </dataValidation>
    <dataValidation type="list" allowBlank="1" showInputMessage="1" showErrorMessage="1" sqref="H15:J24" xr:uid="{00000000-0002-0000-0100-000001000000}">
      <formula1>managers</formula1>
    </dataValidation>
    <dataValidation type="list" allowBlank="1" showInputMessage="1" showErrorMessage="1" sqref="A15:B24" xr:uid="{00000000-0002-0000-0100-000002000000}">
      <formula1>dayjob</formula1>
    </dataValidation>
    <dataValidation type="list" allowBlank="1" showInputMessage="1" showErrorMessage="1" sqref="K15:AO24" xr:uid="{00000000-0002-0000-0100-000003000000}">
      <formula1>shfts</formula1>
    </dataValidation>
    <dataValidation type="list" allowBlank="1" showInputMessage="1" showErrorMessage="1" sqref="L33:L52 B33:B75" xr:uid="{00000000-0002-0000-0100-000004000000}">
      <formula1>jesno</formula1>
    </dataValidation>
    <dataValidation type="time" allowBlank="1" showInputMessage="1" showErrorMessage="1" sqref="J76:J82 T83:T101 R33:R52 I33:I75" xr:uid="{00000000-0002-0000-0100-000005000000}">
      <formula1>0.0416666666666667</formula1>
      <formula2>0.958333333333333</formula2>
    </dataValidation>
    <dataValidation type="whole" allowBlank="1" showInputMessage="1" showErrorMessage="1" sqref="K12:AO12" xr:uid="{00000000-0002-0000-0100-000006000000}">
      <formula1>0</formula1>
      <formula2>9999</formula2>
    </dataValidation>
    <dataValidation type="time" allowBlank="1" showInputMessage="1" showErrorMessage="1" sqref="K76:K82 U83:U101 X74:X75 S33:S52 J33:J75 AK53:AK65" xr:uid="{00000000-0002-0000-0100-000007000000}">
      <formula1>0.0416666666666667</formula1>
      <formula2>0.999305555555556</formula2>
    </dataValidation>
    <dataValidation type="list" allowBlank="1" showInputMessage="1" showErrorMessage="1" sqref="C15:G24" xr:uid="{00000000-0002-0000-0100-000008000000}">
      <formula1>EnabledEmpl</formula1>
    </dataValidation>
    <dataValidation type="list" allowBlank="1" showInputMessage="1" showErrorMessage="1" sqref="C12:G12" xr:uid="{00000000-0002-0000-0100-000009000000}">
      <formula1>ADT</formula1>
    </dataValidation>
  </dataValidations>
  <printOptions horizontalCentered="1"/>
  <pageMargins left="0.15748031496062992" right="0.15748031496062992" top="0.19685039370078741" bottom="0.19685039370078741" header="0" footer="0"/>
  <pageSetup paperSize="9" scale="41" orientation="landscape" r:id="rId1"/>
  <headerFooter scaleWithDoc="0" alignWithMargins="0"/>
  <extLst>
    <ext xmlns:x14="http://schemas.microsoft.com/office/spreadsheetml/2009/9/main" uri="{78C0D931-6437-407d-A8EE-F0AAD7539E65}">
      <x14:conditionalFormattings>
        <x14:conditionalFormatting xmlns:xm="http://schemas.microsoft.com/office/excel/2006/main">
          <x14:cfRule type="containsText" priority="400" operator="containsText" id="{EEDE0081-8C1B-4E01-ADD4-3B0A99327F60}">
            <xm:f>NOT(ISERROR(SEARCH("QSL",K24)))</xm:f>
            <xm:f>"QSL"</xm:f>
            <x14:dxf>
              <fill>
                <patternFill>
                  <bgColor rgb="FFC6EFCE"/>
                </patternFill>
              </fill>
            </x14:dxf>
          </x14:cfRule>
          <xm:sqref>K24:AO24</xm:sqref>
        </x14:conditionalFormatting>
        <x14:conditionalFormatting xmlns:xm="http://schemas.microsoft.com/office/excel/2006/main">
          <x14:cfRule type="containsText" priority="392" operator="containsText" id="{FF2A74F8-EA5E-4C2F-985A-E9688BAC4446}">
            <xm:f>NOT(ISERROR(SEARCH("T",K24)))</xm:f>
            <xm:f>"T"</xm:f>
            <x14:dxf>
              <font>
                <color rgb="FF006100"/>
              </font>
              <fill>
                <patternFill>
                  <bgColor rgb="FFC6EFCE"/>
                </patternFill>
              </fill>
            </x14:dxf>
          </x14:cfRule>
          <xm:sqref>K24:AO24</xm:sqref>
        </x14:conditionalFormatting>
        <x14:conditionalFormatting xmlns:xm="http://schemas.microsoft.com/office/excel/2006/main">
          <x14:cfRule type="containsText" priority="164" operator="containsText" id="{5374C3AF-BDC7-49EB-B0BF-AD129304856A}">
            <xm:f>NOT(ISERROR(SEARCH("PPV",K24)))</xm:f>
            <xm:f>"PPV"</xm:f>
            <x14:dxf>
              <fill>
                <patternFill>
                  <bgColor theme="3" tint="0.39994506668294322"/>
                </patternFill>
              </fill>
            </x14:dxf>
          </x14:cfRule>
          <xm:sqref>K24:AO24</xm:sqref>
        </x14:conditionalFormatting>
        <x14:conditionalFormatting xmlns:xm="http://schemas.microsoft.com/office/excel/2006/main">
          <x14:cfRule type="containsText" priority="376" operator="containsText" id="{5F778D06-AE99-4F57-AEDB-B9A48DE9E279}">
            <xm:f>NOT(ISERROR(SEARCH("NC",K24)))</xm:f>
            <xm:f>"NC"</xm:f>
            <x14:dxf>
              <font>
                <color auto="1"/>
              </font>
              <fill>
                <patternFill>
                  <bgColor theme="3" tint="0.39994506668294322"/>
                </patternFill>
              </fill>
            </x14:dxf>
          </x14:cfRule>
          <xm:sqref>K24:AO24</xm:sqref>
        </x14:conditionalFormatting>
        <x14:conditionalFormatting xmlns:xm="http://schemas.microsoft.com/office/excel/2006/main">
          <x14:cfRule type="containsText" priority="142" operator="containsText" id="{28428111-EBE9-5E4D-A0B4-96DA345BCB8E}">
            <xm:f>NOT(ISERROR(SEARCH("QSL",K15)))</xm:f>
            <xm:f>"QSL"</xm:f>
            <x14:dxf>
              <fill>
                <patternFill>
                  <bgColor rgb="FFC6EFCE"/>
                </patternFill>
              </fill>
            </x14:dxf>
          </x14:cfRule>
          <xm:sqref>K15:Z23</xm:sqref>
        </x14:conditionalFormatting>
        <x14:conditionalFormatting xmlns:xm="http://schemas.microsoft.com/office/excel/2006/main">
          <x14:cfRule type="containsText" priority="141" operator="containsText" id="{24968BA1-228C-D947-8AFF-ADE57CD4F652}">
            <xm:f>NOT(ISERROR(SEARCH("T",K15)))</xm:f>
            <xm:f>"T"</xm:f>
            <x14:dxf>
              <font>
                <color rgb="FF006100"/>
              </font>
              <fill>
                <patternFill>
                  <bgColor rgb="FFC6EFCE"/>
                </patternFill>
              </fill>
            </x14:dxf>
          </x14:cfRule>
          <xm:sqref>K15:Z23</xm:sqref>
        </x14:conditionalFormatting>
        <x14:conditionalFormatting xmlns:xm="http://schemas.microsoft.com/office/excel/2006/main">
          <x14:cfRule type="containsText" priority="139" operator="containsText" id="{6B2692A2-5DDC-4240-B6D9-757F2C0BBEAA}">
            <xm:f>NOT(ISERROR(SEARCH("PPV",K15)))</xm:f>
            <xm:f>"PPV"</xm:f>
            <x14:dxf>
              <fill>
                <patternFill>
                  <bgColor theme="3" tint="0.39994506668294322"/>
                </patternFill>
              </fill>
            </x14:dxf>
          </x14:cfRule>
          <xm:sqref>K15:Z23</xm:sqref>
        </x14:conditionalFormatting>
        <x14:conditionalFormatting xmlns:xm="http://schemas.microsoft.com/office/excel/2006/main">
          <x14:cfRule type="containsText" priority="140" operator="containsText" id="{126BB347-BA70-F741-B908-19C1AD014F98}">
            <xm:f>NOT(ISERROR(SEARCH("NC",K15)))</xm:f>
            <xm:f>"NC"</xm:f>
            <x14:dxf>
              <font>
                <color auto="1"/>
              </font>
              <fill>
                <patternFill>
                  <bgColor theme="3" tint="0.39994506668294322"/>
                </patternFill>
              </fill>
            </x14:dxf>
          </x14:cfRule>
          <xm:sqref>K15:Z23</xm:sqref>
        </x14:conditionalFormatting>
        <x14:conditionalFormatting xmlns:xm="http://schemas.microsoft.com/office/excel/2006/main">
          <x14:cfRule type="containsText" priority="128" operator="containsText" id="{D1818FE8-70B6-F84C-96E1-6F7606F4AFA1}">
            <xm:f>NOT(ISERROR(SEARCH("QSL",AA15)))</xm:f>
            <xm:f>"QSL"</xm:f>
            <x14:dxf>
              <fill>
                <patternFill>
                  <bgColor rgb="FFC6EFCE"/>
                </patternFill>
              </fill>
            </x14:dxf>
          </x14:cfRule>
          <xm:sqref>AA16:AA23 AH16:AH23 AD16:AE23 AK15:AL23 AO15:AO23</xm:sqref>
        </x14:conditionalFormatting>
        <x14:conditionalFormatting xmlns:xm="http://schemas.microsoft.com/office/excel/2006/main">
          <x14:cfRule type="containsText" priority="127" operator="containsText" id="{3528928E-4E7C-D347-8A2C-3E3632681E69}">
            <xm:f>NOT(ISERROR(SEARCH("T",AA15)))</xm:f>
            <xm:f>"T"</xm:f>
            <x14:dxf>
              <font>
                <color rgb="FF006100"/>
              </font>
              <fill>
                <patternFill>
                  <bgColor rgb="FFC6EFCE"/>
                </patternFill>
              </fill>
            </x14:dxf>
          </x14:cfRule>
          <xm:sqref>AA16:AA23 AH16:AH23 AD16:AE23 AK15:AL23 AO15:AO23</xm:sqref>
        </x14:conditionalFormatting>
        <x14:conditionalFormatting xmlns:xm="http://schemas.microsoft.com/office/excel/2006/main">
          <x14:cfRule type="containsText" priority="125" operator="containsText" id="{FAA5706E-6517-514C-9EFB-184098868E1B}">
            <xm:f>NOT(ISERROR(SEARCH("PPV",AA15)))</xm:f>
            <xm:f>"PPV"</xm:f>
            <x14:dxf>
              <fill>
                <patternFill>
                  <bgColor theme="3" tint="0.39994506668294322"/>
                </patternFill>
              </fill>
            </x14:dxf>
          </x14:cfRule>
          <xm:sqref>AA16:AA23 AH16:AH23 AD16:AE23 AK15:AL23 AO15:AO23</xm:sqref>
        </x14:conditionalFormatting>
        <x14:conditionalFormatting xmlns:xm="http://schemas.microsoft.com/office/excel/2006/main">
          <x14:cfRule type="containsText" priority="126" operator="containsText" id="{F31EE8A2-81CD-E841-AA53-6A917F922178}">
            <xm:f>NOT(ISERROR(SEARCH("NC",AA15)))</xm:f>
            <xm:f>"NC"</xm:f>
            <x14:dxf>
              <font>
                <color auto="1"/>
              </font>
              <fill>
                <patternFill>
                  <bgColor theme="3" tint="0.39994506668294322"/>
                </patternFill>
              </fill>
            </x14:dxf>
          </x14:cfRule>
          <xm:sqref>AA16:AA23 AH16:AH23 AD16:AE23 AK15:AL23 AO15:AO23</xm:sqref>
        </x14:conditionalFormatting>
        <x14:conditionalFormatting xmlns:xm="http://schemas.microsoft.com/office/excel/2006/main">
          <x14:cfRule type="containsText" priority="112" operator="containsText" id="{E28D4A2C-9C2F-47C9-8022-C2159C6DEFC1}">
            <xm:f>NOT(ISERROR(SEARCH("QSL",AF15)))</xm:f>
            <xm:f>"QSL"</xm:f>
            <x14:dxf>
              <fill>
                <patternFill>
                  <bgColor rgb="FFC6EFCE"/>
                </patternFill>
              </fill>
            </x14:dxf>
          </x14:cfRule>
          <xm:sqref>AF15:AG23</xm:sqref>
        </x14:conditionalFormatting>
        <x14:conditionalFormatting xmlns:xm="http://schemas.microsoft.com/office/excel/2006/main">
          <x14:cfRule type="containsText" priority="111" operator="containsText" id="{575837DB-9159-4EB0-8783-DFC11E9BCCF5}">
            <xm:f>NOT(ISERROR(SEARCH("T",AF15)))</xm:f>
            <xm:f>"T"</xm:f>
            <x14:dxf>
              <font>
                <color rgb="FF006100"/>
              </font>
              <fill>
                <patternFill>
                  <bgColor rgb="FFC6EFCE"/>
                </patternFill>
              </fill>
            </x14:dxf>
          </x14:cfRule>
          <xm:sqref>AF15:AG23</xm:sqref>
        </x14:conditionalFormatting>
        <x14:conditionalFormatting xmlns:xm="http://schemas.microsoft.com/office/excel/2006/main">
          <x14:cfRule type="containsText" priority="109" operator="containsText" id="{0EE36ED1-D42F-4DE7-B4A6-13CA1C13A146}">
            <xm:f>NOT(ISERROR(SEARCH("PPV",AF15)))</xm:f>
            <xm:f>"PPV"</xm:f>
            <x14:dxf>
              <fill>
                <patternFill>
                  <bgColor theme="3" tint="0.39994506668294322"/>
                </patternFill>
              </fill>
            </x14:dxf>
          </x14:cfRule>
          <xm:sqref>AF15:AG23</xm:sqref>
        </x14:conditionalFormatting>
        <x14:conditionalFormatting xmlns:xm="http://schemas.microsoft.com/office/excel/2006/main">
          <x14:cfRule type="containsText" priority="110" operator="containsText" id="{9013FA35-B263-43F7-A0B3-8595B548664E}">
            <xm:f>NOT(ISERROR(SEARCH("NC",AF15)))</xm:f>
            <xm:f>"NC"</xm:f>
            <x14:dxf>
              <font>
                <color auto="1"/>
              </font>
              <fill>
                <patternFill>
                  <bgColor theme="3" tint="0.39994506668294322"/>
                </patternFill>
              </fill>
            </x14:dxf>
          </x14:cfRule>
          <xm:sqref>AF15:AG23</xm:sqref>
        </x14:conditionalFormatting>
        <x14:conditionalFormatting xmlns:xm="http://schemas.microsoft.com/office/excel/2006/main">
          <x14:cfRule type="containsText" priority="98" operator="containsText" id="{A2C2572A-98A5-4863-AA69-15C00738C24A}">
            <xm:f>NOT(ISERROR(SEARCH("QSL",AM15)))</xm:f>
            <xm:f>"QSL"</xm:f>
            <x14:dxf>
              <fill>
                <patternFill>
                  <bgColor rgb="FFC6EFCE"/>
                </patternFill>
              </fill>
            </x14:dxf>
          </x14:cfRule>
          <xm:sqref>AM15:AN23</xm:sqref>
        </x14:conditionalFormatting>
        <x14:conditionalFormatting xmlns:xm="http://schemas.microsoft.com/office/excel/2006/main">
          <x14:cfRule type="containsText" priority="97" operator="containsText" id="{9588B9E6-A34D-4B07-BBA7-97BEDAC5B417}">
            <xm:f>NOT(ISERROR(SEARCH("T",AM15)))</xm:f>
            <xm:f>"T"</xm:f>
            <x14:dxf>
              <font>
                <color rgb="FF006100"/>
              </font>
              <fill>
                <patternFill>
                  <bgColor rgb="FFC6EFCE"/>
                </patternFill>
              </fill>
            </x14:dxf>
          </x14:cfRule>
          <xm:sqref>AM15:AN23</xm:sqref>
        </x14:conditionalFormatting>
        <x14:conditionalFormatting xmlns:xm="http://schemas.microsoft.com/office/excel/2006/main">
          <x14:cfRule type="containsText" priority="95" operator="containsText" id="{9C99B9C6-716B-4091-AA82-4B0F90109738}">
            <xm:f>NOT(ISERROR(SEARCH("PPV",AM15)))</xm:f>
            <xm:f>"PPV"</xm:f>
            <x14:dxf>
              <fill>
                <patternFill>
                  <bgColor theme="3" tint="0.39994506668294322"/>
                </patternFill>
              </fill>
            </x14:dxf>
          </x14:cfRule>
          <xm:sqref>AM15:AN23</xm:sqref>
        </x14:conditionalFormatting>
        <x14:conditionalFormatting xmlns:xm="http://schemas.microsoft.com/office/excel/2006/main">
          <x14:cfRule type="containsText" priority="96" operator="containsText" id="{664A5D7C-8FC5-46AB-B609-21266017F4DF}">
            <xm:f>NOT(ISERROR(SEARCH("NC",AM15)))</xm:f>
            <xm:f>"NC"</xm:f>
            <x14:dxf>
              <font>
                <color auto="1"/>
              </font>
              <fill>
                <patternFill>
                  <bgColor theme="3" tint="0.39994506668294322"/>
                </patternFill>
              </fill>
            </x14:dxf>
          </x14:cfRule>
          <xm:sqref>AM15:AN23</xm:sqref>
        </x14:conditionalFormatting>
        <x14:conditionalFormatting xmlns:xm="http://schemas.microsoft.com/office/excel/2006/main">
          <x14:cfRule type="containsText" priority="84" operator="containsText" id="{19560D2D-1025-4C93-9363-6CBBA69AB820}">
            <xm:f>NOT(ISERROR(SEARCH("QSL",AB15)))</xm:f>
            <xm:f>"QSL"</xm:f>
            <x14:dxf>
              <fill>
                <patternFill>
                  <bgColor rgb="FFC6EFCE"/>
                </patternFill>
              </fill>
            </x14:dxf>
          </x14:cfRule>
          <xm:sqref>AB16:AC23 AB15</xm:sqref>
        </x14:conditionalFormatting>
        <x14:conditionalFormatting xmlns:xm="http://schemas.microsoft.com/office/excel/2006/main">
          <x14:cfRule type="containsText" priority="83" operator="containsText" id="{12E9E021-9164-498F-80B3-475A89C05B7D}">
            <xm:f>NOT(ISERROR(SEARCH("T",AB15)))</xm:f>
            <xm:f>"T"</xm:f>
            <x14:dxf>
              <font>
                <color rgb="FF006100"/>
              </font>
              <fill>
                <patternFill>
                  <bgColor rgb="FFC6EFCE"/>
                </patternFill>
              </fill>
            </x14:dxf>
          </x14:cfRule>
          <xm:sqref>AB16:AC23 AB15</xm:sqref>
        </x14:conditionalFormatting>
        <x14:conditionalFormatting xmlns:xm="http://schemas.microsoft.com/office/excel/2006/main">
          <x14:cfRule type="containsText" priority="81" operator="containsText" id="{1E6856CC-206A-43E4-9F80-EED29E6259C4}">
            <xm:f>NOT(ISERROR(SEARCH("PPV",AB15)))</xm:f>
            <xm:f>"PPV"</xm:f>
            <x14:dxf>
              <fill>
                <patternFill>
                  <bgColor theme="3" tint="0.39994506668294322"/>
                </patternFill>
              </fill>
            </x14:dxf>
          </x14:cfRule>
          <xm:sqref>AB16:AC23 AB15</xm:sqref>
        </x14:conditionalFormatting>
        <x14:conditionalFormatting xmlns:xm="http://schemas.microsoft.com/office/excel/2006/main">
          <x14:cfRule type="containsText" priority="82" operator="containsText" id="{2344AD0D-7CE1-477F-94D6-6271789774F4}">
            <xm:f>NOT(ISERROR(SEARCH("NC",AB15)))</xm:f>
            <xm:f>"NC"</xm:f>
            <x14:dxf>
              <font>
                <color auto="1"/>
              </font>
              <fill>
                <patternFill>
                  <bgColor theme="3" tint="0.39994506668294322"/>
                </patternFill>
              </fill>
            </x14:dxf>
          </x14:cfRule>
          <xm:sqref>AB16:AC23 AB15</xm:sqref>
        </x14:conditionalFormatting>
        <x14:conditionalFormatting xmlns:xm="http://schemas.microsoft.com/office/excel/2006/main">
          <x14:cfRule type="containsText" priority="71" operator="containsText" id="{D376E705-5E16-4478-8980-0B14681B7552}">
            <xm:f>NOT(ISERROR(SEARCH("QSL",AI15)))</xm:f>
            <xm:f>"QSL"</xm:f>
            <x14:dxf>
              <fill>
                <patternFill>
                  <bgColor rgb="FFC6EFCE"/>
                </patternFill>
              </fill>
            </x14:dxf>
          </x14:cfRule>
          <xm:sqref>AI15:AJ23</xm:sqref>
        </x14:conditionalFormatting>
        <x14:conditionalFormatting xmlns:xm="http://schemas.microsoft.com/office/excel/2006/main">
          <x14:cfRule type="containsText" priority="70" operator="containsText" id="{095BBEE8-93AF-43DB-A3DD-029A1648CDA2}">
            <xm:f>NOT(ISERROR(SEARCH("T",AI15)))</xm:f>
            <xm:f>"T"</xm:f>
            <x14:dxf>
              <font>
                <color rgb="FF006100"/>
              </font>
              <fill>
                <patternFill>
                  <bgColor rgb="FFC6EFCE"/>
                </patternFill>
              </fill>
            </x14:dxf>
          </x14:cfRule>
          <xm:sqref>AI15:AJ23</xm:sqref>
        </x14:conditionalFormatting>
        <x14:conditionalFormatting xmlns:xm="http://schemas.microsoft.com/office/excel/2006/main">
          <x14:cfRule type="containsText" priority="68" operator="containsText" id="{96686C96-8067-42B3-B627-DB20E46E117D}">
            <xm:f>NOT(ISERROR(SEARCH("PPV",AI15)))</xm:f>
            <xm:f>"PPV"</xm:f>
            <x14:dxf>
              <fill>
                <patternFill>
                  <bgColor theme="3" tint="0.39994506668294322"/>
                </patternFill>
              </fill>
            </x14:dxf>
          </x14:cfRule>
          <xm:sqref>AI15:AJ23</xm:sqref>
        </x14:conditionalFormatting>
        <x14:conditionalFormatting xmlns:xm="http://schemas.microsoft.com/office/excel/2006/main">
          <x14:cfRule type="containsText" priority="69" operator="containsText" id="{641F12A1-C629-4F71-8206-04B03F231655}">
            <xm:f>NOT(ISERROR(SEARCH("NC",AI15)))</xm:f>
            <xm:f>"NC"</xm:f>
            <x14:dxf>
              <font>
                <color auto="1"/>
              </font>
              <fill>
                <patternFill>
                  <bgColor theme="3" tint="0.39994506668294322"/>
                </patternFill>
              </fill>
            </x14:dxf>
          </x14:cfRule>
          <xm:sqref>AI15:AJ23</xm:sqref>
        </x14:conditionalFormatting>
        <x14:conditionalFormatting xmlns:xm="http://schemas.microsoft.com/office/excel/2006/main">
          <x14:cfRule type="containsText" priority="58" operator="containsText" id="{9003075C-D0D5-420D-9905-86252F9A591C}">
            <xm:f>NOT(ISERROR(SEARCH("QSL",AA15)))</xm:f>
            <xm:f>"QSL"</xm:f>
            <x14:dxf>
              <fill>
                <patternFill>
                  <bgColor rgb="FFC6EFCE"/>
                </patternFill>
              </fill>
            </x14:dxf>
          </x14:cfRule>
          <xm:sqref>AA15</xm:sqref>
        </x14:conditionalFormatting>
        <x14:conditionalFormatting xmlns:xm="http://schemas.microsoft.com/office/excel/2006/main">
          <x14:cfRule type="containsText" priority="57" operator="containsText" id="{E2A16A5E-0C60-4C8F-9608-5EF4392F4EA5}">
            <xm:f>NOT(ISERROR(SEARCH("T",AA15)))</xm:f>
            <xm:f>"T"</xm:f>
            <x14:dxf>
              <font>
                <color rgb="FF006100"/>
              </font>
              <fill>
                <patternFill>
                  <bgColor rgb="FFC6EFCE"/>
                </patternFill>
              </fill>
            </x14:dxf>
          </x14:cfRule>
          <xm:sqref>AA15</xm:sqref>
        </x14:conditionalFormatting>
        <x14:conditionalFormatting xmlns:xm="http://schemas.microsoft.com/office/excel/2006/main">
          <x14:cfRule type="containsText" priority="55" operator="containsText" id="{045C7054-4DF9-453C-B961-44CE1480AF5C}">
            <xm:f>NOT(ISERROR(SEARCH("PPV",AA15)))</xm:f>
            <xm:f>"PPV"</xm:f>
            <x14:dxf>
              <fill>
                <patternFill>
                  <bgColor theme="3" tint="0.39994506668294322"/>
                </patternFill>
              </fill>
            </x14:dxf>
          </x14:cfRule>
          <xm:sqref>AA15</xm:sqref>
        </x14:conditionalFormatting>
        <x14:conditionalFormatting xmlns:xm="http://schemas.microsoft.com/office/excel/2006/main">
          <x14:cfRule type="containsText" priority="56" operator="containsText" id="{2B9F42C8-D909-4EEE-BFDD-DB5A43C9260E}">
            <xm:f>NOT(ISERROR(SEARCH("NC",AA15)))</xm:f>
            <xm:f>"NC"</xm:f>
            <x14:dxf>
              <font>
                <color auto="1"/>
              </font>
              <fill>
                <patternFill>
                  <bgColor theme="3" tint="0.39994506668294322"/>
                </patternFill>
              </fill>
            </x14:dxf>
          </x14:cfRule>
          <xm:sqref>AA15</xm:sqref>
        </x14:conditionalFormatting>
        <x14:conditionalFormatting xmlns:xm="http://schemas.microsoft.com/office/excel/2006/main">
          <x14:cfRule type="containsText" priority="45" operator="containsText" id="{32937ADF-79EB-4535-AE7A-B8CC7049080C}">
            <xm:f>NOT(ISERROR(SEARCH("QSL",AC15)))</xm:f>
            <xm:f>"QSL"</xm:f>
            <x14:dxf>
              <fill>
                <patternFill>
                  <bgColor rgb="FFC6EFCE"/>
                </patternFill>
              </fill>
            </x14:dxf>
          </x14:cfRule>
          <xm:sqref>AC15</xm:sqref>
        </x14:conditionalFormatting>
        <x14:conditionalFormatting xmlns:xm="http://schemas.microsoft.com/office/excel/2006/main">
          <x14:cfRule type="containsText" priority="44" operator="containsText" id="{7D919BAC-8ED3-45C8-9DBF-BD6C962FF97F}">
            <xm:f>NOT(ISERROR(SEARCH("T",AC15)))</xm:f>
            <xm:f>"T"</xm:f>
            <x14:dxf>
              <font>
                <color rgb="FF006100"/>
              </font>
              <fill>
                <patternFill>
                  <bgColor rgb="FFC6EFCE"/>
                </patternFill>
              </fill>
            </x14:dxf>
          </x14:cfRule>
          <xm:sqref>AC15</xm:sqref>
        </x14:conditionalFormatting>
        <x14:conditionalFormatting xmlns:xm="http://schemas.microsoft.com/office/excel/2006/main">
          <x14:cfRule type="containsText" priority="42" operator="containsText" id="{32E2CD9C-E3BD-4EDE-9DE4-8E763085FAEB}">
            <xm:f>NOT(ISERROR(SEARCH("PPV",AC15)))</xm:f>
            <xm:f>"PPV"</xm:f>
            <x14:dxf>
              <fill>
                <patternFill>
                  <bgColor theme="3" tint="0.39994506668294322"/>
                </patternFill>
              </fill>
            </x14:dxf>
          </x14:cfRule>
          <xm:sqref>AC15</xm:sqref>
        </x14:conditionalFormatting>
        <x14:conditionalFormatting xmlns:xm="http://schemas.microsoft.com/office/excel/2006/main">
          <x14:cfRule type="containsText" priority="43" operator="containsText" id="{62828E7C-ED10-4010-B163-37AF35AF68A2}">
            <xm:f>NOT(ISERROR(SEARCH("NC",AC15)))</xm:f>
            <xm:f>"NC"</xm:f>
            <x14:dxf>
              <font>
                <color auto="1"/>
              </font>
              <fill>
                <patternFill>
                  <bgColor theme="3" tint="0.39994506668294322"/>
                </patternFill>
              </fill>
            </x14:dxf>
          </x14:cfRule>
          <xm:sqref>AC15</xm:sqref>
        </x14:conditionalFormatting>
        <x14:conditionalFormatting xmlns:xm="http://schemas.microsoft.com/office/excel/2006/main">
          <x14:cfRule type="containsText" priority="32" operator="containsText" id="{B5371DDA-0B01-40E2-8E24-7F3C008BE2EF}">
            <xm:f>NOT(ISERROR(SEARCH("QSL",AD15)))</xm:f>
            <xm:f>"QSL"</xm:f>
            <x14:dxf>
              <fill>
                <patternFill>
                  <bgColor rgb="FFC6EFCE"/>
                </patternFill>
              </fill>
            </x14:dxf>
          </x14:cfRule>
          <xm:sqref>AD15</xm:sqref>
        </x14:conditionalFormatting>
        <x14:conditionalFormatting xmlns:xm="http://schemas.microsoft.com/office/excel/2006/main">
          <x14:cfRule type="containsText" priority="31" operator="containsText" id="{CDE80236-84EC-4C87-95D0-DF8FE74287C6}">
            <xm:f>NOT(ISERROR(SEARCH("T",AD15)))</xm:f>
            <xm:f>"T"</xm:f>
            <x14:dxf>
              <font>
                <color rgb="FF006100"/>
              </font>
              <fill>
                <patternFill>
                  <bgColor rgb="FFC6EFCE"/>
                </patternFill>
              </fill>
            </x14:dxf>
          </x14:cfRule>
          <xm:sqref>AD15</xm:sqref>
        </x14:conditionalFormatting>
        <x14:conditionalFormatting xmlns:xm="http://schemas.microsoft.com/office/excel/2006/main">
          <x14:cfRule type="containsText" priority="29" operator="containsText" id="{8DE73D9E-5AC9-45D3-8A6D-E1BD90A17019}">
            <xm:f>NOT(ISERROR(SEARCH("PPV",AD15)))</xm:f>
            <xm:f>"PPV"</xm:f>
            <x14:dxf>
              <fill>
                <patternFill>
                  <bgColor theme="3" tint="0.39994506668294322"/>
                </patternFill>
              </fill>
            </x14:dxf>
          </x14:cfRule>
          <xm:sqref>AD15</xm:sqref>
        </x14:conditionalFormatting>
        <x14:conditionalFormatting xmlns:xm="http://schemas.microsoft.com/office/excel/2006/main">
          <x14:cfRule type="containsText" priority="30" operator="containsText" id="{16290D87-557D-432B-9286-39A47972DFE6}">
            <xm:f>NOT(ISERROR(SEARCH("NC",AD15)))</xm:f>
            <xm:f>"NC"</xm:f>
            <x14:dxf>
              <font>
                <color auto="1"/>
              </font>
              <fill>
                <patternFill>
                  <bgColor theme="3" tint="0.39994506668294322"/>
                </patternFill>
              </fill>
            </x14:dxf>
          </x14:cfRule>
          <xm:sqref>AD15</xm:sqref>
        </x14:conditionalFormatting>
        <x14:conditionalFormatting xmlns:xm="http://schemas.microsoft.com/office/excel/2006/main">
          <x14:cfRule type="containsText" priority="19" operator="containsText" id="{9318AAB6-4153-4201-8F95-77D5317505DA}">
            <xm:f>NOT(ISERROR(SEARCH("QSL",AE15)))</xm:f>
            <xm:f>"QSL"</xm:f>
            <x14:dxf>
              <fill>
                <patternFill>
                  <bgColor rgb="FFC6EFCE"/>
                </patternFill>
              </fill>
            </x14:dxf>
          </x14:cfRule>
          <xm:sqref>AE15</xm:sqref>
        </x14:conditionalFormatting>
        <x14:conditionalFormatting xmlns:xm="http://schemas.microsoft.com/office/excel/2006/main">
          <x14:cfRule type="containsText" priority="18" operator="containsText" id="{0860F3AB-9973-4A2B-9001-2E351981B8DC}">
            <xm:f>NOT(ISERROR(SEARCH("T",AE15)))</xm:f>
            <xm:f>"T"</xm:f>
            <x14:dxf>
              <font>
                <color rgb="FF006100"/>
              </font>
              <fill>
                <patternFill>
                  <bgColor rgb="FFC6EFCE"/>
                </patternFill>
              </fill>
            </x14:dxf>
          </x14:cfRule>
          <xm:sqref>AE15</xm:sqref>
        </x14:conditionalFormatting>
        <x14:conditionalFormatting xmlns:xm="http://schemas.microsoft.com/office/excel/2006/main">
          <x14:cfRule type="containsText" priority="16" operator="containsText" id="{36A8B1C5-5A97-4D1D-A700-AEB83C7726BD}">
            <xm:f>NOT(ISERROR(SEARCH("PPV",AE15)))</xm:f>
            <xm:f>"PPV"</xm:f>
            <x14:dxf>
              <fill>
                <patternFill>
                  <bgColor theme="3" tint="0.39994506668294322"/>
                </patternFill>
              </fill>
            </x14:dxf>
          </x14:cfRule>
          <xm:sqref>AE15</xm:sqref>
        </x14:conditionalFormatting>
        <x14:conditionalFormatting xmlns:xm="http://schemas.microsoft.com/office/excel/2006/main">
          <x14:cfRule type="containsText" priority="17" operator="containsText" id="{61632FDA-A732-4719-BFA6-336AE379FBF1}">
            <xm:f>NOT(ISERROR(SEARCH("NC",AE15)))</xm:f>
            <xm:f>"NC"</xm:f>
            <x14:dxf>
              <font>
                <color auto="1"/>
              </font>
              <fill>
                <patternFill>
                  <bgColor theme="3" tint="0.39994506668294322"/>
                </patternFill>
              </fill>
            </x14:dxf>
          </x14:cfRule>
          <xm:sqref>AE15</xm:sqref>
        </x14:conditionalFormatting>
        <x14:conditionalFormatting xmlns:xm="http://schemas.microsoft.com/office/excel/2006/main">
          <x14:cfRule type="containsText" priority="6" operator="containsText" id="{960CDAC2-8A9C-4293-B0F8-86AC587D3B77}">
            <xm:f>NOT(ISERROR(SEARCH("QSL",AH15)))</xm:f>
            <xm:f>"QSL"</xm:f>
            <x14:dxf>
              <fill>
                <patternFill>
                  <bgColor rgb="FFC6EFCE"/>
                </patternFill>
              </fill>
            </x14:dxf>
          </x14:cfRule>
          <xm:sqref>AH15</xm:sqref>
        </x14:conditionalFormatting>
        <x14:conditionalFormatting xmlns:xm="http://schemas.microsoft.com/office/excel/2006/main">
          <x14:cfRule type="containsText" priority="5" operator="containsText" id="{BFD1B38F-4412-4024-AE04-E9CBB6CC285E}">
            <xm:f>NOT(ISERROR(SEARCH("T",AH15)))</xm:f>
            <xm:f>"T"</xm:f>
            <x14:dxf>
              <font>
                <color rgb="FF006100"/>
              </font>
              <fill>
                <patternFill>
                  <bgColor rgb="FFC6EFCE"/>
                </patternFill>
              </fill>
            </x14:dxf>
          </x14:cfRule>
          <xm:sqref>AH15</xm:sqref>
        </x14:conditionalFormatting>
        <x14:conditionalFormatting xmlns:xm="http://schemas.microsoft.com/office/excel/2006/main">
          <x14:cfRule type="containsText" priority="3" operator="containsText" id="{2E05FD8B-46CF-4D09-BE1A-A8FB24A281F1}">
            <xm:f>NOT(ISERROR(SEARCH("PPV",AH15)))</xm:f>
            <xm:f>"PPV"</xm:f>
            <x14:dxf>
              <fill>
                <patternFill>
                  <bgColor theme="3" tint="0.39994506668294322"/>
                </patternFill>
              </fill>
            </x14:dxf>
          </x14:cfRule>
          <xm:sqref>AH15</xm:sqref>
        </x14:conditionalFormatting>
        <x14:conditionalFormatting xmlns:xm="http://schemas.microsoft.com/office/excel/2006/main">
          <x14:cfRule type="containsText" priority="4" operator="containsText" id="{BD8D0885-0AEA-4846-B78F-EEAB93AD8A5B}">
            <xm:f>NOT(ISERROR(SEARCH("NC",AH15)))</xm:f>
            <xm:f>"NC"</xm:f>
            <x14:dxf>
              <font>
                <color auto="1"/>
              </font>
              <fill>
                <patternFill>
                  <bgColor theme="3" tint="0.39994506668294322"/>
                </patternFill>
              </fill>
            </x14:dxf>
          </x14:cfRule>
          <xm:sqref>AH15</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rkusz10">
    <tabColor rgb="FF92D050"/>
  </sheetPr>
  <dimension ref="A1:BS208"/>
  <sheetViews>
    <sheetView showGridLines="0" showRowColHeaders="0" topLeftCell="A38" zoomScale="75" zoomScaleNormal="75" workbookViewId="0">
      <selection activeCell="J118" sqref="J118:L118"/>
    </sheetView>
  </sheetViews>
  <sheetFormatPr defaultColWidth="0" defaultRowHeight="20.100000000000001" customHeight="1" zeroHeight="1"/>
  <cols>
    <col min="1" max="1" width="4.7109375" customWidth="1"/>
    <col min="2" max="2" width="4.7109375" hidden="1" customWidth="1"/>
    <col min="3" max="44" width="4.7109375" customWidth="1"/>
    <col min="45" max="69" width="4.7109375" style="43" hidden="1" customWidth="1"/>
    <col min="70" max="16384" width="4.7109375" hidden="1"/>
  </cols>
  <sheetData>
    <row r="1" spans="3:71" s="144" customFormat="1" ht="20.100000000000001" customHeight="1">
      <c r="C1" s="623" t="str">
        <f ca="1">INDIRECT("T!"&amp;T!A1&amp;"59")</f>
        <v>Grafiki Roczne</v>
      </c>
      <c r="D1" s="623"/>
      <c r="E1" s="623"/>
      <c r="F1" s="623"/>
      <c r="G1" s="623"/>
      <c r="H1" s="623"/>
      <c r="I1" s="623"/>
      <c r="J1" s="623"/>
      <c r="K1" s="623"/>
      <c r="L1" s="623"/>
      <c r="M1" s="623"/>
      <c r="N1" s="623"/>
      <c r="O1" s="623"/>
      <c r="P1" s="623"/>
      <c r="Q1" s="623"/>
      <c r="R1" s="623"/>
      <c r="S1" s="623"/>
      <c r="T1" s="623"/>
      <c r="U1" s="623"/>
      <c r="V1" s="623"/>
      <c r="W1" s="623"/>
      <c r="X1" s="623"/>
      <c r="Y1" s="623"/>
      <c r="Z1" s="623"/>
      <c r="AA1" s="623"/>
      <c r="AB1" s="623"/>
      <c r="AC1" s="623"/>
      <c r="AD1" s="623"/>
      <c r="AE1" s="623"/>
      <c r="AF1" s="623"/>
      <c r="AG1" s="623"/>
      <c r="AH1" s="623"/>
      <c r="AI1" s="623"/>
      <c r="AJ1" s="623"/>
      <c r="AK1" s="623"/>
      <c r="AL1" s="623"/>
      <c r="AM1" s="623"/>
      <c r="AN1" s="623"/>
      <c r="AO1" s="623"/>
      <c r="AP1" s="623"/>
      <c r="AQ1" s="623"/>
      <c r="AS1" s="145"/>
      <c r="AT1" s="145"/>
      <c r="AU1" s="145"/>
      <c r="AV1" s="145"/>
      <c r="AW1" s="145"/>
      <c r="AX1" s="145"/>
      <c r="AY1" s="145"/>
      <c r="AZ1" s="145"/>
      <c r="BA1" s="145"/>
      <c r="BB1" s="145"/>
      <c r="BC1" s="145"/>
      <c r="BD1" s="145"/>
      <c r="BE1" s="145"/>
      <c r="BF1" s="145"/>
      <c r="BG1" s="145"/>
      <c r="BH1" s="145"/>
      <c r="BI1" s="145"/>
      <c r="BJ1" s="145"/>
      <c r="BK1" s="145"/>
      <c r="BL1" s="145"/>
      <c r="BM1" s="145"/>
      <c r="BN1" s="145"/>
      <c r="BO1" s="145"/>
      <c r="BP1" s="145"/>
      <c r="BQ1" s="145"/>
    </row>
    <row r="2" spans="3:71" s="144" customFormat="1" ht="20.100000000000001" customHeight="1" thickBot="1">
      <c r="C2" s="623"/>
      <c r="D2" s="623"/>
      <c r="E2" s="623"/>
      <c r="F2" s="623"/>
      <c r="G2" s="623"/>
      <c r="H2" s="623"/>
      <c r="I2" s="623"/>
      <c r="J2" s="623"/>
      <c r="K2" s="623"/>
      <c r="L2" s="623"/>
      <c r="M2" s="623"/>
      <c r="N2" s="623"/>
      <c r="O2" s="623"/>
      <c r="P2" s="623"/>
      <c r="Q2" s="623"/>
      <c r="R2" s="623"/>
      <c r="S2" s="623"/>
      <c r="T2" s="623"/>
      <c r="U2" s="623"/>
      <c r="V2" s="623"/>
      <c r="W2" s="623"/>
      <c r="X2" s="623"/>
      <c r="Y2" s="623"/>
      <c r="Z2" s="623"/>
      <c r="AA2" s="623"/>
      <c r="AB2" s="623"/>
      <c r="AC2" s="623"/>
      <c r="AD2" s="623"/>
      <c r="AE2" s="623"/>
      <c r="AF2" s="623"/>
      <c r="AG2" s="623"/>
      <c r="AH2" s="623"/>
      <c r="AI2" s="623"/>
      <c r="AJ2" s="623"/>
      <c r="AK2" s="623"/>
      <c r="AL2" s="623"/>
      <c r="AM2" s="623"/>
      <c r="AN2" s="623"/>
      <c r="AO2" s="623"/>
      <c r="AP2" s="623"/>
      <c r="AQ2" s="623"/>
      <c r="AS2" s="145" t="str">
        <f>Lists!O1</f>
        <v>AM</v>
      </c>
      <c r="AT2" s="145" t="str">
        <f>Lists!O2</f>
        <v>PM</v>
      </c>
      <c r="AU2" s="145" t="str">
        <f>Lists!O3</f>
        <v>AMN</v>
      </c>
      <c r="AV2" s="145" t="str">
        <f>Lists!O4</f>
        <v>PMN</v>
      </c>
      <c r="AW2" s="145" t="str">
        <f>Lists!O5</f>
        <v>SAM</v>
      </c>
      <c r="AX2" s="145" t="str">
        <f>Lists!O6</f>
        <v>SPM</v>
      </c>
      <c r="AY2" s="145" t="str">
        <f>Lists!O7</f>
        <v>SUP</v>
      </c>
      <c r="AZ2" s="145" t="str">
        <f>Lists!O8</f>
        <v>MIB</v>
      </c>
      <c r="BA2" s="145" t="str">
        <f>Lists!O9</f>
        <v>AMB</v>
      </c>
      <c r="BB2" s="145" t="str">
        <f>Lists!O10</f>
        <v>PMB</v>
      </c>
      <c r="BC2" s="145" t="str">
        <f>Lists!O25</f>
        <v>T</v>
      </c>
      <c r="BD2" s="145" t="str">
        <f>Lists!O26</f>
        <v>PR</v>
      </c>
      <c r="BE2" s="145">
        <f>Lists!O27</f>
        <v>0</v>
      </c>
      <c r="BF2" s="145">
        <f>Lists!O28</f>
        <v>0</v>
      </c>
      <c r="BG2" s="145">
        <f>Lists!O29</f>
        <v>0</v>
      </c>
      <c r="BH2" s="145">
        <f>Lists!O30</f>
        <v>0</v>
      </c>
      <c r="BI2" s="145">
        <f>Lists!O31</f>
        <v>0</v>
      </c>
      <c r="BJ2" s="145" t="s">
        <v>17</v>
      </c>
      <c r="BK2" s="145">
        <f>Lists!O33</f>
        <v>0</v>
      </c>
      <c r="BL2" s="145">
        <f>Lists!O34</f>
        <v>0</v>
      </c>
      <c r="BM2" s="145">
        <f>Lists!O35</f>
        <v>0</v>
      </c>
      <c r="BN2" s="145" t="str">
        <f>Lists!O41</f>
        <v>OFF</v>
      </c>
      <c r="BO2" s="145" t="str">
        <f>Lists!O42</f>
        <v>H</v>
      </c>
      <c r="BP2" s="145" t="str">
        <f>Lists!O43</f>
        <v>L4</v>
      </c>
      <c r="BQ2" s="145">
        <f>Lists!O44</f>
        <v>0</v>
      </c>
    </row>
    <row r="3" spans="3:71" s="144" customFormat="1" ht="20.100000000000001" customHeight="1">
      <c r="C3" s="624" t="str">
        <f ca="1">Lists!F1</f>
        <v>Styczeń</v>
      </c>
      <c r="D3" s="625"/>
      <c r="E3" s="625"/>
      <c r="F3" s="625"/>
      <c r="G3" s="626"/>
      <c r="H3" s="146"/>
      <c r="I3" s="146"/>
      <c r="J3" s="146"/>
      <c r="K3" s="146"/>
      <c r="L3" s="146"/>
      <c r="M3" s="146"/>
      <c r="N3" s="146"/>
      <c r="O3" s="146"/>
      <c r="P3" s="146"/>
      <c r="Q3" s="146"/>
      <c r="R3" s="146"/>
      <c r="S3" s="146"/>
      <c r="T3" s="146"/>
      <c r="U3" s="146"/>
      <c r="V3" s="146"/>
      <c r="W3" s="146"/>
      <c r="X3" s="146"/>
      <c r="Y3" s="146"/>
      <c r="Z3" s="146"/>
      <c r="AA3" s="146"/>
      <c r="AB3" s="146"/>
      <c r="AC3" s="146"/>
      <c r="AD3" s="146"/>
      <c r="AE3" s="146"/>
      <c r="AF3" s="146"/>
      <c r="AG3" s="146"/>
      <c r="AH3" s="146"/>
      <c r="AI3" s="146"/>
      <c r="AJ3" s="146"/>
      <c r="AK3" s="146"/>
      <c r="AL3" s="146"/>
      <c r="AM3" s="146"/>
      <c r="AN3" s="146"/>
      <c r="AO3" s="146"/>
      <c r="AP3" s="146"/>
      <c r="AQ3" s="146"/>
      <c r="AS3" s="145"/>
      <c r="AT3" s="145"/>
      <c r="AU3" s="145"/>
      <c r="AV3" s="145"/>
      <c r="AW3" s="145"/>
      <c r="AX3" s="145"/>
      <c r="AY3" s="145"/>
      <c r="AZ3" s="145"/>
      <c r="BA3" s="145"/>
      <c r="BB3" s="145"/>
      <c r="BC3" s="145"/>
      <c r="BD3" s="145"/>
      <c r="BE3" s="145"/>
      <c r="BF3" s="145"/>
      <c r="BG3" s="145"/>
      <c r="BH3" s="145"/>
      <c r="BI3" s="145"/>
      <c r="BJ3" s="145"/>
      <c r="BK3" s="145"/>
      <c r="BL3" s="145"/>
      <c r="BM3" s="145"/>
      <c r="BN3" s="145"/>
      <c r="BO3" s="145"/>
      <c r="BP3" s="145"/>
      <c r="BQ3" s="145"/>
    </row>
    <row r="4" spans="3:71" s="144" customFormat="1" ht="20.100000000000001" customHeight="1" thickBot="1">
      <c r="C4" s="627"/>
      <c r="D4" s="628"/>
      <c r="E4" s="628"/>
      <c r="F4" s="628"/>
      <c r="G4" s="629"/>
      <c r="H4" s="146"/>
      <c r="I4" s="146"/>
      <c r="J4" s="146"/>
      <c r="K4" s="146"/>
      <c r="L4" s="146"/>
      <c r="M4" s="146"/>
      <c r="N4" s="146"/>
      <c r="O4" s="146"/>
      <c r="P4" s="146"/>
      <c r="Q4" s="146"/>
      <c r="R4" s="146"/>
      <c r="S4" s="146"/>
      <c r="T4" s="146"/>
      <c r="U4" s="146"/>
      <c r="V4" s="146"/>
      <c r="W4" s="146"/>
      <c r="X4" s="146"/>
      <c r="Y4" s="146"/>
      <c r="Z4" s="146"/>
      <c r="AA4" s="146"/>
      <c r="AB4" s="146"/>
      <c r="AC4" s="146"/>
      <c r="AD4" s="146"/>
      <c r="AE4" s="146"/>
      <c r="AF4" s="146"/>
      <c r="AG4" s="146"/>
      <c r="AH4" s="146"/>
      <c r="AI4" s="146"/>
      <c r="AJ4" s="146"/>
      <c r="AK4" s="146"/>
      <c r="AL4" s="146"/>
      <c r="AM4" s="146"/>
      <c r="AN4" s="146"/>
      <c r="AO4" s="146"/>
      <c r="AP4" s="146"/>
      <c r="AQ4" s="146"/>
      <c r="AS4" s="145"/>
      <c r="AT4" s="145"/>
      <c r="AU4" s="145"/>
      <c r="AV4" s="145"/>
      <c r="AW4" s="145"/>
      <c r="AX4" s="145"/>
      <c r="AY4" s="145"/>
      <c r="AZ4" s="145"/>
      <c r="BA4" s="145"/>
      <c r="BB4" s="145"/>
      <c r="BC4" s="145"/>
      <c r="BD4" s="145"/>
      <c r="BE4" s="145"/>
      <c r="BF4" s="145"/>
      <c r="BG4" s="145"/>
      <c r="BH4" s="145"/>
      <c r="BI4" s="145"/>
      <c r="BJ4" s="145"/>
      <c r="BK4" s="145"/>
      <c r="BL4" s="145"/>
      <c r="BM4" s="145"/>
      <c r="BN4" s="145"/>
      <c r="BO4" s="145"/>
      <c r="BP4" s="145"/>
      <c r="BQ4" s="145"/>
    </row>
    <row r="5" spans="3:71" ht="20.100000000000001" hidden="1" customHeight="1">
      <c r="C5" s="31"/>
      <c r="D5" s="32"/>
      <c r="E5" s="32"/>
      <c r="F5" s="32"/>
      <c r="G5" s="32"/>
      <c r="M5" s="10">
        <f>Admin!B3</f>
        <v>46023</v>
      </c>
      <c r="N5" s="10">
        <f>M5+1</f>
        <v>46024</v>
      </c>
      <c r="O5" s="10">
        <f t="shared" ref="O5:AQ5" si="0">N5+1</f>
        <v>46025</v>
      </c>
      <c r="P5" s="10">
        <f t="shared" si="0"/>
        <v>46026</v>
      </c>
      <c r="Q5" s="10">
        <f t="shared" si="0"/>
        <v>46027</v>
      </c>
      <c r="R5" s="10">
        <f t="shared" si="0"/>
        <v>46028</v>
      </c>
      <c r="S5" s="10">
        <f t="shared" si="0"/>
        <v>46029</v>
      </c>
      <c r="T5" s="10">
        <f t="shared" si="0"/>
        <v>46030</v>
      </c>
      <c r="U5" s="10">
        <f t="shared" si="0"/>
        <v>46031</v>
      </c>
      <c r="V5" s="10">
        <f t="shared" si="0"/>
        <v>46032</v>
      </c>
      <c r="W5" s="10">
        <f t="shared" si="0"/>
        <v>46033</v>
      </c>
      <c r="X5" s="10">
        <f t="shared" si="0"/>
        <v>46034</v>
      </c>
      <c r="Y5" s="10">
        <f t="shared" si="0"/>
        <v>46035</v>
      </c>
      <c r="Z5" s="10">
        <f t="shared" si="0"/>
        <v>46036</v>
      </c>
      <c r="AA5" s="10">
        <f t="shared" si="0"/>
        <v>46037</v>
      </c>
      <c r="AB5" s="10">
        <f t="shared" si="0"/>
        <v>46038</v>
      </c>
      <c r="AC5" s="10">
        <f t="shared" si="0"/>
        <v>46039</v>
      </c>
      <c r="AD5" s="10">
        <f t="shared" si="0"/>
        <v>46040</v>
      </c>
      <c r="AE5" s="10">
        <f t="shared" si="0"/>
        <v>46041</v>
      </c>
      <c r="AF5" s="10">
        <f t="shared" si="0"/>
        <v>46042</v>
      </c>
      <c r="AG5" s="10">
        <f t="shared" si="0"/>
        <v>46043</v>
      </c>
      <c r="AH5" s="10">
        <f t="shared" si="0"/>
        <v>46044</v>
      </c>
      <c r="AI5" s="10">
        <f t="shared" si="0"/>
        <v>46045</v>
      </c>
      <c r="AJ5" s="10">
        <f t="shared" si="0"/>
        <v>46046</v>
      </c>
      <c r="AK5" s="10">
        <f t="shared" si="0"/>
        <v>46047</v>
      </c>
      <c r="AL5" s="10">
        <f t="shared" si="0"/>
        <v>46048</v>
      </c>
      <c r="AM5" s="10">
        <f t="shared" si="0"/>
        <v>46049</v>
      </c>
      <c r="AN5" s="10">
        <f t="shared" si="0"/>
        <v>46050</v>
      </c>
      <c r="AO5" s="10">
        <f t="shared" si="0"/>
        <v>46051</v>
      </c>
      <c r="AP5" s="10">
        <f t="shared" si="0"/>
        <v>46052</v>
      </c>
      <c r="AQ5" s="10">
        <f t="shared" si="0"/>
        <v>46053</v>
      </c>
    </row>
    <row r="6" spans="3:71" ht="20.100000000000001" hidden="1" customHeight="1" thickBot="1">
      <c r="C6" s="31"/>
      <c r="D6" s="32"/>
      <c r="E6" s="32"/>
      <c r="F6" s="32"/>
      <c r="G6" s="32"/>
      <c r="M6">
        <f>WEEKDAY(M5,2)</f>
        <v>4</v>
      </c>
      <c r="N6">
        <f t="shared" ref="N6:AQ6" si="1">WEEKDAY(N5,2)</f>
        <v>5</v>
      </c>
      <c r="O6">
        <f t="shared" si="1"/>
        <v>6</v>
      </c>
      <c r="P6">
        <f t="shared" si="1"/>
        <v>7</v>
      </c>
      <c r="Q6">
        <f t="shared" si="1"/>
        <v>1</v>
      </c>
      <c r="R6">
        <f t="shared" si="1"/>
        <v>2</v>
      </c>
      <c r="S6">
        <f t="shared" si="1"/>
        <v>3</v>
      </c>
      <c r="T6">
        <f t="shared" si="1"/>
        <v>4</v>
      </c>
      <c r="U6">
        <f t="shared" si="1"/>
        <v>5</v>
      </c>
      <c r="V6">
        <f t="shared" si="1"/>
        <v>6</v>
      </c>
      <c r="W6">
        <f t="shared" si="1"/>
        <v>7</v>
      </c>
      <c r="X6">
        <f t="shared" si="1"/>
        <v>1</v>
      </c>
      <c r="Y6">
        <f t="shared" si="1"/>
        <v>2</v>
      </c>
      <c r="Z6">
        <f t="shared" si="1"/>
        <v>3</v>
      </c>
      <c r="AA6">
        <f t="shared" si="1"/>
        <v>4</v>
      </c>
      <c r="AB6">
        <f t="shared" si="1"/>
        <v>5</v>
      </c>
      <c r="AC6">
        <f t="shared" si="1"/>
        <v>6</v>
      </c>
      <c r="AD6">
        <f t="shared" si="1"/>
        <v>7</v>
      </c>
      <c r="AE6">
        <f t="shared" si="1"/>
        <v>1</v>
      </c>
      <c r="AF6">
        <f t="shared" si="1"/>
        <v>2</v>
      </c>
      <c r="AG6">
        <f t="shared" si="1"/>
        <v>3</v>
      </c>
      <c r="AH6">
        <f t="shared" si="1"/>
        <v>4</v>
      </c>
      <c r="AI6">
        <f t="shared" si="1"/>
        <v>5</v>
      </c>
      <c r="AJ6">
        <f t="shared" si="1"/>
        <v>6</v>
      </c>
      <c r="AK6">
        <f t="shared" si="1"/>
        <v>7</v>
      </c>
      <c r="AL6">
        <f t="shared" si="1"/>
        <v>1</v>
      </c>
      <c r="AM6">
        <f t="shared" si="1"/>
        <v>2</v>
      </c>
      <c r="AN6">
        <f t="shared" si="1"/>
        <v>3</v>
      </c>
      <c r="AO6">
        <f t="shared" si="1"/>
        <v>4</v>
      </c>
      <c r="AP6">
        <f t="shared" si="1"/>
        <v>5</v>
      </c>
      <c r="AQ6">
        <f t="shared" si="1"/>
        <v>6</v>
      </c>
    </row>
    <row r="7" spans="3:71" ht="20.100000000000001" customHeight="1">
      <c r="C7" s="433" t="str">
        <f ca="1">INDIRECT("T!"&amp;T!A1&amp;"33")</f>
        <v>Etat</v>
      </c>
      <c r="D7" s="434"/>
      <c r="E7" s="427" t="s">
        <v>6</v>
      </c>
      <c r="F7" s="428"/>
      <c r="G7" s="428"/>
      <c r="H7" s="428"/>
      <c r="I7" s="428"/>
      <c r="J7" s="421" t="str">
        <f ca="1">INDIRECT("T!"&amp;T!A1&amp;"34")</f>
        <v>Pozycja</v>
      </c>
      <c r="K7" s="421"/>
      <c r="L7" s="549"/>
      <c r="M7" s="28">
        <v>1</v>
      </c>
      <c r="N7" s="28">
        <v>2</v>
      </c>
      <c r="O7" s="28">
        <v>3</v>
      </c>
      <c r="P7" s="28">
        <v>4</v>
      </c>
      <c r="Q7" s="28">
        <v>5</v>
      </c>
      <c r="R7" s="28">
        <v>6</v>
      </c>
      <c r="S7" s="28">
        <v>7</v>
      </c>
      <c r="T7" s="28">
        <v>8</v>
      </c>
      <c r="U7" s="28">
        <v>9</v>
      </c>
      <c r="V7" s="28">
        <v>10</v>
      </c>
      <c r="W7" s="28">
        <v>11</v>
      </c>
      <c r="X7" s="28">
        <v>12</v>
      </c>
      <c r="Y7" s="28">
        <v>13</v>
      </c>
      <c r="Z7" s="28">
        <v>14</v>
      </c>
      <c r="AA7" s="28">
        <v>15</v>
      </c>
      <c r="AB7" s="28">
        <v>16</v>
      </c>
      <c r="AC7" s="28">
        <v>17</v>
      </c>
      <c r="AD7" s="28">
        <v>18</v>
      </c>
      <c r="AE7" s="28">
        <v>19</v>
      </c>
      <c r="AF7" s="28">
        <v>20</v>
      </c>
      <c r="AG7" s="28">
        <v>21</v>
      </c>
      <c r="AH7" s="28">
        <v>22</v>
      </c>
      <c r="AI7" s="28">
        <v>23</v>
      </c>
      <c r="AJ7" s="28">
        <v>24</v>
      </c>
      <c r="AK7" s="28">
        <v>25</v>
      </c>
      <c r="AL7" s="28">
        <v>26</v>
      </c>
      <c r="AM7" s="28">
        <v>27</v>
      </c>
      <c r="AN7" s="28">
        <v>28</v>
      </c>
      <c r="AO7" s="28">
        <v>29</v>
      </c>
      <c r="AP7" s="28">
        <v>30</v>
      </c>
      <c r="AQ7" s="28">
        <v>31</v>
      </c>
    </row>
    <row r="8" spans="3:71" ht="20.100000000000001" customHeight="1" thickBot="1">
      <c r="C8" s="630"/>
      <c r="D8" s="631"/>
      <c r="E8" s="547"/>
      <c r="F8" s="548"/>
      <c r="G8" s="548"/>
      <c r="H8" s="548"/>
      <c r="I8" s="548"/>
      <c r="J8" s="424"/>
      <c r="K8" s="424"/>
      <c r="L8" s="550"/>
      <c r="M8" s="29" t="str">
        <f ca="1">IF(M6=1,INDIRECT("T!"&amp;T!$A$1&amp;"26"),IF(M6=2,INDIRECT("T!"&amp;T!$A$1&amp;"27"),IF(M6=3,INDIRECT("T!"&amp;T!$A$1&amp;"28"),IF(M6=4,INDIRECT("T!"&amp;T!$A$1&amp;"29"),IF(M6=5,INDIRECT("T!"&amp;T!$A$1&amp;"30"),IF(M6=6,INDIRECT("T!"&amp;T!$A$1&amp;"31"),IF(M6=7,INDIRECT("T!"&amp;T!$A$1&amp;"32"),0)))))))</f>
        <v>Cz</v>
      </c>
      <c r="N8" s="29" t="str">
        <f ca="1">IF(N6=1,INDIRECT("T!"&amp;T!$A$1&amp;"26"),IF(N6=2,INDIRECT("T!"&amp;T!$A$1&amp;"27"),IF(N6=3,INDIRECT("T!"&amp;T!$A$1&amp;"28"),IF(N6=4,INDIRECT("T!"&amp;T!$A$1&amp;"29"),IF(N6=5,INDIRECT("T!"&amp;T!$A$1&amp;"30"),IF(N6=6,INDIRECT("T!"&amp;T!$A$1&amp;"31"),IF(N6=7,INDIRECT("T!"&amp;T!$A$1&amp;"32"),0)))))))</f>
        <v>Pt</v>
      </c>
      <c r="O8" s="29" t="str">
        <f ca="1">IF(O6=1,INDIRECT("T!"&amp;T!$A$1&amp;"26"),IF(O6=2,INDIRECT("T!"&amp;T!$A$1&amp;"27"),IF(O6=3,INDIRECT("T!"&amp;T!$A$1&amp;"28"),IF(O6=4,INDIRECT("T!"&amp;T!$A$1&amp;"29"),IF(O6=5,INDIRECT("T!"&amp;T!$A$1&amp;"30"),IF(O6=6,INDIRECT("T!"&amp;T!$A$1&amp;"31"),IF(O6=7,INDIRECT("T!"&amp;T!$A$1&amp;"32"),0)))))))</f>
        <v>So</v>
      </c>
      <c r="P8" s="29" t="str">
        <f ca="1">IF(P6=1,INDIRECT("T!"&amp;T!$A$1&amp;"26"),IF(P6=2,INDIRECT("T!"&amp;T!$A$1&amp;"27"),IF(P6=3,INDIRECT("T!"&amp;T!$A$1&amp;"28"),IF(P6=4,INDIRECT("T!"&amp;T!$A$1&amp;"29"),IF(P6=5,INDIRECT("T!"&amp;T!$A$1&amp;"30"),IF(P6=6,INDIRECT("T!"&amp;T!$A$1&amp;"31"),IF(P6=7,INDIRECT("T!"&amp;T!$A$1&amp;"32"),0)))))))</f>
        <v>Nd</v>
      </c>
      <c r="Q8" s="29" t="str">
        <f ca="1">IF(Q6=1,INDIRECT("T!"&amp;T!$A$1&amp;"26"),IF(Q6=2,INDIRECT("T!"&amp;T!$A$1&amp;"27"),IF(Q6=3,INDIRECT("T!"&amp;T!$A$1&amp;"28"),IF(Q6=4,INDIRECT("T!"&amp;T!$A$1&amp;"29"),IF(Q6=5,INDIRECT("T!"&amp;T!$A$1&amp;"30"),IF(Q6=6,INDIRECT("T!"&amp;T!$A$1&amp;"31"),IF(Q6=7,INDIRECT("T!"&amp;T!$A$1&amp;"32"),0)))))))</f>
        <v>Pn</v>
      </c>
      <c r="R8" s="29" t="str">
        <f ca="1">IF(R6=1,INDIRECT("T!"&amp;T!$A$1&amp;"26"),IF(R6=2,INDIRECT("T!"&amp;T!$A$1&amp;"27"),IF(R6=3,INDIRECT("T!"&amp;T!$A$1&amp;"28"),IF(R6=4,INDIRECT("T!"&amp;T!$A$1&amp;"29"),IF(R6=5,INDIRECT("T!"&amp;T!$A$1&amp;"30"),IF(R6=6,INDIRECT("T!"&amp;T!$A$1&amp;"31"),IF(R6=7,INDIRECT("T!"&amp;T!$A$1&amp;"32"),0)))))))</f>
        <v>Wt</v>
      </c>
      <c r="S8" s="29" t="str">
        <f ca="1">IF(S6=1,INDIRECT("T!"&amp;T!$A$1&amp;"26"),IF(S6=2,INDIRECT("T!"&amp;T!$A$1&amp;"27"),IF(S6=3,INDIRECT("T!"&amp;T!$A$1&amp;"28"),IF(S6=4,INDIRECT("T!"&amp;T!$A$1&amp;"29"),IF(S6=5,INDIRECT("T!"&amp;T!$A$1&amp;"30"),IF(S6=6,INDIRECT("T!"&amp;T!$A$1&amp;"31"),IF(S6=7,INDIRECT("T!"&amp;T!$A$1&amp;"32"),0)))))))</f>
        <v>Śr</v>
      </c>
      <c r="T8" s="29" t="str">
        <f ca="1">IF(T6=1,INDIRECT("T!"&amp;T!$A$1&amp;"26"),IF(T6=2,INDIRECT("T!"&amp;T!$A$1&amp;"27"),IF(T6=3,INDIRECT("T!"&amp;T!$A$1&amp;"28"),IF(T6=4,INDIRECT("T!"&amp;T!$A$1&amp;"29"),IF(T6=5,INDIRECT("T!"&amp;T!$A$1&amp;"30"),IF(T6=6,INDIRECT("T!"&amp;T!$A$1&amp;"31"),IF(T6=7,INDIRECT("T!"&amp;T!$A$1&amp;"32"),0)))))))</f>
        <v>Cz</v>
      </c>
      <c r="U8" s="29" t="str">
        <f ca="1">IF(U6=1,INDIRECT("T!"&amp;T!$A$1&amp;"26"),IF(U6=2,INDIRECT("T!"&amp;T!$A$1&amp;"27"),IF(U6=3,INDIRECT("T!"&amp;T!$A$1&amp;"28"),IF(U6=4,INDIRECT("T!"&amp;T!$A$1&amp;"29"),IF(U6=5,INDIRECT("T!"&amp;T!$A$1&amp;"30"),IF(U6=6,INDIRECT("T!"&amp;T!$A$1&amp;"31"),IF(U6=7,INDIRECT("T!"&amp;T!$A$1&amp;"32"),0)))))))</f>
        <v>Pt</v>
      </c>
      <c r="V8" s="29" t="str">
        <f ca="1">IF(V6=1,INDIRECT("T!"&amp;T!$A$1&amp;"26"),IF(V6=2,INDIRECT("T!"&amp;T!$A$1&amp;"27"),IF(V6=3,INDIRECT("T!"&amp;T!$A$1&amp;"28"),IF(V6=4,INDIRECT("T!"&amp;T!$A$1&amp;"29"),IF(V6=5,INDIRECT("T!"&amp;T!$A$1&amp;"30"),IF(V6=6,INDIRECT("T!"&amp;T!$A$1&amp;"31"),IF(V6=7,INDIRECT("T!"&amp;T!$A$1&amp;"32"),0)))))))</f>
        <v>So</v>
      </c>
      <c r="W8" s="29" t="str">
        <f ca="1">IF(W6=1,INDIRECT("T!"&amp;T!$A$1&amp;"26"),IF(W6=2,INDIRECT("T!"&amp;T!$A$1&amp;"27"),IF(W6=3,INDIRECT("T!"&amp;T!$A$1&amp;"28"),IF(W6=4,INDIRECT("T!"&amp;T!$A$1&amp;"29"),IF(W6=5,INDIRECT("T!"&amp;T!$A$1&amp;"30"),IF(W6=6,INDIRECT("T!"&amp;T!$A$1&amp;"31"),IF(W6=7,INDIRECT("T!"&amp;T!$A$1&amp;"32"),0)))))))</f>
        <v>Nd</v>
      </c>
      <c r="X8" s="29" t="str">
        <f ca="1">IF(X6=1,INDIRECT("T!"&amp;T!$A$1&amp;"26"),IF(X6=2,INDIRECT("T!"&amp;T!$A$1&amp;"27"),IF(X6=3,INDIRECT("T!"&amp;T!$A$1&amp;"28"),IF(X6=4,INDIRECT("T!"&amp;T!$A$1&amp;"29"),IF(X6=5,INDIRECT("T!"&amp;T!$A$1&amp;"30"),IF(X6=6,INDIRECT("T!"&amp;T!$A$1&amp;"31"),IF(X6=7,INDIRECT("T!"&amp;T!$A$1&amp;"32"),0)))))))</f>
        <v>Pn</v>
      </c>
      <c r="Y8" s="29" t="str">
        <f ca="1">IF(Y6=1,INDIRECT("T!"&amp;T!$A$1&amp;"26"),IF(Y6=2,INDIRECT("T!"&amp;T!$A$1&amp;"27"),IF(Y6=3,INDIRECT("T!"&amp;T!$A$1&amp;"28"),IF(Y6=4,INDIRECT("T!"&amp;T!$A$1&amp;"29"),IF(Y6=5,INDIRECT("T!"&amp;T!$A$1&amp;"30"),IF(Y6=6,INDIRECT("T!"&amp;T!$A$1&amp;"31"),IF(Y6=7,INDIRECT("T!"&amp;T!$A$1&amp;"32"),0)))))))</f>
        <v>Wt</v>
      </c>
      <c r="Z8" s="29" t="str">
        <f ca="1">IF(Z6=1,INDIRECT("T!"&amp;T!$A$1&amp;"26"),IF(Z6=2,INDIRECT("T!"&amp;T!$A$1&amp;"27"),IF(Z6=3,INDIRECT("T!"&amp;T!$A$1&amp;"28"),IF(Z6=4,INDIRECT("T!"&amp;T!$A$1&amp;"29"),IF(Z6=5,INDIRECT("T!"&amp;T!$A$1&amp;"30"),IF(Z6=6,INDIRECT("T!"&amp;T!$A$1&amp;"31"),IF(Z6=7,INDIRECT("T!"&amp;T!$A$1&amp;"32"),0)))))))</f>
        <v>Śr</v>
      </c>
      <c r="AA8" s="29" t="str">
        <f ca="1">IF(AA6=1,INDIRECT("T!"&amp;T!$A$1&amp;"26"),IF(AA6=2,INDIRECT("T!"&amp;T!$A$1&amp;"27"),IF(AA6=3,INDIRECT("T!"&amp;T!$A$1&amp;"28"),IF(AA6=4,INDIRECT("T!"&amp;T!$A$1&amp;"29"),IF(AA6=5,INDIRECT("T!"&amp;T!$A$1&amp;"30"),IF(AA6=6,INDIRECT("T!"&amp;T!$A$1&amp;"31"),IF(AA6=7,INDIRECT("T!"&amp;T!$A$1&amp;"32"),0)))))))</f>
        <v>Cz</v>
      </c>
      <c r="AB8" s="29" t="str">
        <f ca="1">IF(AB6=1,INDIRECT("T!"&amp;T!$A$1&amp;"26"),IF(AB6=2,INDIRECT("T!"&amp;T!$A$1&amp;"27"),IF(AB6=3,INDIRECT("T!"&amp;T!$A$1&amp;"28"),IF(AB6=4,INDIRECT("T!"&amp;T!$A$1&amp;"29"),IF(AB6=5,INDIRECT("T!"&amp;T!$A$1&amp;"30"),IF(AB6=6,INDIRECT("T!"&amp;T!$A$1&amp;"31"),IF(AB6=7,INDIRECT("T!"&amp;T!$A$1&amp;"32"),0)))))))</f>
        <v>Pt</v>
      </c>
      <c r="AC8" s="29" t="str">
        <f ca="1">IF(AC6=1,INDIRECT("T!"&amp;T!$A$1&amp;"26"),IF(AC6=2,INDIRECT("T!"&amp;T!$A$1&amp;"27"),IF(AC6=3,INDIRECT("T!"&amp;T!$A$1&amp;"28"),IF(AC6=4,INDIRECT("T!"&amp;T!$A$1&amp;"29"),IF(AC6=5,INDIRECT("T!"&amp;T!$A$1&amp;"30"),IF(AC6=6,INDIRECT("T!"&amp;T!$A$1&amp;"31"),IF(AC6=7,INDIRECT("T!"&amp;T!$A$1&amp;"32"),0)))))))</f>
        <v>So</v>
      </c>
      <c r="AD8" s="29" t="str">
        <f ca="1">IF(AD6=1,INDIRECT("T!"&amp;T!$A$1&amp;"26"),IF(AD6=2,INDIRECT("T!"&amp;T!$A$1&amp;"27"),IF(AD6=3,INDIRECT("T!"&amp;T!$A$1&amp;"28"),IF(AD6=4,INDIRECT("T!"&amp;T!$A$1&amp;"29"),IF(AD6=5,INDIRECT("T!"&amp;T!$A$1&amp;"30"),IF(AD6=6,INDIRECT("T!"&amp;T!$A$1&amp;"31"),IF(AD6=7,INDIRECT("T!"&amp;T!$A$1&amp;"32"),0)))))))</f>
        <v>Nd</v>
      </c>
      <c r="AE8" s="29" t="str">
        <f ca="1">IF(AE6=1,INDIRECT("T!"&amp;T!$A$1&amp;"26"),IF(AE6=2,INDIRECT("T!"&amp;T!$A$1&amp;"27"),IF(AE6=3,INDIRECT("T!"&amp;T!$A$1&amp;"28"),IF(AE6=4,INDIRECT("T!"&amp;T!$A$1&amp;"29"),IF(AE6=5,INDIRECT("T!"&amp;T!$A$1&amp;"30"),IF(AE6=6,INDIRECT("T!"&amp;T!$A$1&amp;"31"),IF(AE6=7,INDIRECT("T!"&amp;T!$A$1&amp;"32"),0)))))))</f>
        <v>Pn</v>
      </c>
      <c r="AF8" s="29" t="str">
        <f ca="1">IF(AF6=1,INDIRECT("T!"&amp;T!$A$1&amp;"26"),IF(AF6=2,INDIRECT("T!"&amp;T!$A$1&amp;"27"),IF(AF6=3,INDIRECT("T!"&amp;T!$A$1&amp;"28"),IF(AF6=4,INDIRECT("T!"&amp;T!$A$1&amp;"29"),IF(AF6=5,INDIRECT("T!"&amp;T!$A$1&amp;"30"),IF(AF6=6,INDIRECT("T!"&amp;T!$A$1&amp;"31"),IF(AF6=7,INDIRECT("T!"&amp;T!$A$1&amp;"32"),0)))))))</f>
        <v>Wt</v>
      </c>
      <c r="AG8" s="29" t="str">
        <f ca="1">IF(AG6=1,INDIRECT("T!"&amp;T!$A$1&amp;"26"),IF(AG6=2,INDIRECT("T!"&amp;T!$A$1&amp;"27"),IF(AG6=3,INDIRECT("T!"&amp;T!$A$1&amp;"28"),IF(AG6=4,INDIRECT("T!"&amp;T!$A$1&amp;"29"),IF(AG6=5,INDIRECT("T!"&amp;T!$A$1&amp;"30"),IF(AG6=6,INDIRECT("T!"&amp;T!$A$1&amp;"31"),IF(AG6=7,INDIRECT("T!"&amp;T!$A$1&amp;"32"),0)))))))</f>
        <v>Śr</v>
      </c>
      <c r="AH8" s="29" t="str">
        <f ca="1">IF(AH6=1,INDIRECT("T!"&amp;T!$A$1&amp;"26"),IF(AH6=2,INDIRECT("T!"&amp;T!$A$1&amp;"27"),IF(AH6=3,INDIRECT("T!"&amp;T!$A$1&amp;"28"),IF(AH6=4,INDIRECT("T!"&amp;T!$A$1&amp;"29"),IF(AH6=5,INDIRECT("T!"&amp;T!$A$1&amp;"30"),IF(AH6=6,INDIRECT("T!"&amp;T!$A$1&amp;"31"),IF(AH6=7,INDIRECT("T!"&amp;T!$A$1&amp;"32"),0)))))))</f>
        <v>Cz</v>
      </c>
      <c r="AI8" s="29" t="str">
        <f ca="1">IF(AI6=1,INDIRECT("T!"&amp;T!$A$1&amp;"26"),IF(AI6=2,INDIRECT("T!"&amp;T!$A$1&amp;"27"),IF(AI6=3,INDIRECT("T!"&amp;T!$A$1&amp;"28"),IF(AI6=4,INDIRECT("T!"&amp;T!$A$1&amp;"29"),IF(AI6=5,INDIRECT("T!"&amp;T!$A$1&amp;"30"),IF(AI6=6,INDIRECT("T!"&amp;T!$A$1&amp;"31"),IF(AI6=7,INDIRECT("T!"&amp;T!$A$1&amp;"32"),0)))))))</f>
        <v>Pt</v>
      </c>
      <c r="AJ8" s="29" t="str">
        <f ca="1">IF(AJ6=1,INDIRECT("T!"&amp;T!$A$1&amp;"26"),IF(AJ6=2,INDIRECT("T!"&amp;T!$A$1&amp;"27"),IF(AJ6=3,INDIRECT("T!"&amp;T!$A$1&amp;"28"),IF(AJ6=4,INDIRECT("T!"&amp;T!$A$1&amp;"29"),IF(AJ6=5,INDIRECT("T!"&amp;T!$A$1&amp;"30"),IF(AJ6=6,INDIRECT("T!"&amp;T!$A$1&amp;"31"),IF(AJ6=7,INDIRECT("T!"&amp;T!$A$1&amp;"32"),0)))))))</f>
        <v>So</v>
      </c>
      <c r="AK8" s="29" t="str">
        <f ca="1">IF(AK6=1,INDIRECT("T!"&amp;T!$A$1&amp;"26"),IF(AK6=2,INDIRECT("T!"&amp;T!$A$1&amp;"27"),IF(AK6=3,INDIRECT("T!"&amp;T!$A$1&amp;"28"),IF(AK6=4,INDIRECT("T!"&amp;T!$A$1&amp;"29"),IF(AK6=5,INDIRECT("T!"&amp;T!$A$1&amp;"30"),IF(AK6=6,INDIRECT("T!"&amp;T!$A$1&amp;"31"),IF(AK6=7,INDIRECT("T!"&amp;T!$A$1&amp;"32"),0)))))))</f>
        <v>Nd</v>
      </c>
      <c r="AL8" s="29" t="str">
        <f ca="1">IF(AL6=1,INDIRECT("T!"&amp;T!$A$1&amp;"26"),IF(AL6=2,INDIRECT("T!"&amp;T!$A$1&amp;"27"),IF(AL6=3,INDIRECT("T!"&amp;T!$A$1&amp;"28"),IF(AL6=4,INDIRECT("T!"&amp;T!$A$1&amp;"29"),IF(AL6=5,INDIRECT("T!"&amp;T!$A$1&amp;"30"),IF(AL6=6,INDIRECT("T!"&amp;T!$A$1&amp;"31"),IF(AL6=7,INDIRECT("T!"&amp;T!$A$1&amp;"32"),0)))))))</f>
        <v>Pn</v>
      </c>
      <c r="AM8" s="29" t="str">
        <f ca="1">IF(AM6=1,INDIRECT("T!"&amp;T!$A$1&amp;"26"),IF(AM6=2,INDIRECT("T!"&amp;T!$A$1&amp;"27"),IF(AM6=3,INDIRECT("T!"&amp;T!$A$1&amp;"28"),IF(AM6=4,INDIRECT("T!"&amp;T!$A$1&amp;"29"),IF(AM6=5,INDIRECT("T!"&amp;T!$A$1&amp;"30"),IF(AM6=6,INDIRECT("T!"&amp;T!$A$1&amp;"31"),IF(AM6=7,INDIRECT("T!"&amp;T!$A$1&amp;"32"),0)))))))</f>
        <v>Wt</v>
      </c>
      <c r="AN8" s="29" t="str">
        <f ca="1">IF(AN6=1,INDIRECT("T!"&amp;T!$A$1&amp;"26"),IF(AN6=2,INDIRECT("T!"&amp;T!$A$1&amp;"27"),IF(AN6=3,INDIRECT("T!"&amp;T!$A$1&amp;"28"),IF(AN6=4,INDIRECT("T!"&amp;T!$A$1&amp;"29"),IF(AN6=5,INDIRECT("T!"&amp;T!$A$1&amp;"30"),IF(AN6=6,INDIRECT("T!"&amp;T!$A$1&amp;"31"),IF(AN6=7,INDIRECT("T!"&amp;T!$A$1&amp;"32"),0)))))))</f>
        <v>Śr</v>
      </c>
      <c r="AO8" s="29" t="str">
        <f ca="1">IF(AO6=1,INDIRECT("T!"&amp;T!$A$1&amp;"26"),IF(AO6=2,INDIRECT("T!"&amp;T!$A$1&amp;"27"),IF(AO6=3,INDIRECT("T!"&amp;T!$A$1&amp;"28"),IF(AO6=4,INDIRECT("T!"&amp;T!$A$1&amp;"29"),IF(AO6=5,INDIRECT("T!"&amp;T!$A$1&amp;"30"),IF(AO6=6,INDIRECT("T!"&amp;T!$A$1&amp;"31"),IF(AO6=7,INDIRECT("T!"&amp;T!$A$1&amp;"32"),0)))))))</f>
        <v>Cz</v>
      </c>
      <c r="AP8" s="29" t="str">
        <f ca="1">IF(AP6=1,INDIRECT("T!"&amp;T!$A$1&amp;"26"),IF(AP6=2,INDIRECT("T!"&amp;T!$A$1&amp;"27"),IF(AP6=3,INDIRECT("T!"&amp;T!$A$1&amp;"28"),IF(AP6=4,INDIRECT("T!"&amp;T!$A$1&amp;"29"),IF(AP6=5,INDIRECT("T!"&amp;T!$A$1&amp;"30"),IF(AP6=6,INDIRECT("T!"&amp;T!$A$1&amp;"31"),IF(AP6=7,INDIRECT("T!"&amp;T!$A$1&amp;"32"),0)))))))</f>
        <v>Pt</v>
      </c>
      <c r="AQ8" s="29" t="str">
        <f ca="1">IF(AQ6=1,INDIRECT("T!"&amp;T!$A$1&amp;"26"),IF(AQ6=2,INDIRECT("T!"&amp;T!$A$1&amp;"27"),IF(AQ6=3,INDIRECT("T!"&amp;T!$A$1&amp;"28"),IF(AQ6=4,INDIRECT("T!"&amp;T!$A$1&amp;"29"),IF(AQ6=5,INDIRECT("T!"&amp;T!$A$1&amp;"30"),IF(AQ6=6,INDIRECT("T!"&amp;T!$A$1&amp;"31"),IF(AQ6=7,INDIRECT("T!"&amp;T!$A$1&amp;"32"),0)))))))</f>
        <v>So</v>
      </c>
      <c r="AS8" s="43" t="str">
        <f>AS2</f>
        <v>AM</v>
      </c>
      <c r="AT8" s="43" t="str">
        <f t="shared" ref="AT8:BQ8" si="2">AT2</f>
        <v>PM</v>
      </c>
      <c r="AU8" s="43" t="str">
        <f t="shared" si="2"/>
        <v>AMN</v>
      </c>
      <c r="AV8" s="43" t="str">
        <f t="shared" si="2"/>
        <v>PMN</v>
      </c>
      <c r="AW8" s="43" t="str">
        <f t="shared" si="2"/>
        <v>SAM</v>
      </c>
      <c r="AX8" s="43" t="str">
        <f t="shared" si="2"/>
        <v>SPM</v>
      </c>
      <c r="AY8" s="43" t="str">
        <f t="shared" si="2"/>
        <v>SUP</v>
      </c>
      <c r="AZ8" s="43" t="str">
        <f t="shared" si="2"/>
        <v>MIB</v>
      </c>
      <c r="BA8" s="43" t="str">
        <f t="shared" si="2"/>
        <v>AMB</v>
      </c>
      <c r="BB8" s="43" t="str">
        <f t="shared" si="2"/>
        <v>PMB</v>
      </c>
      <c r="BC8" s="43" t="str">
        <f t="shared" si="2"/>
        <v>T</v>
      </c>
      <c r="BD8" s="43" t="str">
        <f t="shared" si="2"/>
        <v>PR</v>
      </c>
      <c r="BE8" s="43">
        <f t="shared" si="2"/>
        <v>0</v>
      </c>
      <c r="BF8" s="43">
        <f t="shared" si="2"/>
        <v>0</v>
      </c>
      <c r="BG8" s="43">
        <f t="shared" si="2"/>
        <v>0</v>
      </c>
      <c r="BH8" s="43">
        <f t="shared" si="2"/>
        <v>0</v>
      </c>
      <c r="BI8" s="43">
        <f t="shared" si="2"/>
        <v>0</v>
      </c>
      <c r="BJ8" s="43" t="str">
        <f>BJ2</f>
        <v>H</v>
      </c>
      <c r="BK8" s="43">
        <f t="shared" si="2"/>
        <v>0</v>
      </c>
      <c r="BL8" s="43">
        <f t="shared" si="2"/>
        <v>0</v>
      </c>
      <c r="BM8" s="43">
        <f t="shared" si="2"/>
        <v>0</v>
      </c>
      <c r="BN8" s="43" t="str">
        <f t="shared" si="2"/>
        <v>OFF</v>
      </c>
      <c r="BO8" s="43" t="str">
        <f t="shared" si="2"/>
        <v>H</v>
      </c>
      <c r="BP8" s="43" t="str">
        <f t="shared" si="2"/>
        <v>L4</v>
      </c>
      <c r="BQ8" s="43">
        <f t="shared" si="2"/>
        <v>0</v>
      </c>
    </row>
    <row r="9" spans="3:71" ht="20.100000000000001" customHeight="1">
      <c r="C9" s="632" t="s">
        <v>7</v>
      </c>
      <c r="D9" s="633"/>
      <c r="E9" s="634" t="s">
        <v>8</v>
      </c>
      <c r="F9" s="635"/>
      <c r="G9" s="635"/>
      <c r="H9" s="635"/>
      <c r="I9" s="636"/>
      <c r="J9" s="637" t="s">
        <v>9</v>
      </c>
      <c r="K9" s="638"/>
      <c r="L9" s="639"/>
      <c r="M9" s="35" t="s">
        <v>10</v>
      </c>
      <c r="N9" s="252" t="s">
        <v>11</v>
      </c>
      <c r="O9" s="38" t="s">
        <v>10</v>
      </c>
      <c r="P9" s="38" t="s">
        <v>10</v>
      </c>
      <c r="Q9" s="252" t="s">
        <v>11</v>
      </c>
      <c r="R9" s="38" t="s">
        <v>14</v>
      </c>
      <c r="S9" s="252" t="s">
        <v>11</v>
      </c>
      <c r="T9" s="252" t="s">
        <v>11</v>
      </c>
      <c r="U9" s="252" t="s">
        <v>11</v>
      </c>
      <c r="V9" s="38" t="s">
        <v>10</v>
      </c>
      <c r="W9" s="38" t="s">
        <v>10</v>
      </c>
      <c r="X9" s="252" t="s">
        <v>11</v>
      </c>
      <c r="Y9" s="252" t="s">
        <v>11</v>
      </c>
      <c r="Z9" s="252" t="s">
        <v>11</v>
      </c>
      <c r="AA9" s="252" t="s">
        <v>11</v>
      </c>
      <c r="AB9" s="252" t="s">
        <v>11</v>
      </c>
      <c r="AC9" s="38" t="s">
        <v>10</v>
      </c>
      <c r="AD9" s="38" t="s">
        <v>10</v>
      </c>
      <c r="AE9" s="252" t="s">
        <v>11</v>
      </c>
      <c r="AF9" s="252" t="s">
        <v>11</v>
      </c>
      <c r="AG9" s="38" t="s">
        <v>11</v>
      </c>
      <c r="AH9" s="38" t="s">
        <v>11</v>
      </c>
      <c r="AI9" s="252" t="s">
        <v>14</v>
      </c>
      <c r="AJ9" s="38" t="s">
        <v>10</v>
      </c>
      <c r="AK9" s="38" t="s">
        <v>10</v>
      </c>
      <c r="AL9" s="252" t="s">
        <v>11</v>
      </c>
      <c r="AM9" s="252" t="s">
        <v>11</v>
      </c>
      <c r="AN9" s="252" t="s">
        <v>10</v>
      </c>
      <c r="AO9" s="252" t="s">
        <v>10</v>
      </c>
      <c r="AP9" s="252" t="s">
        <v>14</v>
      </c>
      <c r="AQ9" s="203" t="s">
        <v>14</v>
      </c>
      <c r="AS9" s="43">
        <f t="shared" ref="AS9:AS19" si="3">COUNTIFS($M9:$AQ9,AS$2)</f>
        <v>0</v>
      </c>
      <c r="AT9" s="43">
        <f t="shared" ref="AT9:BQ19" si="4">COUNTIFS($M9:$AQ9,AT$2)</f>
        <v>4</v>
      </c>
      <c r="AU9" s="43">
        <f t="shared" si="4"/>
        <v>0</v>
      </c>
      <c r="AV9" s="43">
        <f t="shared" si="4"/>
        <v>0</v>
      </c>
      <c r="AW9" s="43">
        <f t="shared" si="4"/>
        <v>0</v>
      </c>
      <c r="AX9" s="43">
        <f t="shared" si="4"/>
        <v>0</v>
      </c>
      <c r="AY9" s="43">
        <f t="shared" si="4"/>
        <v>0</v>
      </c>
      <c r="AZ9" s="43">
        <f t="shared" si="4"/>
        <v>0</v>
      </c>
      <c r="BA9" s="43">
        <f t="shared" si="4"/>
        <v>0</v>
      </c>
      <c r="BB9" s="43">
        <f t="shared" si="4"/>
        <v>0</v>
      </c>
      <c r="BC9" s="43">
        <f t="shared" si="4"/>
        <v>0</v>
      </c>
      <c r="BD9" s="43">
        <f t="shared" si="4"/>
        <v>0</v>
      </c>
      <c r="BE9" s="43">
        <f t="shared" si="4"/>
        <v>0</v>
      </c>
      <c r="BF9" s="43">
        <f t="shared" si="4"/>
        <v>0</v>
      </c>
      <c r="BG9" s="43">
        <f t="shared" si="4"/>
        <v>0</v>
      </c>
      <c r="BH9" s="43">
        <f>COUNTIFS($M9:$AQ9,BH$2)</f>
        <v>0</v>
      </c>
      <c r="BI9" s="43">
        <f>COUNTIFS($M9:$AQ9,BI$2)</f>
        <v>0</v>
      </c>
      <c r="BJ9" s="43">
        <f>COUNTIFS($M9:$AQ9,BJ$2)</f>
        <v>0</v>
      </c>
      <c r="BK9" s="43">
        <f t="shared" si="4"/>
        <v>0</v>
      </c>
      <c r="BL9" s="43">
        <f t="shared" si="4"/>
        <v>0</v>
      </c>
      <c r="BM9" s="43">
        <f t="shared" si="4"/>
        <v>0</v>
      </c>
      <c r="BN9" s="43">
        <f t="shared" si="4"/>
        <v>11</v>
      </c>
      <c r="BO9" s="43">
        <f t="shared" si="4"/>
        <v>0</v>
      </c>
      <c r="BP9" s="43">
        <f t="shared" si="4"/>
        <v>0</v>
      </c>
      <c r="BQ9" s="43">
        <f t="shared" si="4"/>
        <v>0</v>
      </c>
      <c r="BS9" s="43">
        <f>SUM(BJ9,BJ26,BJ43,BJ60,BJ77,BJ94,BJ111,BJ128,BJ145,BJ162,BJ179,BJ196)</f>
        <v>10</v>
      </c>
    </row>
    <row r="10" spans="3:71" ht="20.100000000000001" customHeight="1">
      <c r="C10" s="615" t="s">
        <v>7</v>
      </c>
      <c r="D10" s="616"/>
      <c r="E10" s="617" t="s">
        <v>21</v>
      </c>
      <c r="F10" s="618"/>
      <c r="G10" s="618"/>
      <c r="H10" s="618"/>
      <c r="I10" s="619"/>
      <c r="J10" s="620" t="s">
        <v>22</v>
      </c>
      <c r="K10" s="621"/>
      <c r="L10" s="622"/>
      <c r="M10" s="36" t="s">
        <v>10</v>
      </c>
      <c r="N10" s="251" t="s">
        <v>10</v>
      </c>
      <c r="O10" s="39" t="s">
        <v>16</v>
      </c>
      <c r="P10" s="39" t="s">
        <v>10</v>
      </c>
      <c r="Q10" s="251" t="s">
        <v>14</v>
      </c>
      <c r="R10" s="39" t="s">
        <v>14</v>
      </c>
      <c r="S10" s="251" t="s">
        <v>10</v>
      </c>
      <c r="T10" s="251" t="s">
        <v>16</v>
      </c>
      <c r="U10" s="251" t="s">
        <v>16</v>
      </c>
      <c r="V10" s="39" t="s">
        <v>10</v>
      </c>
      <c r="W10" s="39" t="s">
        <v>10</v>
      </c>
      <c r="X10" s="251" t="s">
        <v>16</v>
      </c>
      <c r="Y10" s="251" t="s">
        <v>14</v>
      </c>
      <c r="Z10" s="251" t="s">
        <v>14</v>
      </c>
      <c r="AA10" s="251" t="s">
        <v>10</v>
      </c>
      <c r="AB10" s="251" t="s">
        <v>16</v>
      </c>
      <c r="AC10" s="39" t="s">
        <v>16</v>
      </c>
      <c r="AD10" s="39" t="s">
        <v>16</v>
      </c>
      <c r="AE10" s="251" t="s">
        <v>14</v>
      </c>
      <c r="AF10" s="251" t="s">
        <v>14</v>
      </c>
      <c r="AG10" s="39" t="s">
        <v>10</v>
      </c>
      <c r="AH10" s="39" t="s">
        <v>16</v>
      </c>
      <c r="AI10" s="251" t="s">
        <v>16</v>
      </c>
      <c r="AJ10" s="39" t="s">
        <v>10</v>
      </c>
      <c r="AK10" s="39" t="s">
        <v>10</v>
      </c>
      <c r="AL10" s="251" t="s">
        <v>16</v>
      </c>
      <c r="AM10" s="251" t="s">
        <v>14</v>
      </c>
      <c r="AN10" s="251" t="s">
        <v>14</v>
      </c>
      <c r="AO10" s="251" t="s">
        <v>14</v>
      </c>
      <c r="AP10" s="251" t="s">
        <v>10</v>
      </c>
      <c r="AQ10" s="204"/>
      <c r="AS10" s="43">
        <f t="shared" si="3"/>
        <v>10</v>
      </c>
      <c r="AT10" s="43">
        <f t="shared" si="4"/>
        <v>9</v>
      </c>
      <c r="AU10" s="43">
        <f t="shared" si="4"/>
        <v>0</v>
      </c>
      <c r="AV10" s="43">
        <f t="shared" si="4"/>
        <v>0</v>
      </c>
      <c r="AW10" s="43">
        <f t="shared" si="4"/>
        <v>0</v>
      </c>
      <c r="AX10" s="43">
        <f t="shared" si="4"/>
        <v>0</v>
      </c>
      <c r="AY10" s="43">
        <f t="shared" si="4"/>
        <v>0</v>
      </c>
      <c r="AZ10" s="43">
        <f t="shared" si="4"/>
        <v>0</v>
      </c>
      <c r="BA10" s="43">
        <f t="shared" si="4"/>
        <v>0</v>
      </c>
      <c r="BB10" s="43">
        <f t="shared" si="4"/>
        <v>0</v>
      </c>
      <c r="BC10" s="43">
        <f t="shared" si="4"/>
        <v>0</v>
      </c>
      <c r="BD10" s="43">
        <f t="shared" si="4"/>
        <v>0</v>
      </c>
      <c r="BE10" s="43">
        <f t="shared" si="4"/>
        <v>0</v>
      </c>
      <c r="BF10" s="43">
        <f t="shared" si="4"/>
        <v>0</v>
      </c>
      <c r="BG10" s="43">
        <f t="shared" si="4"/>
        <v>0</v>
      </c>
      <c r="BH10" s="43">
        <f t="shared" si="4"/>
        <v>0</v>
      </c>
      <c r="BI10" s="43">
        <f t="shared" si="4"/>
        <v>0</v>
      </c>
      <c r="BJ10" s="43">
        <f t="shared" si="4"/>
        <v>0</v>
      </c>
      <c r="BK10" s="43">
        <f t="shared" si="4"/>
        <v>0</v>
      </c>
      <c r="BL10" s="43">
        <f t="shared" si="4"/>
        <v>0</v>
      </c>
      <c r="BM10" s="43">
        <f t="shared" si="4"/>
        <v>0</v>
      </c>
      <c r="BN10" s="43">
        <f t="shared" si="4"/>
        <v>11</v>
      </c>
      <c r="BO10" s="43">
        <f t="shared" si="4"/>
        <v>0</v>
      </c>
      <c r="BP10" s="43">
        <f t="shared" si="4"/>
        <v>0</v>
      </c>
      <c r="BQ10" s="43">
        <f t="shared" si="4"/>
        <v>0</v>
      </c>
      <c r="BS10" s="43">
        <f t="shared" ref="BS10:BS18" si="5">SUM(BJ10,BJ27,BJ44,BJ61,BJ78,BJ95,BJ112,BJ129,BJ146,BJ163,BJ180,BJ197)</f>
        <v>6</v>
      </c>
    </row>
    <row r="11" spans="3:71" ht="20.100000000000001" customHeight="1">
      <c r="C11" s="615">
        <v>0.75</v>
      </c>
      <c r="D11" s="616"/>
      <c r="E11" s="617" t="s">
        <v>25</v>
      </c>
      <c r="F11" s="618"/>
      <c r="G11" s="618"/>
      <c r="H11" s="618"/>
      <c r="I11" s="619"/>
      <c r="J11" s="620" t="s">
        <v>22</v>
      </c>
      <c r="K11" s="621"/>
      <c r="L11" s="622"/>
      <c r="M11" s="36" t="s">
        <v>10</v>
      </c>
      <c r="N11" s="251" t="s">
        <v>16</v>
      </c>
      <c r="O11" s="39" t="s">
        <v>10</v>
      </c>
      <c r="P11" s="39" t="s">
        <v>16</v>
      </c>
      <c r="Q11" s="251" t="s">
        <v>16</v>
      </c>
      <c r="R11" s="39" t="s">
        <v>16</v>
      </c>
      <c r="S11" s="251" t="s">
        <v>14</v>
      </c>
      <c r="T11" s="251" t="s">
        <v>10</v>
      </c>
      <c r="U11" s="251" t="s">
        <v>10</v>
      </c>
      <c r="V11" s="39" t="s">
        <v>16</v>
      </c>
      <c r="W11" s="39" t="s">
        <v>10</v>
      </c>
      <c r="X11" s="251" t="s">
        <v>14</v>
      </c>
      <c r="Y11" s="251" t="s">
        <v>10</v>
      </c>
      <c r="Z11" s="251" t="s">
        <v>10</v>
      </c>
      <c r="AA11" s="251" t="s">
        <v>16</v>
      </c>
      <c r="AB11" s="251" t="s">
        <v>14</v>
      </c>
      <c r="AC11" s="39" t="s">
        <v>10</v>
      </c>
      <c r="AD11" s="39" t="s">
        <v>10</v>
      </c>
      <c r="AE11" s="251" t="s">
        <v>16</v>
      </c>
      <c r="AF11" s="251" t="s">
        <v>10</v>
      </c>
      <c r="AG11" s="39" t="s">
        <v>14</v>
      </c>
      <c r="AH11" s="39" t="s">
        <v>14</v>
      </c>
      <c r="AI11" s="251" t="s">
        <v>10</v>
      </c>
      <c r="AJ11" s="39" t="s">
        <v>16</v>
      </c>
      <c r="AK11" s="39" t="s">
        <v>14</v>
      </c>
      <c r="AL11" s="251" t="s">
        <v>14</v>
      </c>
      <c r="AM11" s="251" t="s">
        <v>10</v>
      </c>
      <c r="AN11" s="251" t="s">
        <v>10</v>
      </c>
      <c r="AO11" s="251" t="s">
        <v>10</v>
      </c>
      <c r="AP11" s="251" t="s">
        <v>10</v>
      </c>
      <c r="AQ11" s="204" t="s">
        <v>11</v>
      </c>
      <c r="AS11" s="43">
        <f t="shared" si="3"/>
        <v>8</v>
      </c>
      <c r="AT11" s="43">
        <f t="shared" si="4"/>
        <v>7</v>
      </c>
      <c r="AU11" s="43">
        <f t="shared" si="4"/>
        <v>0</v>
      </c>
      <c r="AV11" s="43">
        <f t="shared" si="4"/>
        <v>0</v>
      </c>
      <c r="AW11" s="43">
        <f t="shared" si="4"/>
        <v>0</v>
      </c>
      <c r="AX11" s="43">
        <f t="shared" si="4"/>
        <v>0</v>
      </c>
      <c r="AY11" s="43">
        <f t="shared" si="4"/>
        <v>0</v>
      </c>
      <c r="AZ11" s="43">
        <f t="shared" si="4"/>
        <v>0</v>
      </c>
      <c r="BA11" s="43">
        <f t="shared" si="4"/>
        <v>0</v>
      </c>
      <c r="BB11" s="43">
        <f t="shared" si="4"/>
        <v>0</v>
      </c>
      <c r="BC11" s="43">
        <f t="shared" si="4"/>
        <v>0</v>
      </c>
      <c r="BD11" s="43">
        <f t="shared" si="4"/>
        <v>0</v>
      </c>
      <c r="BE11" s="43">
        <f t="shared" si="4"/>
        <v>0</v>
      </c>
      <c r="BF11" s="43">
        <f t="shared" si="4"/>
        <v>0</v>
      </c>
      <c r="BG11" s="43">
        <f t="shared" si="4"/>
        <v>0</v>
      </c>
      <c r="BH11" s="43">
        <f t="shared" si="4"/>
        <v>0</v>
      </c>
      <c r="BI11" s="43">
        <f t="shared" si="4"/>
        <v>0</v>
      </c>
      <c r="BJ11" s="43">
        <f t="shared" si="4"/>
        <v>0</v>
      </c>
      <c r="BK11" s="43">
        <f t="shared" si="4"/>
        <v>0</v>
      </c>
      <c r="BL11" s="43">
        <f t="shared" si="4"/>
        <v>0</v>
      </c>
      <c r="BM11" s="43">
        <f t="shared" si="4"/>
        <v>0</v>
      </c>
      <c r="BN11" s="43">
        <f t="shared" si="4"/>
        <v>15</v>
      </c>
      <c r="BO11" s="43">
        <f t="shared" si="4"/>
        <v>0</v>
      </c>
      <c r="BP11" s="43">
        <f t="shared" si="4"/>
        <v>0</v>
      </c>
      <c r="BQ11" s="43">
        <f t="shared" si="4"/>
        <v>0</v>
      </c>
      <c r="BS11" s="43">
        <f t="shared" si="5"/>
        <v>21</v>
      </c>
    </row>
    <row r="12" spans="3:71" ht="20.100000000000001" customHeight="1">
      <c r="C12" s="615">
        <v>0.5</v>
      </c>
      <c r="D12" s="616"/>
      <c r="E12" s="617" t="s">
        <v>28</v>
      </c>
      <c r="F12" s="618"/>
      <c r="G12" s="618"/>
      <c r="H12" s="618"/>
      <c r="I12" s="619"/>
      <c r="J12" s="620" t="s">
        <v>22</v>
      </c>
      <c r="K12" s="621"/>
      <c r="L12" s="622"/>
      <c r="M12" s="36" t="s">
        <v>10</v>
      </c>
      <c r="N12" s="251" t="s">
        <v>14</v>
      </c>
      <c r="O12" s="39" t="s">
        <v>14</v>
      </c>
      <c r="P12" s="39" t="s">
        <v>10</v>
      </c>
      <c r="Q12" s="251" t="s">
        <v>10</v>
      </c>
      <c r="R12" s="39" t="s">
        <v>10</v>
      </c>
      <c r="S12" s="251" t="s">
        <v>10</v>
      </c>
      <c r="T12" s="251" t="s">
        <v>10</v>
      </c>
      <c r="U12" s="251" t="s">
        <v>14</v>
      </c>
      <c r="V12" s="39" t="s">
        <v>14</v>
      </c>
      <c r="W12" s="39" t="s">
        <v>14</v>
      </c>
      <c r="X12" s="251" t="s">
        <v>10</v>
      </c>
      <c r="Y12" s="251" t="s">
        <v>10</v>
      </c>
      <c r="Z12" s="251" t="s">
        <v>10</v>
      </c>
      <c r="AA12" s="251" t="s">
        <v>10</v>
      </c>
      <c r="AB12" s="251" t="s">
        <v>10</v>
      </c>
      <c r="AC12" s="39" t="s">
        <v>14</v>
      </c>
      <c r="AD12" s="39" t="s">
        <v>14</v>
      </c>
      <c r="AE12" s="251" t="s">
        <v>10</v>
      </c>
      <c r="AF12" s="251" t="s">
        <v>10</v>
      </c>
      <c r="AG12" s="39" t="s">
        <v>10</v>
      </c>
      <c r="AH12" s="39" t="s">
        <v>10</v>
      </c>
      <c r="AI12" s="251" t="s">
        <v>10</v>
      </c>
      <c r="AJ12" s="39" t="s">
        <v>10</v>
      </c>
      <c r="AK12" s="39" t="s">
        <v>16</v>
      </c>
      <c r="AL12" s="251" t="s">
        <v>10</v>
      </c>
      <c r="AM12" s="251" t="s">
        <v>16</v>
      </c>
      <c r="AN12" s="251" t="s">
        <v>16</v>
      </c>
      <c r="AO12" s="251" t="s">
        <v>10</v>
      </c>
      <c r="AP12" s="251" t="s">
        <v>10</v>
      </c>
      <c r="AQ12" s="204"/>
      <c r="AS12" s="43">
        <f t="shared" si="3"/>
        <v>3</v>
      </c>
      <c r="AT12" s="43">
        <f t="shared" si="4"/>
        <v>7</v>
      </c>
      <c r="AU12" s="43">
        <f t="shared" si="4"/>
        <v>0</v>
      </c>
      <c r="AV12" s="43">
        <f t="shared" si="4"/>
        <v>0</v>
      </c>
      <c r="AW12" s="43">
        <f t="shared" si="4"/>
        <v>0</v>
      </c>
      <c r="AX12" s="43">
        <f t="shared" si="4"/>
        <v>0</v>
      </c>
      <c r="AY12" s="43">
        <f t="shared" si="4"/>
        <v>0</v>
      </c>
      <c r="AZ12" s="43">
        <f t="shared" si="4"/>
        <v>0</v>
      </c>
      <c r="BA12" s="43">
        <f t="shared" si="4"/>
        <v>0</v>
      </c>
      <c r="BB12" s="43">
        <f t="shared" si="4"/>
        <v>0</v>
      </c>
      <c r="BC12" s="43">
        <f t="shared" si="4"/>
        <v>0</v>
      </c>
      <c r="BD12" s="43">
        <f t="shared" si="4"/>
        <v>0</v>
      </c>
      <c r="BE12" s="43">
        <f t="shared" si="4"/>
        <v>0</v>
      </c>
      <c r="BF12" s="43">
        <f t="shared" si="4"/>
        <v>0</v>
      </c>
      <c r="BG12" s="43">
        <f t="shared" si="4"/>
        <v>0</v>
      </c>
      <c r="BH12" s="43">
        <f t="shared" si="4"/>
        <v>0</v>
      </c>
      <c r="BI12" s="43">
        <f t="shared" si="4"/>
        <v>0</v>
      </c>
      <c r="BJ12" s="43">
        <f t="shared" si="4"/>
        <v>0</v>
      </c>
      <c r="BK12" s="43">
        <f t="shared" si="4"/>
        <v>0</v>
      </c>
      <c r="BL12" s="43">
        <f t="shared" si="4"/>
        <v>0</v>
      </c>
      <c r="BM12" s="43">
        <f t="shared" si="4"/>
        <v>0</v>
      </c>
      <c r="BN12" s="43">
        <f t="shared" si="4"/>
        <v>20</v>
      </c>
      <c r="BO12" s="43">
        <f t="shared" si="4"/>
        <v>0</v>
      </c>
      <c r="BP12" s="43">
        <f t="shared" si="4"/>
        <v>0</v>
      </c>
      <c r="BQ12" s="43">
        <f t="shared" si="4"/>
        <v>0</v>
      </c>
      <c r="BS12" s="43">
        <f t="shared" si="5"/>
        <v>12</v>
      </c>
    </row>
    <row r="13" spans="3:71" ht="20.100000000000001" customHeight="1">
      <c r="C13" s="615">
        <v>0.5</v>
      </c>
      <c r="D13" s="616"/>
      <c r="E13" s="617" t="s">
        <v>30</v>
      </c>
      <c r="F13" s="618"/>
      <c r="G13" s="618"/>
      <c r="H13" s="618"/>
      <c r="I13" s="619"/>
      <c r="J13" s="620" t="s">
        <v>22</v>
      </c>
      <c r="K13" s="621"/>
      <c r="L13" s="622"/>
      <c r="M13" s="36" t="s">
        <v>10</v>
      </c>
      <c r="N13" s="251" t="s">
        <v>10</v>
      </c>
      <c r="O13" s="39" t="s">
        <v>10</v>
      </c>
      <c r="P13" s="39" t="s">
        <v>14</v>
      </c>
      <c r="Q13" s="251" t="s">
        <v>10</v>
      </c>
      <c r="R13" s="39" t="s">
        <v>10</v>
      </c>
      <c r="S13" s="251" t="s">
        <v>16</v>
      </c>
      <c r="T13" s="251" t="s">
        <v>14</v>
      </c>
      <c r="U13" s="251" t="s">
        <v>10</v>
      </c>
      <c r="V13" s="39" t="s">
        <v>10</v>
      </c>
      <c r="W13" s="39" t="s">
        <v>16</v>
      </c>
      <c r="X13" s="251" t="s">
        <v>10</v>
      </c>
      <c r="Y13" s="251" t="s">
        <v>16</v>
      </c>
      <c r="Z13" s="251" t="s">
        <v>16</v>
      </c>
      <c r="AA13" s="251" t="s">
        <v>14</v>
      </c>
      <c r="AB13" s="251" t="s">
        <v>10</v>
      </c>
      <c r="AC13" s="39" t="s">
        <v>10</v>
      </c>
      <c r="AD13" s="39" t="s">
        <v>10</v>
      </c>
      <c r="AE13" s="251" t="s">
        <v>10</v>
      </c>
      <c r="AF13" s="251" t="s">
        <v>16</v>
      </c>
      <c r="AG13" s="39" t="s">
        <v>16</v>
      </c>
      <c r="AH13" s="39" t="s">
        <v>10</v>
      </c>
      <c r="AI13" s="251" t="s">
        <v>10</v>
      </c>
      <c r="AJ13" s="39" t="s">
        <v>10</v>
      </c>
      <c r="AK13" s="39" t="s">
        <v>10</v>
      </c>
      <c r="AL13" s="251" t="s">
        <v>10</v>
      </c>
      <c r="AM13" s="251" t="s">
        <v>10</v>
      </c>
      <c r="AN13" s="251" t="s">
        <v>10</v>
      </c>
      <c r="AO13" s="251" t="s">
        <v>16</v>
      </c>
      <c r="AP13" s="251" t="s">
        <v>10</v>
      </c>
      <c r="AQ13" s="204" t="s">
        <v>10</v>
      </c>
      <c r="AS13" s="43">
        <f t="shared" si="3"/>
        <v>7</v>
      </c>
      <c r="AT13" s="43">
        <f t="shared" si="4"/>
        <v>3</v>
      </c>
      <c r="AU13" s="43">
        <f t="shared" si="4"/>
        <v>0</v>
      </c>
      <c r="AV13" s="43">
        <f t="shared" si="4"/>
        <v>0</v>
      </c>
      <c r="AW13" s="43">
        <f t="shared" si="4"/>
        <v>0</v>
      </c>
      <c r="AX13" s="43">
        <f t="shared" si="4"/>
        <v>0</v>
      </c>
      <c r="AY13" s="43">
        <f t="shared" si="4"/>
        <v>0</v>
      </c>
      <c r="AZ13" s="43">
        <f t="shared" si="4"/>
        <v>0</v>
      </c>
      <c r="BA13" s="43">
        <f t="shared" si="4"/>
        <v>0</v>
      </c>
      <c r="BB13" s="43">
        <f t="shared" si="4"/>
        <v>0</v>
      </c>
      <c r="BC13" s="43">
        <f t="shared" si="4"/>
        <v>0</v>
      </c>
      <c r="BD13" s="43">
        <f t="shared" si="4"/>
        <v>0</v>
      </c>
      <c r="BE13" s="43">
        <f t="shared" si="4"/>
        <v>0</v>
      </c>
      <c r="BF13" s="43">
        <f t="shared" si="4"/>
        <v>0</v>
      </c>
      <c r="BG13" s="43">
        <f t="shared" si="4"/>
        <v>0</v>
      </c>
      <c r="BH13" s="43">
        <f t="shared" si="4"/>
        <v>0</v>
      </c>
      <c r="BI13" s="43">
        <f t="shared" si="4"/>
        <v>0</v>
      </c>
      <c r="BJ13" s="43">
        <f t="shared" si="4"/>
        <v>0</v>
      </c>
      <c r="BK13" s="43">
        <f t="shared" si="4"/>
        <v>0</v>
      </c>
      <c r="BL13" s="43">
        <f t="shared" si="4"/>
        <v>0</v>
      </c>
      <c r="BM13" s="43">
        <f t="shared" si="4"/>
        <v>0</v>
      </c>
      <c r="BN13" s="43">
        <f t="shared" si="4"/>
        <v>21</v>
      </c>
      <c r="BO13" s="43">
        <f t="shared" si="4"/>
        <v>0</v>
      </c>
      <c r="BP13" s="43">
        <f t="shared" si="4"/>
        <v>0</v>
      </c>
      <c r="BQ13" s="43">
        <f t="shared" si="4"/>
        <v>0</v>
      </c>
      <c r="BS13" s="43">
        <f t="shared" si="5"/>
        <v>7</v>
      </c>
    </row>
    <row r="14" spans="3:71" ht="20.100000000000001" customHeight="1">
      <c r="C14" s="615">
        <v>0.75</v>
      </c>
      <c r="D14" s="616"/>
      <c r="E14" s="617" t="s">
        <v>31</v>
      </c>
      <c r="F14" s="618"/>
      <c r="G14" s="618"/>
      <c r="H14" s="618"/>
      <c r="I14" s="619"/>
      <c r="J14" s="620" t="s">
        <v>104</v>
      </c>
      <c r="K14" s="621"/>
      <c r="L14" s="622"/>
      <c r="M14" s="36" t="s">
        <v>10</v>
      </c>
      <c r="N14" s="251" t="s">
        <v>10</v>
      </c>
      <c r="O14" s="39" t="s">
        <v>10</v>
      </c>
      <c r="P14" s="39" t="s">
        <v>10</v>
      </c>
      <c r="Q14" s="251" t="s">
        <v>105</v>
      </c>
      <c r="R14" s="39" t="s">
        <v>10</v>
      </c>
      <c r="S14" s="251" t="s">
        <v>105</v>
      </c>
      <c r="T14" s="251" t="s">
        <v>10</v>
      </c>
      <c r="U14" s="251" t="s">
        <v>105</v>
      </c>
      <c r="V14" s="39" t="s">
        <v>10</v>
      </c>
      <c r="W14" s="39" t="s">
        <v>10</v>
      </c>
      <c r="X14" s="251" t="s">
        <v>105</v>
      </c>
      <c r="Y14" s="251" t="s">
        <v>10</v>
      </c>
      <c r="Z14" s="251" t="s">
        <v>106</v>
      </c>
      <c r="AA14" s="251" t="s">
        <v>10</v>
      </c>
      <c r="AB14" s="251" t="s">
        <v>105</v>
      </c>
      <c r="AC14" s="39" t="s">
        <v>105</v>
      </c>
      <c r="AD14" s="39" t="s">
        <v>10</v>
      </c>
      <c r="AE14" s="251" t="s">
        <v>105</v>
      </c>
      <c r="AF14" s="251" t="s">
        <v>10</v>
      </c>
      <c r="AG14" s="39" t="s">
        <v>106</v>
      </c>
      <c r="AH14" s="39" t="s">
        <v>106</v>
      </c>
      <c r="AI14" s="251" t="s">
        <v>106</v>
      </c>
      <c r="AJ14" s="39" t="s">
        <v>10</v>
      </c>
      <c r="AK14" s="39" t="s">
        <v>10</v>
      </c>
      <c r="AL14" s="251" t="s">
        <v>105</v>
      </c>
      <c r="AM14" s="251" t="s">
        <v>106</v>
      </c>
      <c r="AN14" s="251" t="s">
        <v>10</v>
      </c>
      <c r="AO14" s="251" t="s">
        <v>10</v>
      </c>
      <c r="AP14" s="251" t="s">
        <v>106</v>
      </c>
      <c r="AQ14" s="204" t="s">
        <v>106</v>
      </c>
      <c r="AS14" s="43">
        <f t="shared" si="3"/>
        <v>0</v>
      </c>
      <c r="AT14" s="43">
        <f t="shared" si="4"/>
        <v>0</v>
      </c>
      <c r="AU14" s="43">
        <f t="shared" si="4"/>
        <v>0</v>
      </c>
      <c r="AV14" s="43">
        <f t="shared" si="4"/>
        <v>0</v>
      </c>
      <c r="AW14" s="43">
        <f t="shared" si="4"/>
        <v>0</v>
      </c>
      <c r="AX14" s="43">
        <f t="shared" si="4"/>
        <v>0</v>
      </c>
      <c r="AY14" s="43">
        <f t="shared" si="4"/>
        <v>0</v>
      </c>
      <c r="AZ14" s="43">
        <f t="shared" si="4"/>
        <v>0</v>
      </c>
      <c r="BA14" s="43">
        <f t="shared" si="4"/>
        <v>0</v>
      </c>
      <c r="BB14" s="43">
        <f t="shared" si="4"/>
        <v>0</v>
      </c>
      <c r="BC14" s="43">
        <f t="shared" si="4"/>
        <v>0</v>
      </c>
      <c r="BD14" s="43">
        <f t="shared" si="4"/>
        <v>0</v>
      </c>
      <c r="BE14" s="43">
        <f t="shared" si="4"/>
        <v>0</v>
      </c>
      <c r="BF14" s="43">
        <f t="shared" si="4"/>
        <v>0</v>
      </c>
      <c r="BG14" s="43">
        <f t="shared" si="4"/>
        <v>0</v>
      </c>
      <c r="BH14" s="43">
        <f t="shared" si="4"/>
        <v>0</v>
      </c>
      <c r="BI14" s="43">
        <f t="shared" si="4"/>
        <v>0</v>
      </c>
      <c r="BJ14" s="43">
        <f t="shared" si="4"/>
        <v>0</v>
      </c>
      <c r="BK14" s="43">
        <f t="shared" si="4"/>
        <v>0</v>
      </c>
      <c r="BL14" s="43">
        <f t="shared" si="4"/>
        <v>0</v>
      </c>
      <c r="BM14" s="43">
        <f t="shared" si="4"/>
        <v>0</v>
      </c>
      <c r="BN14" s="43">
        <f t="shared" si="4"/>
        <v>16</v>
      </c>
      <c r="BO14" s="43">
        <f t="shared" si="4"/>
        <v>0</v>
      </c>
      <c r="BP14" s="43">
        <f t="shared" si="4"/>
        <v>0</v>
      </c>
      <c r="BQ14" s="43">
        <f t="shared" si="4"/>
        <v>0</v>
      </c>
      <c r="BS14" s="43">
        <f t="shared" si="5"/>
        <v>3</v>
      </c>
    </row>
    <row r="15" spans="3:71" ht="20.100000000000001" customHeight="1">
      <c r="C15" s="615"/>
      <c r="D15" s="616"/>
      <c r="E15" s="617" t="s">
        <v>107</v>
      </c>
      <c r="F15" s="618"/>
      <c r="G15" s="618"/>
      <c r="H15" s="618"/>
      <c r="I15" s="619"/>
      <c r="J15" s="620"/>
      <c r="K15" s="621"/>
      <c r="L15" s="622"/>
      <c r="M15" s="36"/>
      <c r="N15" s="251"/>
      <c r="O15" s="39"/>
      <c r="P15" s="39"/>
      <c r="Q15" s="251"/>
      <c r="R15" s="39"/>
      <c r="S15" s="251"/>
      <c r="T15" s="251"/>
      <c r="U15" s="251"/>
      <c r="V15" s="39"/>
      <c r="W15" s="39"/>
      <c r="X15" s="251"/>
      <c r="Y15" s="251"/>
      <c r="Z15" s="251"/>
      <c r="AA15" s="251"/>
      <c r="AB15" s="251"/>
      <c r="AC15" s="39"/>
      <c r="AD15" s="39"/>
      <c r="AE15" s="251"/>
      <c r="AF15" s="251"/>
      <c r="AG15" s="39"/>
      <c r="AH15" s="39"/>
      <c r="AI15" s="251"/>
      <c r="AJ15" s="39"/>
      <c r="AK15" s="39"/>
      <c r="AL15" s="251"/>
      <c r="AM15" s="251"/>
      <c r="AN15" s="251"/>
      <c r="AO15" s="251"/>
      <c r="AP15" s="251" t="s">
        <v>16</v>
      </c>
      <c r="AQ15" s="204" t="s">
        <v>16</v>
      </c>
      <c r="AS15" s="43">
        <f t="shared" si="3"/>
        <v>2</v>
      </c>
      <c r="AT15" s="43">
        <f t="shared" si="4"/>
        <v>0</v>
      </c>
      <c r="AU15" s="43">
        <f t="shared" si="4"/>
        <v>0</v>
      </c>
      <c r="AV15" s="43">
        <f t="shared" si="4"/>
        <v>0</v>
      </c>
      <c r="AW15" s="43">
        <f t="shared" si="4"/>
        <v>0</v>
      </c>
      <c r="AX15" s="43">
        <f t="shared" si="4"/>
        <v>0</v>
      </c>
      <c r="AY15" s="43">
        <f t="shared" si="4"/>
        <v>0</v>
      </c>
      <c r="AZ15" s="43">
        <f t="shared" si="4"/>
        <v>0</v>
      </c>
      <c r="BA15" s="43">
        <f t="shared" si="4"/>
        <v>0</v>
      </c>
      <c r="BB15" s="43">
        <f t="shared" si="4"/>
        <v>0</v>
      </c>
      <c r="BC15" s="43">
        <f t="shared" si="4"/>
        <v>0</v>
      </c>
      <c r="BD15" s="43">
        <f t="shared" si="4"/>
        <v>0</v>
      </c>
      <c r="BE15" s="43">
        <f t="shared" si="4"/>
        <v>0</v>
      </c>
      <c r="BF15" s="43">
        <f t="shared" si="4"/>
        <v>0</v>
      </c>
      <c r="BG15" s="43">
        <f t="shared" si="4"/>
        <v>0</v>
      </c>
      <c r="BH15" s="43">
        <f t="shared" si="4"/>
        <v>0</v>
      </c>
      <c r="BI15" s="43">
        <f t="shared" si="4"/>
        <v>0</v>
      </c>
      <c r="BJ15" s="43">
        <f t="shared" si="4"/>
        <v>0</v>
      </c>
      <c r="BK15" s="43">
        <f t="shared" si="4"/>
        <v>0</v>
      </c>
      <c r="BL15" s="43">
        <f t="shared" si="4"/>
        <v>0</v>
      </c>
      <c r="BM15" s="43">
        <f t="shared" si="4"/>
        <v>0</v>
      </c>
      <c r="BN15" s="43">
        <f t="shared" si="4"/>
        <v>0</v>
      </c>
      <c r="BO15" s="43">
        <f t="shared" si="4"/>
        <v>0</v>
      </c>
      <c r="BP15" s="43">
        <f t="shared" si="4"/>
        <v>0</v>
      </c>
      <c r="BQ15" s="43">
        <f t="shared" si="4"/>
        <v>0</v>
      </c>
      <c r="BS15" s="43">
        <f t="shared" si="5"/>
        <v>0</v>
      </c>
    </row>
    <row r="16" spans="3:71" ht="20.100000000000001" customHeight="1">
      <c r="C16" s="615"/>
      <c r="D16" s="616"/>
      <c r="E16" s="617"/>
      <c r="F16" s="618"/>
      <c r="G16" s="618"/>
      <c r="H16" s="618"/>
      <c r="I16" s="619"/>
      <c r="J16" s="620"/>
      <c r="K16" s="621"/>
      <c r="L16" s="622"/>
      <c r="M16" s="36"/>
      <c r="N16" s="251"/>
      <c r="O16" s="39"/>
      <c r="P16" s="39"/>
      <c r="Q16" s="251"/>
      <c r="R16" s="39"/>
      <c r="S16" s="251"/>
      <c r="T16" s="251"/>
      <c r="U16" s="251"/>
      <c r="V16" s="39"/>
      <c r="W16" s="39"/>
      <c r="X16" s="251"/>
      <c r="Y16" s="251"/>
      <c r="Z16" s="251"/>
      <c r="AA16" s="251"/>
      <c r="AB16" s="251"/>
      <c r="AC16" s="39"/>
      <c r="AD16" s="39"/>
      <c r="AE16" s="251"/>
      <c r="AF16" s="251"/>
      <c r="AG16" s="39"/>
      <c r="AH16" s="39"/>
      <c r="AI16" s="251"/>
      <c r="AJ16" s="39"/>
      <c r="AK16" s="39"/>
      <c r="AL16" s="251"/>
      <c r="AM16" s="251"/>
      <c r="AN16" s="251"/>
      <c r="AO16" s="251"/>
      <c r="AP16" s="251"/>
      <c r="AQ16" s="204"/>
      <c r="AS16" s="43">
        <f t="shared" si="3"/>
        <v>0</v>
      </c>
      <c r="AT16" s="43">
        <f t="shared" si="4"/>
        <v>0</v>
      </c>
      <c r="AU16" s="43">
        <f t="shared" si="4"/>
        <v>0</v>
      </c>
      <c r="AV16" s="43">
        <f t="shared" si="4"/>
        <v>0</v>
      </c>
      <c r="AW16" s="43">
        <f t="shared" si="4"/>
        <v>0</v>
      </c>
      <c r="AX16" s="43">
        <f t="shared" si="4"/>
        <v>0</v>
      </c>
      <c r="AY16" s="43">
        <f t="shared" si="4"/>
        <v>0</v>
      </c>
      <c r="AZ16" s="43">
        <f t="shared" si="4"/>
        <v>0</v>
      </c>
      <c r="BA16" s="43">
        <f t="shared" si="4"/>
        <v>0</v>
      </c>
      <c r="BB16" s="43">
        <f t="shared" si="4"/>
        <v>0</v>
      </c>
      <c r="BC16" s="43">
        <f t="shared" si="4"/>
        <v>0</v>
      </c>
      <c r="BD16" s="43">
        <f t="shared" si="4"/>
        <v>0</v>
      </c>
      <c r="BE16" s="43">
        <f t="shared" si="4"/>
        <v>0</v>
      </c>
      <c r="BF16" s="43">
        <f t="shared" si="4"/>
        <v>0</v>
      </c>
      <c r="BG16" s="43">
        <f t="shared" si="4"/>
        <v>0</v>
      </c>
      <c r="BH16" s="43">
        <f t="shared" si="4"/>
        <v>0</v>
      </c>
      <c r="BI16" s="43">
        <f t="shared" si="4"/>
        <v>0</v>
      </c>
      <c r="BJ16" s="43">
        <f t="shared" si="4"/>
        <v>0</v>
      </c>
      <c r="BK16" s="43">
        <f t="shared" si="4"/>
        <v>0</v>
      </c>
      <c r="BL16" s="43">
        <f t="shared" si="4"/>
        <v>0</v>
      </c>
      <c r="BM16" s="43">
        <f t="shared" si="4"/>
        <v>0</v>
      </c>
      <c r="BN16" s="43">
        <f t="shared" si="4"/>
        <v>0</v>
      </c>
      <c r="BO16" s="43">
        <f t="shared" si="4"/>
        <v>0</v>
      </c>
      <c r="BP16" s="43">
        <f t="shared" si="4"/>
        <v>0</v>
      </c>
      <c r="BQ16" s="43">
        <f t="shared" si="4"/>
        <v>0</v>
      </c>
      <c r="BS16" s="43">
        <f t="shared" si="5"/>
        <v>3</v>
      </c>
    </row>
    <row r="17" spans="3:71" ht="20.100000000000001" customHeight="1">
      <c r="C17" s="615"/>
      <c r="D17" s="616"/>
      <c r="E17" s="617"/>
      <c r="F17" s="618"/>
      <c r="G17" s="618"/>
      <c r="H17" s="618"/>
      <c r="I17" s="619"/>
      <c r="J17" s="620"/>
      <c r="K17" s="621"/>
      <c r="L17" s="622"/>
      <c r="M17" s="36"/>
      <c r="N17" s="251"/>
      <c r="O17" s="39"/>
      <c r="P17" s="39"/>
      <c r="Q17" s="251"/>
      <c r="R17" s="39"/>
      <c r="S17" s="251"/>
      <c r="T17" s="251"/>
      <c r="U17" s="251"/>
      <c r="V17" s="39"/>
      <c r="W17" s="39"/>
      <c r="X17" s="251"/>
      <c r="Y17" s="251"/>
      <c r="Z17" s="251"/>
      <c r="AA17" s="251"/>
      <c r="AB17" s="251"/>
      <c r="AC17" s="39"/>
      <c r="AD17" s="39"/>
      <c r="AE17" s="251"/>
      <c r="AF17" s="251"/>
      <c r="AG17" s="39"/>
      <c r="AH17" s="39"/>
      <c r="AI17" s="251"/>
      <c r="AJ17" s="39"/>
      <c r="AK17" s="39"/>
      <c r="AL17" s="251"/>
      <c r="AM17" s="251"/>
      <c r="AN17" s="251"/>
      <c r="AO17" s="251"/>
      <c r="AP17" s="251"/>
      <c r="AQ17" s="204"/>
      <c r="AS17" s="43">
        <f t="shared" si="3"/>
        <v>0</v>
      </c>
      <c r="AT17" s="43">
        <f t="shared" si="4"/>
        <v>0</v>
      </c>
      <c r="AU17" s="43">
        <f t="shared" si="4"/>
        <v>0</v>
      </c>
      <c r="AV17" s="43">
        <f t="shared" si="4"/>
        <v>0</v>
      </c>
      <c r="AW17" s="43">
        <f t="shared" si="4"/>
        <v>0</v>
      </c>
      <c r="AX17" s="43">
        <f t="shared" si="4"/>
        <v>0</v>
      </c>
      <c r="AY17" s="43">
        <f t="shared" si="4"/>
        <v>0</v>
      </c>
      <c r="AZ17" s="43">
        <f t="shared" si="4"/>
        <v>0</v>
      </c>
      <c r="BA17" s="43">
        <f t="shared" si="4"/>
        <v>0</v>
      </c>
      <c r="BB17" s="43">
        <f t="shared" si="4"/>
        <v>0</v>
      </c>
      <c r="BC17" s="43">
        <f t="shared" si="4"/>
        <v>0</v>
      </c>
      <c r="BD17" s="43">
        <f t="shared" si="4"/>
        <v>0</v>
      </c>
      <c r="BE17" s="43">
        <f t="shared" si="4"/>
        <v>0</v>
      </c>
      <c r="BF17" s="43">
        <f t="shared" si="4"/>
        <v>0</v>
      </c>
      <c r="BG17" s="43">
        <f t="shared" si="4"/>
        <v>0</v>
      </c>
      <c r="BH17" s="43">
        <f t="shared" si="4"/>
        <v>0</v>
      </c>
      <c r="BI17" s="43">
        <f t="shared" si="4"/>
        <v>0</v>
      </c>
      <c r="BJ17" s="43">
        <f t="shared" si="4"/>
        <v>0</v>
      </c>
      <c r="BK17" s="43">
        <f t="shared" si="4"/>
        <v>0</v>
      </c>
      <c r="BL17" s="43">
        <f t="shared" si="4"/>
        <v>0</v>
      </c>
      <c r="BM17" s="43">
        <f t="shared" si="4"/>
        <v>0</v>
      </c>
      <c r="BN17" s="43">
        <f t="shared" si="4"/>
        <v>0</v>
      </c>
      <c r="BO17" s="43">
        <f t="shared" si="4"/>
        <v>0</v>
      </c>
      <c r="BP17" s="43">
        <f t="shared" si="4"/>
        <v>0</v>
      </c>
      <c r="BQ17" s="43">
        <f t="shared" si="4"/>
        <v>0</v>
      </c>
      <c r="BS17" s="43">
        <f t="shared" si="5"/>
        <v>0</v>
      </c>
    </row>
    <row r="18" spans="3:71" ht="20.100000000000001" customHeight="1" thickBot="1">
      <c r="C18" s="607"/>
      <c r="D18" s="608"/>
      <c r="E18" s="609"/>
      <c r="F18" s="610"/>
      <c r="G18" s="610"/>
      <c r="H18" s="610"/>
      <c r="I18" s="611"/>
      <c r="J18" s="612"/>
      <c r="K18" s="613"/>
      <c r="L18" s="614"/>
      <c r="M18" s="37"/>
      <c r="N18" s="253"/>
      <c r="O18" s="40"/>
      <c r="P18" s="40"/>
      <c r="Q18" s="253"/>
      <c r="R18" s="40"/>
      <c r="S18" s="253"/>
      <c r="T18" s="253"/>
      <c r="U18" s="253"/>
      <c r="V18" s="40"/>
      <c r="W18" s="40"/>
      <c r="X18" s="253"/>
      <c r="Y18" s="253"/>
      <c r="Z18" s="253"/>
      <c r="AA18" s="253"/>
      <c r="AB18" s="253"/>
      <c r="AC18" s="40"/>
      <c r="AD18" s="40"/>
      <c r="AE18" s="253"/>
      <c r="AF18" s="253"/>
      <c r="AG18" s="40"/>
      <c r="AH18" s="40"/>
      <c r="AI18" s="253"/>
      <c r="AJ18" s="40"/>
      <c r="AK18" s="40"/>
      <c r="AL18" s="253"/>
      <c r="AM18" s="253"/>
      <c r="AN18" s="253"/>
      <c r="AO18" s="253"/>
      <c r="AP18" s="253"/>
      <c r="AQ18" s="205"/>
      <c r="AS18" s="43">
        <f t="shared" si="3"/>
        <v>0</v>
      </c>
      <c r="AT18" s="43">
        <f t="shared" si="4"/>
        <v>0</v>
      </c>
      <c r="AU18" s="43">
        <f t="shared" si="4"/>
        <v>0</v>
      </c>
      <c r="AV18" s="43">
        <f t="shared" si="4"/>
        <v>0</v>
      </c>
      <c r="AW18" s="43">
        <f t="shared" si="4"/>
        <v>0</v>
      </c>
      <c r="AX18" s="43">
        <f t="shared" si="4"/>
        <v>0</v>
      </c>
      <c r="AY18" s="43">
        <f t="shared" si="4"/>
        <v>0</v>
      </c>
      <c r="AZ18" s="43">
        <f t="shared" si="4"/>
        <v>0</v>
      </c>
      <c r="BA18" s="43">
        <f t="shared" si="4"/>
        <v>0</v>
      </c>
      <c r="BB18" s="43">
        <f t="shared" si="4"/>
        <v>0</v>
      </c>
      <c r="BC18" s="43">
        <f t="shared" si="4"/>
        <v>0</v>
      </c>
      <c r="BD18" s="43">
        <f t="shared" si="4"/>
        <v>0</v>
      </c>
      <c r="BE18" s="43">
        <f t="shared" si="4"/>
        <v>0</v>
      </c>
      <c r="BF18" s="43">
        <f t="shared" si="4"/>
        <v>0</v>
      </c>
      <c r="BG18" s="43">
        <f t="shared" si="4"/>
        <v>0</v>
      </c>
      <c r="BH18" s="43">
        <f t="shared" si="4"/>
        <v>0</v>
      </c>
      <c r="BI18" s="43">
        <f t="shared" si="4"/>
        <v>0</v>
      </c>
      <c r="BJ18" s="43">
        <f t="shared" si="4"/>
        <v>0</v>
      </c>
      <c r="BK18" s="43">
        <f t="shared" si="4"/>
        <v>0</v>
      </c>
      <c r="BL18" s="43">
        <f t="shared" si="4"/>
        <v>0</v>
      </c>
      <c r="BM18" s="43">
        <f t="shared" si="4"/>
        <v>0</v>
      </c>
      <c r="BN18" s="43">
        <f t="shared" si="4"/>
        <v>0</v>
      </c>
      <c r="BO18" s="43">
        <f t="shared" si="4"/>
        <v>0</v>
      </c>
      <c r="BP18" s="43">
        <f t="shared" si="4"/>
        <v>0</v>
      </c>
      <c r="BQ18" s="43">
        <f t="shared" si="4"/>
        <v>0</v>
      </c>
      <c r="BS18" s="43">
        <f t="shared" si="5"/>
        <v>2</v>
      </c>
    </row>
    <row r="19" spans="3:71" ht="20.100000000000001" hidden="1" customHeight="1" thickBot="1">
      <c r="M19">
        <f>DTCHK(M5,YK!$J$3:$J$52)</f>
        <v>1</v>
      </c>
      <c r="N19">
        <f>DTCHK(N5,YK!$J$3:$J$52)</f>
        <v>0</v>
      </c>
      <c r="O19">
        <f>DTCHK(O5,YK!$J$3:$J$52)</f>
        <v>0</v>
      </c>
      <c r="P19">
        <f>DTCHK(P5,YK!$J$3:$J$52)</f>
        <v>0</v>
      </c>
      <c r="Q19">
        <f>DTCHK(Q5,YK!$J$3:$J$52)</f>
        <v>0</v>
      </c>
      <c r="R19">
        <f>DTCHK(R5,YK!$J$3:$J$52)</f>
        <v>1</v>
      </c>
      <c r="S19">
        <f>DTCHK(S5,YK!$J$3:$J$52)</f>
        <v>0</v>
      </c>
      <c r="T19">
        <f>DTCHK(T5,YK!$J$3:$J$52)</f>
        <v>0</v>
      </c>
      <c r="U19">
        <f>DTCHK(U5,YK!$J$3:$J$52)</f>
        <v>0</v>
      </c>
      <c r="V19">
        <f>DTCHK(V5,YK!$J$3:$J$52)</f>
        <v>0</v>
      </c>
      <c r="W19">
        <f>DTCHK(W5,YK!$J$3:$J$52)</f>
        <v>0</v>
      </c>
      <c r="X19">
        <f>DTCHK(X5,YK!$J$3:$J$52)</f>
        <v>0</v>
      </c>
      <c r="Y19">
        <f>DTCHK(Y5,YK!$J$3:$J$52)</f>
        <v>0</v>
      </c>
      <c r="Z19">
        <f>DTCHK(Z5,YK!$J$3:$J$52)</f>
        <v>0</v>
      </c>
      <c r="AA19">
        <f>DTCHK(AA5,YK!$J$3:$J$52)</f>
        <v>0</v>
      </c>
      <c r="AB19">
        <f>DTCHK(AB5,YK!$J$3:$J$52)</f>
        <v>0</v>
      </c>
      <c r="AC19">
        <f>DTCHK(AC5,YK!$J$3:$J$52)</f>
        <v>0</v>
      </c>
      <c r="AD19">
        <f>DTCHK(AD5,YK!$J$3:$J$52)</f>
        <v>0</v>
      </c>
      <c r="AE19">
        <f>DTCHK(AE5,YK!$J$3:$J$52)</f>
        <v>0</v>
      </c>
      <c r="AF19">
        <f>DTCHK(AF5,YK!$J$3:$J$52)</f>
        <v>0</v>
      </c>
      <c r="AG19">
        <f>DTCHK(AG5,YK!$J$3:$J$52)</f>
        <v>1</v>
      </c>
      <c r="AH19">
        <f>DTCHK(AH5,YK!$J$3:$J$52)</f>
        <v>1</v>
      </c>
      <c r="AI19">
        <f>DTCHK(AI5,YK!$J$3:$J$52)</f>
        <v>0</v>
      </c>
      <c r="AJ19">
        <f>DTCHK(AJ5,YK!$J$3:$J$52)</f>
        <v>0</v>
      </c>
      <c r="AK19">
        <f>DTCHK(AK5,YK!$J$3:$J$52)</f>
        <v>0</v>
      </c>
      <c r="AL19">
        <f>DTCHK(AL5,YK!$J$3:$J$52)</f>
        <v>0</v>
      </c>
      <c r="AM19">
        <f>DTCHK(AM5,YK!$J$3:$J$52)</f>
        <v>0</v>
      </c>
      <c r="AN19">
        <f>DTCHK(AN5,YK!$J$3:$J$52)</f>
        <v>0</v>
      </c>
      <c r="AO19">
        <f>DTCHK(AO5,YK!$J$3:$J$52)</f>
        <v>0</v>
      </c>
      <c r="AP19">
        <f>DTCHK(AP5,YK!$J$3:$J$52)</f>
        <v>0</v>
      </c>
      <c r="AQ19">
        <f>DTCHK(AQ5,YK!$J$3:$J$52)</f>
        <v>0</v>
      </c>
      <c r="AS19" s="43">
        <f t="shared" si="3"/>
        <v>0</v>
      </c>
      <c r="AT19" s="43">
        <f t="shared" si="4"/>
        <v>0</v>
      </c>
      <c r="AU19" s="43">
        <f t="shared" si="4"/>
        <v>0</v>
      </c>
      <c r="AV19" s="43">
        <f t="shared" si="4"/>
        <v>0</v>
      </c>
      <c r="AW19" s="43">
        <f t="shared" si="4"/>
        <v>0</v>
      </c>
      <c r="AX19" s="43">
        <f t="shared" si="4"/>
        <v>0</v>
      </c>
      <c r="AY19" s="43">
        <f t="shared" si="4"/>
        <v>0</v>
      </c>
      <c r="AZ19" s="43">
        <f t="shared" si="4"/>
        <v>0</v>
      </c>
      <c r="BA19" s="43">
        <f t="shared" si="4"/>
        <v>0</v>
      </c>
      <c r="BB19" s="43">
        <f t="shared" si="4"/>
        <v>0</v>
      </c>
      <c r="BC19" s="43">
        <f t="shared" si="4"/>
        <v>0</v>
      </c>
      <c r="BD19" s="43">
        <f t="shared" si="4"/>
        <v>0</v>
      </c>
      <c r="BE19" s="43">
        <f t="shared" si="4"/>
        <v>27</v>
      </c>
      <c r="BF19" s="43">
        <f t="shared" si="4"/>
        <v>27</v>
      </c>
      <c r="BG19" s="43">
        <f t="shared" si="4"/>
        <v>27</v>
      </c>
      <c r="BH19" s="43">
        <f t="shared" si="4"/>
        <v>27</v>
      </c>
      <c r="BI19" s="43">
        <f t="shared" ref="BI19:BQ19" si="6">COUNTIFS($M19:$AQ19,BI$2)</f>
        <v>27</v>
      </c>
      <c r="BJ19" s="43">
        <f t="shared" si="6"/>
        <v>0</v>
      </c>
      <c r="BK19" s="43">
        <f t="shared" si="6"/>
        <v>27</v>
      </c>
      <c r="BL19" s="43">
        <f t="shared" si="6"/>
        <v>27</v>
      </c>
      <c r="BM19" s="43">
        <f t="shared" si="6"/>
        <v>27</v>
      </c>
      <c r="BN19" s="43">
        <f t="shared" si="6"/>
        <v>0</v>
      </c>
      <c r="BO19" s="43">
        <f t="shared" si="6"/>
        <v>0</v>
      </c>
      <c r="BP19" s="43">
        <f t="shared" si="6"/>
        <v>0</v>
      </c>
      <c r="BQ19" s="43">
        <f t="shared" si="6"/>
        <v>27</v>
      </c>
    </row>
    <row r="20" spans="3:71" ht="20.100000000000001" customHeight="1">
      <c r="C20" s="539" t="str">
        <f ca="1">Lists!F2</f>
        <v>Luty</v>
      </c>
      <c r="D20" s="540"/>
      <c r="E20" s="540"/>
      <c r="F20" s="540"/>
      <c r="G20" s="541"/>
    </row>
    <row r="21" spans="3:71" ht="20.100000000000001" customHeight="1" thickBot="1">
      <c r="C21" s="542"/>
      <c r="D21" s="543"/>
      <c r="E21" s="543"/>
      <c r="F21" s="543"/>
      <c r="G21" s="544"/>
    </row>
    <row r="22" spans="3:71" ht="20.100000000000001" hidden="1" customHeight="1">
      <c r="C22" s="31"/>
      <c r="D22" s="32"/>
      <c r="E22" s="32"/>
      <c r="F22" s="32"/>
      <c r="G22" s="32"/>
      <c r="M22" s="10">
        <f>M5+31</f>
        <v>46054</v>
      </c>
      <c r="N22" s="10">
        <f>M22+1</f>
        <v>46055</v>
      </c>
      <c r="O22" s="10">
        <f t="shared" ref="O22:AQ22" si="7">N22+1</f>
        <v>46056</v>
      </c>
      <c r="P22" s="10">
        <f t="shared" si="7"/>
        <v>46057</v>
      </c>
      <c r="Q22" s="10">
        <f t="shared" si="7"/>
        <v>46058</v>
      </c>
      <c r="R22" s="10">
        <f t="shared" si="7"/>
        <v>46059</v>
      </c>
      <c r="S22" s="10">
        <f t="shared" si="7"/>
        <v>46060</v>
      </c>
      <c r="T22" s="10">
        <f t="shared" si="7"/>
        <v>46061</v>
      </c>
      <c r="U22" s="10">
        <f t="shared" si="7"/>
        <v>46062</v>
      </c>
      <c r="V22" s="10">
        <f t="shared" si="7"/>
        <v>46063</v>
      </c>
      <c r="W22" s="10">
        <f t="shared" si="7"/>
        <v>46064</v>
      </c>
      <c r="X22" s="10">
        <f t="shared" si="7"/>
        <v>46065</v>
      </c>
      <c r="Y22" s="10">
        <f t="shared" si="7"/>
        <v>46066</v>
      </c>
      <c r="Z22" s="10">
        <f t="shared" si="7"/>
        <v>46067</v>
      </c>
      <c r="AA22" s="10">
        <f t="shared" si="7"/>
        <v>46068</v>
      </c>
      <c r="AB22" s="10">
        <f t="shared" si="7"/>
        <v>46069</v>
      </c>
      <c r="AC22" s="10">
        <f t="shared" si="7"/>
        <v>46070</v>
      </c>
      <c r="AD22" s="10">
        <f t="shared" si="7"/>
        <v>46071</v>
      </c>
      <c r="AE22" s="10">
        <f t="shared" si="7"/>
        <v>46072</v>
      </c>
      <c r="AF22" s="10">
        <f t="shared" si="7"/>
        <v>46073</v>
      </c>
      <c r="AG22" s="10">
        <f t="shared" si="7"/>
        <v>46074</v>
      </c>
      <c r="AH22" s="10">
        <f t="shared" si="7"/>
        <v>46075</v>
      </c>
      <c r="AI22" s="10">
        <f t="shared" si="7"/>
        <v>46076</v>
      </c>
      <c r="AJ22" s="10">
        <f t="shared" si="7"/>
        <v>46077</v>
      </c>
      <c r="AK22" s="10">
        <f t="shared" si="7"/>
        <v>46078</v>
      </c>
      <c r="AL22" s="10">
        <f t="shared" si="7"/>
        <v>46079</v>
      </c>
      <c r="AM22" s="10">
        <f t="shared" si="7"/>
        <v>46080</v>
      </c>
      <c r="AN22" s="10">
        <f t="shared" si="7"/>
        <v>46081</v>
      </c>
      <c r="AO22" s="10">
        <f t="shared" si="7"/>
        <v>46082</v>
      </c>
      <c r="AP22" s="10">
        <f t="shared" si="7"/>
        <v>46083</v>
      </c>
      <c r="AQ22" s="10">
        <f t="shared" si="7"/>
        <v>46084</v>
      </c>
    </row>
    <row r="23" spans="3:71" ht="20.100000000000001" hidden="1" customHeight="1" thickBot="1">
      <c r="C23" s="31"/>
      <c r="D23" s="32"/>
      <c r="E23" s="32"/>
      <c r="F23" s="32"/>
      <c r="G23" s="32"/>
      <c r="M23">
        <f>WEEKDAY(M22,2)</f>
        <v>7</v>
      </c>
      <c r="N23">
        <f t="shared" ref="N23:AQ23" si="8">WEEKDAY(N22,2)</f>
        <v>1</v>
      </c>
      <c r="O23">
        <f t="shared" si="8"/>
        <v>2</v>
      </c>
      <c r="P23">
        <f t="shared" si="8"/>
        <v>3</v>
      </c>
      <c r="Q23">
        <f t="shared" si="8"/>
        <v>4</v>
      </c>
      <c r="R23">
        <f t="shared" si="8"/>
        <v>5</v>
      </c>
      <c r="S23">
        <f t="shared" si="8"/>
        <v>6</v>
      </c>
      <c r="T23">
        <f t="shared" si="8"/>
        <v>7</v>
      </c>
      <c r="U23">
        <f t="shared" si="8"/>
        <v>1</v>
      </c>
      <c r="V23">
        <f t="shared" si="8"/>
        <v>2</v>
      </c>
      <c r="W23">
        <f t="shared" si="8"/>
        <v>3</v>
      </c>
      <c r="X23">
        <f t="shared" si="8"/>
        <v>4</v>
      </c>
      <c r="Y23">
        <f t="shared" si="8"/>
        <v>5</v>
      </c>
      <c r="Z23">
        <f t="shared" si="8"/>
        <v>6</v>
      </c>
      <c r="AA23">
        <f t="shared" si="8"/>
        <v>7</v>
      </c>
      <c r="AB23">
        <f t="shared" si="8"/>
        <v>1</v>
      </c>
      <c r="AC23">
        <f t="shared" si="8"/>
        <v>2</v>
      </c>
      <c r="AD23">
        <f t="shared" si="8"/>
        <v>3</v>
      </c>
      <c r="AE23">
        <f t="shared" si="8"/>
        <v>4</v>
      </c>
      <c r="AF23">
        <f t="shared" si="8"/>
        <v>5</v>
      </c>
      <c r="AG23">
        <f t="shared" si="8"/>
        <v>6</v>
      </c>
      <c r="AH23">
        <f t="shared" si="8"/>
        <v>7</v>
      </c>
      <c r="AI23">
        <f t="shared" si="8"/>
        <v>1</v>
      </c>
      <c r="AJ23">
        <f t="shared" si="8"/>
        <v>2</v>
      </c>
      <c r="AK23">
        <f t="shared" si="8"/>
        <v>3</v>
      </c>
      <c r="AL23">
        <f t="shared" si="8"/>
        <v>4</v>
      </c>
      <c r="AM23">
        <f t="shared" si="8"/>
        <v>5</v>
      </c>
      <c r="AN23">
        <f t="shared" si="8"/>
        <v>6</v>
      </c>
      <c r="AO23">
        <f t="shared" si="8"/>
        <v>7</v>
      </c>
      <c r="AP23">
        <f t="shared" si="8"/>
        <v>1</v>
      </c>
      <c r="AQ23">
        <f t="shared" si="8"/>
        <v>2</v>
      </c>
    </row>
    <row r="24" spans="3:71" ht="20.100000000000001" customHeight="1">
      <c r="C24" s="433" t="str">
        <f ca="1">INDIRECT("T!"&amp;T!A1&amp;"33")</f>
        <v>Etat</v>
      </c>
      <c r="D24" s="434"/>
      <c r="E24" s="427" t="s">
        <v>6</v>
      </c>
      <c r="F24" s="428"/>
      <c r="G24" s="428"/>
      <c r="H24" s="428"/>
      <c r="I24" s="428"/>
      <c r="J24" s="421" t="str">
        <f ca="1">INDIRECT("T!"&amp;T!A1&amp;"34")</f>
        <v>Pozycja</v>
      </c>
      <c r="K24" s="421"/>
      <c r="L24" s="549"/>
      <c r="M24" s="28">
        <v>1</v>
      </c>
      <c r="N24" s="28">
        <v>2</v>
      </c>
      <c r="O24" s="28">
        <v>3</v>
      </c>
      <c r="P24" s="28">
        <v>4</v>
      </c>
      <c r="Q24" s="28">
        <v>5</v>
      </c>
      <c r="R24" s="28">
        <v>6</v>
      </c>
      <c r="S24" s="28">
        <v>7</v>
      </c>
      <c r="T24" s="28">
        <v>8</v>
      </c>
      <c r="U24" s="28">
        <v>9</v>
      </c>
      <c r="V24" s="28">
        <v>10</v>
      </c>
      <c r="W24" s="28">
        <v>11</v>
      </c>
      <c r="X24" s="28">
        <v>12</v>
      </c>
      <c r="Y24" s="28">
        <v>13</v>
      </c>
      <c r="Z24" s="28">
        <v>14</v>
      </c>
      <c r="AA24" s="28">
        <v>15</v>
      </c>
      <c r="AB24" s="28">
        <v>16</v>
      </c>
      <c r="AC24" s="28">
        <v>17</v>
      </c>
      <c r="AD24" s="28">
        <v>18</v>
      </c>
      <c r="AE24" s="28">
        <v>19</v>
      </c>
      <c r="AF24" s="28">
        <v>20</v>
      </c>
      <c r="AG24" s="28">
        <v>21</v>
      </c>
      <c r="AH24" s="28">
        <v>22</v>
      </c>
      <c r="AI24" s="28">
        <v>23</v>
      </c>
      <c r="AJ24" s="28">
        <v>24</v>
      </c>
      <c r="AK24" s="28">
        <v>25</v>
      </c>
      <c r="AL24" s="28">
        <v>26</v>
      </c>
      <c r="AM24" s="28">
        <v>27</v>
      </c>
      <c r="AN24" s="28">
        <v>28</v>
      </c>
      <c r="AO24" s="28">
        <v>29</v>
      </c>
      <c r="AP24" s="28">
        <v>30</v>
      </c>
      <c r="AQ24" s="28">
        <v>31</v>
      </c>
    </row>
    <row r="25" spans="3:71" ht="20.100000000000001" customHeight="1" thickBot="1">
      <c r="C25" s="545"/>
      <c r="D25" s="546"/>
      <c r="E25" s="547"/>
      <c r="F25" s="548"/>
      <c r="G25" s="548"/>
      <c r="H25" s="548"/>
      <c r="I25" s="548"/>
      <c r="J25" s="424"/>
      <c r="K25" s="424"/>
      <c r="L25" s="550"/>
      <c r="M25" s="29" t="str">
        <f ca="1">IF(M23=1,INDIRECT("T!"&amp;T!$A$1&amp;"26"),IF(M23=2,INDIRECT("T!"&amp;T!$A$1&amp;"27"),IF(M23=3,INDIRECT("T!"&amp;T!$A$1&amp;"28"),IF(M23=4,INDIRECT("T!"&amp;T!$A$1&amp;"29"),IF(M23=5,INDIRECT("T!"&amp;T!$A$1&amp;"30"),IF(M23=6,INDIRECT("T!"&amp;T!$A$1&amp;"31"),IF(M23=7,INDIRECT("T!"&amp;T!$A$1&amp;"32"),0)))))))</f>
        <v>Nd</v>
      </c>
      <c r="N25" s="29" t="str">
        <f ca="1">IF(N23=1,INDIRECT("T!"&amp;T!$A$1&amp;"26"),IF(N23=2,INDIRECT("T!"&amp;T!$A$1&amp;"27"),IF(N23=3,INDIRECT("T!"&amp;T!$A$1&amp;"28"),IF(N23=4,INDIRECT("T!"&amp;T!$A$1&amp;"29"),IF(N23=5,INDIRECT("T!"&amp;T!$A$1&amp;"30"),IF(N23=6,INDIRECT("T!"&amp;T!$A$1&amp;"31"),IF(N23=7,INDIRECT("T!"&amp;T!$A$1&amp;"32"),0)))))))</f>
        <v>Pn</v>
      </c>
      <c r="O25" s="29" t="str">
        <f ca="1">IF(O23=1,INDIRECT("T!"&amp;T!$A$1&amp;"26"),IF(O23=2,INDIRECT("T!"&amp;T!$A$1&amp;"27"),IF(O23=3,INDIRECT("T!"&amp;T!$A$1&amp;"28"),IF(O23=4,INDIRECT("T!"&amp;T!$A$1&amp;"29"),IF(O23=5,INDIRECT("T!"&amp;T!$A$1&amp;"30"),IF(O23=6,INDIRECT("T!"&amp;T!$A$1&amp;"31"),IF(O23=7,INDIRECT("T!"&amp;T!$A$1&amp;"32"),0)))))))</f>
        <v>Wt</v>
      </c>
      <c r="P25" s="29" t="str">
        <f ca="1">IF(P23=1,INDIRECT("T!"&amp;T!$A$1&amp;"26"),IF(P23=2,INDIRECT("T!"&amp;T!$A$1&amp;"27"),IF(P23=3,INDIRECT("T!"&amp;T!$A$1&amp;"28"),IF(P23=4,INDIRECT("T!"&amp;T!$A$1&amp;"29"),IF(P23=5,INDIRECT("T!"&amp;T!$A$1&amp;"30"),IF(P23=6,INDIRECT("T!"&amp;T!$A$1&amp;"31"),IF(P23=7,INDIRECT("T!"&amp;T!$A$1&amp;"32"),0)))))))</f>
        <v>Śr</v>
      </c>
      <c r="Q25" s="29" t="str">
        <f ca="1">IF(Q23=1,INDIRECT("T!"&amp;T!$A$1&amp;"26"),IF(Q23=2,INDIRECT("T!"&amp;T!$A$1&amp;"27"),IF(Q23=3,INDIRECT("T!"&amp;T!$A$1&amp;"28"),IF(Q23=4,INDIRECT("T!"&amp;T!$A$1&amp;"29"),IF(Q23=5,INDIRECT("T!"&amp;T!$A$1&amp;"30"),IF(Q23=6,INDIRECT("T!"&amp;T!$A$1&amp;"31"),IF(Q23=7,INDIRECT("T!"&amp;T!$A$1&amp;"32"),0)))))))</f>
        <v>Cz</v>
      </c>
      <c r="R25" s="29" t="str">
        <f ca="1">IF(R23=1,INDIRECT("T!"&amp;T!$A$1&amp;"26"),IF(R23=2,INDIRECT("T!"&amp;T!$A$1&amp;"27"),IF(R23=3,INDIRECT("T!"&amp;T!$A$1&amp;"28"),IF(R23=4,INDIRECT("T!"&amp;T!$A$1&amp;"29"),IF(R23=5,INDIRECT("T!"&amp;T!$A$1&amp;"30"),IF(R23=6,INDIRECT("T!"&amp;T!$A$1&amp;"31"),IF(R23=7,INDIRECT("T!"&amp;T!$A$1&amp;"32"),0)))))))</f>
        <v>Pt</v>
      </c>
      <c r="S25" s="29" t="str">
        <f ca="1">IF(S23=1,INDIRECT("T!"&amp;T!$A$1&amp;"26"),IF(S23=2,INDIRECT("T!"&amp;T!$A$1&amp;"27"),IF(S23=3,INDIRECT("T!"&amp;T!$A$1&amp;"28"),IF(S23=4,INDIRECT("T!"&amp;T!$A$1&amp;"29"),IF(S23=5,INDIRECT("T!"&amp;T!$A$1&amp;"30"),IF(S23=6,INDIRECT("T!"&amp;T!$A$1&amp;"31"),IF(S23=7,INDIRECT("T!"&amp;T!$A$1&amp;"32"),0)))))))</f>
        <v>So</v>
      </c>
      <c r="T25" s="29" t="str">
        <f ca="1">IF(T23=1,INDIRECT("T!"&amp;T!$A$1&amp;"26"),IF(T23=2,INDIRECT("T!"&amp;T!$A$1&amp;"27"),IF(T23=3,INDIRECT("T!"&amp;T!$A$1&amp;"28"),IF(T23=4,INDIRECT("T!"&amp;T!$A$1&amp;"29"),IF(T23=5,INDIRECT("T!"&amp;T!$A$1&amp;"30"),IF(T23=6,INDIRECT("T!"&amp;T!$A$1&amp;"31"),IF(T23=7,INDIRECT("T!"&amp;T!$A$1&amp;"32"),0)))))))</f>
        <v>Nd</v>
      </c>
      <c r="U25" s="29" t="str">
        <f ca="1">IF(U23=1,INDIRECT("T!"&amp;T!$A$1&amp;"26"),IF(U23=2,INDIRECT("T!"&amp;T!$A$1&amp;"27"),IF(U23=3,INDIRECT("T!"&amp;T!$A$1&amp;"28"),IF(U23=4,INDIRECT("T!"&amp;T!$A$1&amp;"29"),IF(U23=5,INDIRECT("T!"&amp;T!$A$1&amp;"30"),IF(U23=6,INDIRECT("T!"&amp;T!$A$1&amp;"31"),IF(U23=7,INDIRECT("T!"&amp;T!$A$1&amp;"32"),0)))))))</f>
        <v>Pn</v>
      </c>
      <c r="V25" s="29" t="str">
        <f ca="1">IF(V23=1,INDIRECT("T!"&amp;T!$A$1&amp;"26"),IF(V23=2,INDIRECT("T!"&amp;T!$A$1&amp;"27"),IF(V23=3,INDIRECT("T!"&amp;T!$A$1&amp;"28"),IF(V23=4,INDIRECT("T!"&amp;T!$A$1&amp;"29"),IF(V23=5,INDIRECT("T!"&amp;T!$A$1&amp;"30"),IF(V23=6,INDIRECT("T!"&amp;T!$A$1&amp;"31"),IF(V23=7,INDIRECT("T!"&amp;T!$A$1&amp;"32"),0)))))))</f>
        <v>Wt</v>
      </c>
      <c r="W25" s="29" t="str">
        <f ca="1">IF(W23=1,INDIRECT("T!"&amp;T!$A$1&amp;"26"),IF(W23=2,INDIRECT("T!"&amp;T!$A$1&amp;"27"),IF(W23=3,INDIRECT("T!"&amp;T!$A$1&amp;"28"),IF(W23=4,INDIRECT("T!"&amp;T!$A$1&amp;"29"),IF(W23=5,INDIRECT("T!"&amp;T!$A$1&amp;"30"),IF(W23=6,INDIRECT("T!"&amp;T!$A$1&amp;"31"),IF(W23=7,INDIRECT("T!"&amp;T!$A$1&amp;"32"),0)))))))</f>
        <v>Śr</v>
      </c>
      <c r="X25" s="29" t="str">
        <f ca="1">IF(X23=1,INDIRECT("T!"&amp;T!$A$1&amp;"26"),IF(X23=2,INDIRECT("T!"&amp;T!$A$1&amp;"27"),IF(X23=3,INDIRECT("T!"&amp;T!$A$1&amp;"28"),IF(X23=4,INDIRECT("T!"&amp;T!$A$1&amp;"29"),IF(X23=5,INDIRECT("T!"&amp;T!$A$1&amp;"30"),IF(X23=6,INDIRECT("T!"&amp;T!$A$1&amp;"31"),IF(X23=7,INDIRECT("T!"&amp;T!$A$1&amp;"32"),0)))))))</f>
        <v>Cz</v>
      </c>
      <c r="Y25" s="29" t="str">
        <f ca="1">IF(Y23=1,INDIRECT("T!"&amp;T!$A$1&amp;"26"),IF(Y23=2,INDIRECT("T!"&amp;T!$A$1&amp;"27"),IF(Y23=3,INDIRECT("T!"&amp;T!$A$1&amp;"28"),IF(Y23=4,INDIRECT("T!"&amp;T!$A$1&amp;"29"),IF(Y23=5,INDIRECT("T!"&amp;T!$A$1&amp;"30"),IF(Y23=6,INDIRECT("T!"&amp;T!$A$1&amp;"31"),IF(Y23=7,INDIRECT("T!"&amp;T!$A$1&amp;"32"),0)))))))</f>
        <v>Pt</v>
      </c>
      <c r="Z25" s="29" t="str">
        <f ca="1">IF(Z23=1,INDIRECT("T!"&amp;T!$A$1&amp;"26"),IF(Z23=2,INDIRECT("T!"&amp;T!$A$1&amp;"27"),IF(Z23=3,INDIRECT("T!"&amp;T!$A$1&amp;"28"),IF(Z23=4,INDIRECT("T!"&amp;T!$A$1&amp;"29"),IF(Z23=5,INDIRECT("T!"&amp;T!$A$1&amp;"30"),IF(Z23=6,INDIRECT("T!"&amp;T!$A$1&amp;"31"),IF(Z23=7,INDIRECT("T!"&amp;T!$A$1&amp;"32"),0)))))))</f>
        <v>So</v>
      </c>
      <c r="AA25" s="29" t="str">
        <f ca="1">IF(AA23=1,INDIRECT("T!"&amp;T!$A$1&amp;"26"),IF(AA23=2,INDIRECT("T!"&amp;T!$A$1&amp;"27"),IF(AA23=3,INDIRECT("T!"&amp;T!$A$1&amp;"28"),IF(AA23=4,INDIRECT("T!"&amp;T!$A$1&amp;"29"),IF(AA23=5,INDIRECT("T!"&amp;T!$A$1&amp;"30"),IF(AA23=6,INDIRECT("T!"&amp;T!$A$1&amp;"31"),IF(AA23=7,INDIRECT("T!"&amp;T!$A$1&amp;"32"),0)))))))</f>
        <v>Nd</v>
      </c>
      <c r="AB25" s="29" t="str">
        <f ca="1">IF(AB23=1,INDIRECT("T!"&amp;T!$A$1&amp;"26"),IF(AB23=2,INDIRECT("T!"&amp;T!$A$1&amp;"27"),IF(AB23=3,INDIRECT("T!"&amp;T!$A$1&amp;"28"),IF(AB23=4,INDIRECT("T!"&amp;T!$A$1&amp;"29"),IF(AB23=5,INDIRECT("T!"&amp;T!$A$1&amp;"30"),IF(AB23=6,INDIRECT("T!"&amp;T!$A$1&amp;"31"),IF(AB23=7,INDIRECT("T!"&amp;T!$A$1&amp;"32"),0)))))))</f>
        <v>Pn</v>
      </c>
      <c r="AC25" s="29" t="str">
        <f ca="1">IF(AC23=1,INDIRECT("T!"&amp;T!$A$1&amp;"26"),IF(AC23=2,INDIRECT("T!"&amp;T!$A$1&amp;"27"),IF(AC23=3,INDIRECT("T!"&amp;T!$A$1&amp;"28"),IF(AC23=4,INDIRECT("T!"&amp;T!$A$1&amp;"29"),IF(AC23=5,INDIRECT("T!"&amp;T!$A$1&amp;"30"),IF(AC23=6,INDIRECT("T!"&amp;T!$A$1&amp;"31"),IF(AC23=7,INDIRECT("T!"&amp;T!$A$1&amp;"32"),0)))))))</f>
        <v>Wt</v>
      </c>
      <c r="AD25" s="29" t="str">
        <f ca="1">IF(AD23=1,INDIRECT("T!"&amp;T!$A$1&amp;"26"),IF(AD23=2,INDIRECT("T!"&amp;T!$A$1&amp;"27"),IF(AD23=3,INDIRECT("T!"&amp;T!$A$1&amp;"28"),IF(AD23=4,INDIRECT("T!"&amp;T!$A$1&amp;"29"),IF(AD23=5,INDIRECT("T!"&amp;T!$A$1&amp;"30"),IF(AD23=6,INDIRECT("T!"&amp;T!$A$1&amp;"31"),IF(AD23=7,INDIRECT("T!"&amp;T!$A$1&amp;"32"),0)))))))</f>
        <v>Śr</v>
      </c>
      <c r="AE25" s="29" t="str">
        <f ca="1">IF(AE23=1,INDIRECT("T!"&amp;T!$A$1&amp;"26"),IF(AE23=2,INDIRECT("T!"&amp;T!$A$1&amp;"27"),IF(AE23=3,INDIRECT("T!"&amp;T!$A$1&amp;"28"),IF(AE23=4,INDIRECT("T!"&amp;T!$A$1&amp;"29"),IF(AE23=5,INDIRECT("T!"&amp;T!$A$1&amp;"30"),IF(AE23=6,INDIRECT("T!"&amp;T!$A$1&amp;"31"),IF(AE23=7,INDIRECT("T!"&amp;T!$A$1&amp;"32"),0)))))))</f>
        <v>Cz</v>
      </c>
      <c r="AF25" s="29" t="str">
        <f ca="1">IF(AF23=1,INDIRECT("T!"&amp;T!$A$1&amp;"26"),IF(AF23=2,INDIRECT("T!"&amp;T!$A$1&amp;"27"),IF(AF23=3,INDIRECT("T!"&amp;T!$A$1&amp;"28"),IF(AF23=4,INDIRECT("T!"&amp;T!$A$1&amp;"29"),IF(AF23=5,INDIRECT("T!"&amp;T!$A$1&amp;"30"),IF(AF23=6,INDIRECT("T!"&amp;T!$A$1&amp;"31"),IF(AF23=7,INDIRECT("T!"&amp;T!$A$1&amp;"32"),0)))))))</f>
        <v>Pt</v>
      </c>
      <c r="AG25" s="29" t="str">
        <f ca="1">IF(AG23=1,INDIRECT("T!"&amp;T!$A$1&amp;"26"),IF(AG23=2,INDIRECT("T!"&amp;T!$A$1&amp;"27"),IF(AG23=3,INDIRECT("T!"&amp;T!$A$1&amp;"28"),IF(AG23=4,INDIRECT("T!"&amp;T!$A$1&amp;"29"),IF(AG23=5,INDIRECT("T!"&amp;T!$A$1&amp;"30"),IF(AG23=6,INDIRECT("T!"&amp;T!$A$1&amp;"31"),IF(AG23=7,INDIRECT("T!"&amp;T!$A$1&amp;"32"),0)))))))</f>
        <v>So</v>
      </c>
      <c r="AH25" s="29" t="str">
        <f ca="1">IF(AH23=1,INDIRECT("T!"&amp;T!$A$1&amp;"26"),IF(AH23=2,INDIRECT("T!"&amp;T!$A$1&amp;"27"),IF(AH23=3,INDIRECT("T!"&amp;T!$A$1&amp;"28"),IF(AH23=4,INDIRECT("T!"&amp;T!$A$1&amp;"29"),IF(AH23=5,INDIRECT("T!"&amp;T!$A$1&amp;"30"),IF(AH23=6,INDIRECT("T!"&amp;T!$A$1&amp;"31"),IF(AH23=7,INDIRECT("T!"&amp;T!$A$1&amp;"32"),0)))))))</f>
        <v>Nd</v>
      </c>
      <c r="AI25" s="29" t="str">
        <f ca="1">IF(AI23=1,INDIRECT("T!"&amp;T!$A$1&amp;"26"),IF(AI23=2,INDIRECT("T!"&amp;T!$A$1&amp;"27"),IF(AI23=3,INDIRECT("T!"&amp;T!$A$1&amp;"28"),IF(AI23=4,INDIRECT("T!"&amp;T!$A$1&amp;"29"),IF(AI23=5,INDIRECT("T!"&amp;T!$A$1&amp;"30"),IF(AI23=6,INDIRECT("T!"&amp;T!$A$1&amp;"31"),IF(AI23=7,INDIRECT("T!"&amp;T!$A$1&amp;"32"),0)))))))</f>
        <v>Pn</v>
      </c>
      <c r="AJ25" s="29" t="str">
        <f ca="1">IF(AJ23=1,INDIRECT("T!"&amp;T!$A$1&amp;"26"),IF(AJ23=2,INDIRECT("T!"&amp;T!$A$1&amp;"27"),IF(AJ23=3,INDIRECT("T!"&amp;T!$A$1&amp;"28"),IF(AJ23=4,INDIRECT("T!"&amp;T!$A$1&amp;"29"),IF(AJ23=5,INDIRECT("T!"&amp;T!$A$1&amp;"30"),IF(AJ23=6,INDIRECT("T!"&amp;T!$A$1&amp;"31"),IF(AJ23=7,INDIRECT("T!"&amp;T!$A$1&amp;"32"),0)))))))</f>
        <v>Wt</v>
      </c>
      <c r="AK25" s="29" t="str">
        <f ca="1">IF(AK23=1,INDIRECT("T!"&amp;T!$A$1&amp;"26"),IF(AK23=2,INDIRECT("T!"&amp;T!$A$1&amp;"27"),IF(AK23=3,INDIRECT("T!"&amp;T!$A$1&amp;"28"),IF(AK23=4,INDIRECT("T!"&amp;T!$A$1&amp;"29"),IF(AK23=5,INDIRECT("T!"&amp;T!$A$1&amp;"30"),IF(AK23=6,INDIRECT("T!"&amp;T!$A$1&amp;"31"),IF(AK23=7,INDIRECT("T!"&amp;T!$A$1&amp;"32"),0)))))))</f>
        <v>Śr</v>
      </c>
      <c r="AL25" s="29" t="str">
        <f ca="1">IF(AL23=1,INDIRECT("T!"&amp;T!$A$1&amp;"26"),IF(AL23=2,INDIRECT("T!"&amp;T!$A$1&amp;"27"),IF(AL23=3,INDIRECT("T!"&amp;T!$A$1&amp;"28"),IF(AL23=4,INDIRECT("T!"&amp;T!$A$1&amp;"29"),IF(AL23=5,INDIRECT("T!"&amp;T!$A$1&amp;"30"),IF(AL23=6,INDIRECT("T!"&amp;T!$A$1&amp;"31"),IF(AL23=7,INDIRECT("T!"&amp;T!$A$1&amp;"32"),0)))))))</f>
        <v>Cz</v>
      </c>
      <c r="AM25" s="29" t="str">
        <f ca="1">IF(AM23=1,INDIRECT("T!"&amp;T!$A$1&amp;"26"),IF(AM23=2,INDIRECT("T!"&amp;T!$A$1&amp;"27"),IF(AM23=3,INDIRECT("T!"&amp;T!$A$1&amp;"28"),IF(AM23=4,INDIRECT("T!"&amp;T!$A$1&amp;"29"),IF(AM23=5,INDIRECT("T!"&amp;T!$A$1&amp;"30"),IF(AM23=6,INDIRECT("T!"&amp;T!$A$1&amp;"31"),IF(AM23=7,INDIRECT("T!"&amp;T!$A$1&amp;"32"),0)))))))</f>
        <v>Pt</v>
      </c>
      <c r="AN25" s="29" t="str">
        <f ca="1">IF(AN23=1,INDIRECT("T!"&amp;T!$A$1&amp;"26"),IF(AN23=2,INDIRECT("T!"&amp;T!$A$1&amp;"27"),IF(AN23=3,INDIRECT("T!"&amp;T!$A$1&amp;"28"),IF(AN23=4,INDIRECT("T!"&amp;T!$A$1&amp;"29"),IF(AN23=5,INDIRECT("T!"&amp;T!$A$1&amp;"30"),IF(AN23=6,INDIRECT("T!"&amp;T!$A$1&amp;"31"),IF(AN23=7,INDIRECT("T!"&amp;T!$A$1&amp;"32"),0)))))))</f>
        <v>So</v>
      </c>
      <c r="AO25" s="29" t="str">
        <f ca="1">IF(AO23=1,INDIRECT("T!"&amp;T!$A$1&amp;"26"),IF(AO23=2,INDIRECT("T!"&amp;T!$A$1&amp;"27"),IF(AO23=3,INDIRECT("T!"&amp;T!$A$1&amp;"28"),IF(AO23=4,INDIRECT("T!"&amp;T!$A$1&amp;"29"),IF(AO23=5,INDIRECT("T!"&amp;T!$A$1&amp;"30"),IF(AO23=6,INDIRECT("T!"&amp;T!$A$1&amp;"31"),IF(AO23=7,INDIRECT("T!"&amp;T!$A$1&amp;"32"),0)))))))</f>
        <v>Nd</v>
      </c>
      <c r="AP25" s="29" t="str">
        <f ca="1">IF(AP23=1,INDIRECT("T!"&amp;T!$A$1&amp;"26"),IF(AP23=2,INDIRECT("T!"&amp;T!$A$1&amp;"27"),IF(AP23=3,INDIRECT("T!"&amp;T!$A$1&amp;"28"),IF(AP23=4,INDIRECT("T!"&amp;T!$A$1&amp;"29"),IF(AP23=5,INDIRECT("T!"&amp;T!$A$1&amp;"30"),IF(AP23=6,INDIRECT("T!"&amp;T!$A$1&amp;"31"),IF(AP23=7,INDIRECT("T!"&amp;T!$A$1&amp;"32"),0)))))))</f>
        <v>Pn</v>
      </c>
      <c r="AQ25" s="29" t="str">
        <f ca="1">IF(AQ23=1,INDIRECT("T!"&amp;T!$A$1&amp;"26"),IF(AQ23=2,INDIRECT("T!"&amp;T!$A$1&amp;"27"),IF(AQ23=3,INDIRECT("T!"&amp;T!$A$1&amp;"28"),IF(AQ23=4,INDIRECT("T!"&amp;T!$A$1&amp;"29"),IF(AQ23=5,INDIRECT("T!"&amp;T!$A$1&amp;"30"),IF(AQ23=6,INDIRECT("T!"&amp;T!$A$1&amp;"31"),IF(AQ23=7,INDIRECT("T!"&amp;T!$A$1&amp;"32"),0)))))))</f>
        <v>Wt</v>
      </c>
    </row>
    <row r="26" spans="3:71" ht="20.100000000000001" customHeight="1">
      <c r="C26" s="591" t="s">
        <v>7</v>
      </c>
      <c r="D26" s="592"/>
      <c r="E26" s="603" t="s">
        <v>8</v>
      </c>
      <c r="F26" s="604"/>
      <c r="G26" s="604"/>
      <c r="H26" s="604"/>
      <c r="I26" s="604"/>
      <c r="J26" s="605" t="s">
        <v>9</v>
      </c>
      <c r="K26" s="605"/>
      <c r="L26" s="606"/>
      <c r="M26" s="35" t="s">
        <v>11</v>
      </c>
      <c r="N26" s="38" t="s">
        <v>11</v>
      </c>
      <c r="O26" s="252" t="s">
        <v>11</v>
      </c>
      <c r="P26" s="252" t="s">
        <v>16</v>
      </c>
      <c r="Q26" s="252" t="s">
        <v>16</v>
      </c>
      <c r="R26" s="252" t="s">
        <v>16</v>
      </c>
      <c r="S26" s="38" t="s">
        <v>12</v>
      </c>
      <c r="T26" s="38" t="s">
        <v>10</v>
      </c>
      <c r="U26" s="252" t="s">
        <v>11</v>
      </c>
      <c r="V26" s="252" t="s">
        <v>11</v>
      </c>
      <c r="W26" s="252" t="s">
        <v>11</v>
      </c>
      <c r="X26" s="38" t="s">
        <v>10</v>
      </c>
      <c r="Y26" s="252" t="s">
        <v>11</v>
      </c>
      <c r="Z26" s="38" t="s">
        <v>14</v>
      </c>
      <c r="AA26" s="38" t="s">
        <v>14</v>
      </c>
      <c r="AB26" s="252" t="s">
        <v>11</v>
      </c>
      <c r="AC26" s="38" t="s">
        <v>11</v>
      </c>
      <c r="AD26" s="252" t="s">
        <v>10</v>
      </c>
      <c r="AE26" s="252" t="s">
        <v>11</v>
      </c>
      <c r="AF26" s="252" t="s">
        <v>14</v>
      </c>
      <c r="AG26" s="38" t="s">
        <v>10</v>
      </c>
      <c r="AH26" s="38" t="s">
        <v>10</v>
      </c>
      <c r="AI26" s="252" t="s">
        <v>11</v>
      </c>
      <c r="AJ26" s="252" t="s">
        <v>11</v>
      </c>
      <c r="AK26" s="252" t="s">
        <v>10</v>
      </c>
      <c r="AL26" s="252" t="s">
        <v>10</v>
      </c>
      <c r="AM26" s="252" t="s">
        <v>11</v>
      </c>
      <c r="AN26" s="38" t="s">
        <v>10</v>
      </c>
      <c r="AO26" s="38"/>
      <c r="AP26" s="252"/>
      <c r="AQ26" s="180"/>
      <c r="AS26" s="43">
        <f t="shared" ref="AS26:BB35" si="9">COUNTIFS($M26:$AQ26,AS$2)</f>
        <v>3</v>
      </c>
      <c r="AT26" s="43">
        <f t="shared" si="9"/>
        <v>3</v>
      </c>
      <c r="AU26" s="43">
        <f t="shared" si="9"/>
        <v>0</v>
      </c>
      <c r="AV26" s="43">
        <f t="shared" si="9"/>
        <v>0</v>
      </c>
      <c r="AW26" s="43">
        <f t="shared" si="9"/>
        <v>0</v>
      </c>
      <c r="AX26" s="43">
        <f t="shared" si="9"/>
        <v>0</v>
      </c>
      <c r="AY26" s="43">
        <f t="shared" si="9"/>
        <v>0</v>
      </c>
      <c r="AZ26" s="43">
        <f t="shared" si="9"/>
        <v>0</v>
      </c>
      <c r="BA26" s="43">
        <f t="shared" si="9"/>
        <v>1</v>
      </c>
      <c r="BB26" s="43">
        <f t="shared" si="9"/>
        <v>0</v>
      </c>
      <c r="BC26" s="43">
        <f t="shared" ref="BC26:BQ35" si="10">COUNTIFS($M26:$AQ26,BC$2)</f>
        <v>0</v>
      </c>
      <c r="BD26" s="43">
        <f t="shared" si="10"/>
        <v>0</v>
      </c>
      <c r="BE26" s="43">
        <f t="shared" si="10"/>
        <v>0</v>
      </c>
      <c r="BF26" s="43">
        <f t="shared" si="10"/>
        <v>0</v>
      </c>
      <c r="BG26" s="43">
        <f t="shared" si="10"/>
        <v>0</v>
      </c>
      <c r="BH26" s="43">
        <f t="shared" si="10"/>
        <v>0</v>
      </c>
      <c r="BI26" s="43">
        <f t="shared" si="10"/>
        <v>0</v>
      </c>
      <c r="BJ26" s="43">
        <f t="shared" si="10"/>
        <v>0</v>
      </c>
      <c r="BK26" s="43">
        <f t="shared" si="10"/>
        <v>0</v>
      </c>
      <c r="BL26" s="43">
        <f t="shared" si="10"/>
        <v>0</v>
      </c>
      <c r="BM26" s="43">
        <f t="shared" si="10"/>
        <v>0</v>
      </c>
      <c r="BN26" s="43">
        <f t="shared" si="10"/>
        <v>8</v>
      </c>
      <c r="BO26" s="43">
        <f t="shared" si="10"/>
        <v>0</v>
      </c>
      <c r="BP26" s="43">
        <f t="shared" si="10"/>
        <v>0</v>
      </c>
      <c r="BQ26" s="43">
        <f t="shared" si="10"/>
        <v>0</v>
      </c>
    </row>
    <row r="27" spans="3:71" ht="20.100000000000001" customHeight="1">
      <c r="C27" s="591" t="s">
        <v>7</v>
      </c>
      <c r="D27" s="592"/>
      <c r="E27" s="593" t="s">
        <v>21</v>
      </c>
      <c r="F27" s="594"/>
      <c r="G27" s="594"/>
      <c r="H27" s="594"/>
      <c r="I27" s="594"/>
      <c r="J27" s="595" t="s">
        <v>22</v>
      </c>
      <c r="K27" s="595"/>
      <c r="L27" s="596"/>
      <c r="M27" s="36" t="s">
        <v>10</v>
      </c>
      <c r="N27" s="39" t="s">
        <v>17</v>
      </c>
      <c r="O27" s="251" t="s">
        <v>17</v>
      </c>
      <c r="P27" s="251" t="s">
        <v>17</v>
      </c>
      <c r="Q27" s="251" t="s">
        <v>17</v>
      </c>
      <c r="R27" s="251" t="s">
        <v>17</v>
      </c>
      <c r="S27" s="39" t="s">
        <v>10</v>
      </c>
      <c r="T27" s="39" t="s">
        <v>14</v>
      </c>
      <c r="U27" s="251" t="s">
        <v>15</v>
      </c>
      <c r="V27" s="251" t="s">
        <v>16</v>
      </c>
      <c r="W27" s="251" t="s">
        <v>16</v>
      </c>
      <c r="X27" s="39" t="s">
        <v>10</v>
      </c>
      <c r="Y27" s="251" t="s">
        <v>16</v>
      </c>
      <c r="Z27" s="39" t="s">
        <v>16</v>
      </c>
      <c r="AA27" s="39" t="s">
        <v>16</v>
      </c>
      <c r="AB27" s="251" t="s">
        <v>14</v>
      </c>
      <c r="AC27" s="39" t="s">
        <v>10</v>
      </c>
      <c r="AD27" s="251" t="s">
        <v>14</v>
      </c>
      <c r="AE27" s="251" t="s">
        <v>10</v>
      </c>
      <c r="AF27" s="251" t="s">
        <v>16</v>
      </c>
      <c r="AG27" s="39" t="s">
        <v>23</v>
      </c>
      <c r="AH27" s="39" t="s">
        <v>14</v>
      </c>
      <c r="AI27" s="251" t="s">
        <v>10</v>
      </c>
      <c r="AJ27" s="251" t="s">
        <v>16</v>
      </c>
      <c r="AK27" s="251" t="s">
        <v>16</v>
      </c>
      <c r="AL27" s="251" t="s">
        <v>24</v>
      </c>
      <c r="AM27" s="251" t="s">
        <v>14</v>
      </c>
      <c r="AN27" s="39" t="s">
        <v>10</v>
      </c>
      <c r="AO27" s="39"/>
      <c r="AP27" s="251"/>
      <c r="AQ27" s="181"/>
      <c r="AS27" s="43">
        <f t="shared" si="9"/>
        <v>8</v>
      </c>
      <c r="AT27" s="43">
        <f t="shared" si="9"/>
        <v>5</v>
      </c>
      <c r="AU27" s="43">
        <f t="shared" si="9"/>
        <v>1</v>
      </c>
      <c r="AV27" s="43">
        <f t="shared" si="9"/>
        <v>0</v>
      </c>
      <c r="AW27" s="43">
        <f t="shared" si="9"/>
        <v>0</v>
      </c>
      <c r="AX27" s="43">
        <f t="shared" si="9"/>
        <v>1</v>
      </c>
      <c r="AY27" s="43">
        <f t="shared" si="9"/>
        <v>0</v>
      </c>
      <c r="AZ27" s="43">
        <f t="shared" si="9"/>
        <v>0</v>
      </c>
      <c r="BA27" s="43">
        <f t="shared" si="9"/>
        <v>0</v>
      </c>
      <c r="BB27" s="43">
        <f t="shared" si="9"/>
        <v>0</v>
      </c>
      <c r="BC27" s="43">
        <f t="shared" si="10"/>
        <v>0</v>
      </c>
      <c r="BD27" s="43">
        <f t="shared" si="10"/>
        <v>0</v>
      </c>
      <c r="BE27" s="43">
        <f t="shared" si="10"/>
        <v>0</v>
      </c>
      <c r="BF27" s="43">
        <f t="shared" si="10"/>
        <v>0</v>
      </c>
      <c r="BG27" s="43">
        <f t="shared" si="10"/>
        <v>0</v>
      </c>
      <c r="BH27" s="43">
        <f t="shared" si="10"/>
        <v>0</v>
      </c>
      <c r="BI27" s="43">
        <f t="shared" si="10"/>
        <v>0</v>
      </c>
      <c r="BJ27" s="43">
        <f t="shared" si="10"/>
        <v>5</v>
      </c>
      <c r="BK27" s="43">
        <f t="shared" si="10"/>
        <v>0</v>
      </c>
      <c r="BL27" s="43">
        <f t="shared" si="10"/>
        <v>0</v>
      </c>
      <c r="BM27" s="43">
        <f t="shared" si="10"/>
        <v>0</v>
      </c>
      <c r="BN27" s="43">
        <f t="shared" si="10"/>
        <v>7</v>
      </c>
      <c r="BO27" s="43">
        <f t="shared" si="10"/>
        <v>5</v>
      </c>
      <c r="BP27" s="43">
        <f t="shared" si="10"/>
        <v>0</v>
      </c>
      <c r="BQ27" s="43">
        <f t="shared" si="10"/>
        <v>0</v>
      </c>
    </row>
    <row r="28" spans="3:71" ht="20.100000000000001" customHeight="1">
      <c r="C28" s="591">
        <v>0.75</v>
      </c>
      <c r="D28" s="592"/>
      <c r="E28" s="593" t="s">
        <v>25</v>
      </c>
      <c r="F28" s="594"/>
      <c r="G28" s="594"/>
      <c r="H28" s="594"/>
      <c r="I28" s="594"/>
      <c r="J28" s="595" t="s">
        <v>22</v>
      </c>
      <c r="K28" s="595"/>
      <c r="L28" s="596"/>
      <c r="M28" s="36" t="s">
        <v>14</v>
      </c>
      <c r="N28" s="39" t="s">
        <v>14</v>
      </c>
      <c r="O28" s="251" t="s">
        <v>10</v>
      </c>
      <c r="P28" s="251" t="s">
        <v>10</v>
      </c>
      <c r="Q28" s="251" t="s">
        <v>11</v>
      </c>
      <c r="R28" s="251" t="s">
        <v>14</v>
      </c>
      <c r="S28" s="39" t="s">
        <v>14</v>
      </c>
      <c r="T28" s="39" t="s">
        <v>10</v>
      </c>
      <c r="U28" s="251" t="s">
        <v>14</v>
      </c>
      <c r="V28" s="251" t="s">
        <v>10</v>
      </c>
      <c r="W28" s="251" t="s">
        <v>11</v>
      </c>
      <c r="X28" s="39" t="s">
        <v>14</v>
      </c>
      <c r="Y28" s="251" t="s">
        <v>17</v>
      </c>
      <c r="Z28" s="39" t="s">
        <v>10</v>
      </c>
      <c r="AA28" s="39" t="s">
        <v>10</v>
      </c>
      <c r="AB28" s="251" t="s">
        <v>17</v>
      </c>
      <c r="AC28" s="39" t="s">
        <v>17</v>
      </c>
      <c r="AD28" s="251" t="s">
        <v>17</v>
      </c>
      <c r="AE28" s="251" t="s">
        <v>17</v>
      </c>
      <c r="AF28" s="251" t="s">
        <v>17</v>
      </c>
      <c r="AG28" s="39" t="s">
        <v>16</v>
      </c>
      <c r="AH28" s="39" t="s">
        <v>23</v>
      </c>
      <c r="AI28" s="251" t="s">
        <v>10</v>
      </c>
      <c r="AJ28" s="251" t="s">
        <v>10</v>
      </c>
      <c r="AK28" s="251" t="s">
        <v>14</v>
      </c>
      <c r="AL28" s="251" t="s">
        <v>10</v>
      </c>
      <c r="AM28" s="251" t="s">
        <v>10</v>
      </c>
      <c r="AN28" s="39" t="s">
        <v>11</v>
      </c>
      <c r="AO28" s="39"/>
      <c r="AP28" s="251"/>
      <c r="AQ28" s="181"/>
      <c r="AS28" s="43">
        <f t="shared" si="9"/>
        <v>1</v>
      </c>
      <c r="AT28" s="43">
        <f t="shared" si="9"/>
        <v>7</v>
      </c>
      <c r="AU28" s="43">
        <f t="shared" si="9"/>
        <v>1</v>
      </c>
      <c r="AV28" s="43">
        <f t="shared" si="9"/>
        <v>0</v>
      </c>
      <c r="AW28" s="43">
        <f t="shared" si="9"/>
        <v>0</v>
      </c>
      <c r="AX28" s="43">
        <f t="shared" si="9"/>
        <v>0</v>
      </c>
      <c r="AY28" s="43">
        <f t="shared" si="9"/>
        <v>0</v>
      </c>
      <c r="AZ28" s="43">
        <f t="shared" si="9"/>
        <v>0</v>
      </c>
      <c r="BA28" s="43">
        <f t="shared" si="9"/>
        <v>0</v>
      </c>
      <c r="BB28" s="43">
        <f t="shared" si="9"/>
        <v>0</v>
      </c>
      <c r="BC28" s="43">
        <f t="shared" si="10"/>
        <v>0</v>
      </c>
      <c r="BD28" s="43">
        <f t="shared" si="10"/>
        <v>0</v>
      </c>
      <c r="BE28" s="43">
        <f t="shared" si="10"/>
        <v>0</v>
      </c>
      <c r="BF28" s="43">
        <f t="shared" si="10"/>
        <v>0</v>
      </c>
      <c r="BG28" s="43">
        <f t="shared" si="10"/>
        <v>0</v>
      </c>
      <c r="BH28" s="43">
        <f t="shared" si="10"/>
        <v>0</v>
      </c>
      <c r="BI28" s="43">
        <f t="shared" si="10"/>
        <v>0</v>
      </c>
      <c r="BJ28" s="43">
        <f t="shared" si="10"/>
        <v>6</v>
      </c>
      <c r="BK28" s="43">
        <f t="shared" si="10"/>
        <v>0</v>
      </c>
      <c r="BL28" s="43">
        <f t="shared" si="10"/>
        <v>0</v>
      </c>
      <c r="BM28" s="43">
        <f t="shared" si="10"/>
        <v>0</v>
      </c>
      <c r="BN28" s="43">
        <f t="shared" si="10"/>
        <v>10</v>
      </c>
      <c r="BO28" s="43">
        <f t="shared" si="10"/>
        <v>6</v>
      </c>
      <c r="BP28" s="43">
        <f t="shared" si="10"/>
        <v>0</v>
      </c>
      <c r="BQ28" s="43">
        <f t="shared" si="10"/>
        <v>0</v>
      </c>
    </row>
    <row r="29" spans="3:71" ht="20.100000000000001" customHeight="1">
      <c r="C29" s="591">
        <v>0.5</v>
      </c>
      <c r="D29" s="592"/>
      <c r="E29" s="593" t="s">
        <v>28</v>
      </c>
      <c r="F29" s="594"/>
      <c r="G29" s="594"/>
      <c r="H29" s="594"/>
      <c r="I29" s="594"/>
      <c r="J29" s="595" t="s">
        <v>22</v>
      </c>
      <c r="K29" s="595"/>
      <c r="L29" s="596"/>
      <c r="M29" s="36" t="s">
        <v>16</v>
      </c>
      <c r="N29" s="39" t="s">
        <v>10</v>
      </c>
      <c r="O29" s="251" t="s">
        <v>16</v>
      </c>
      <c r="P29" s="251" t="s">
        <v>10</v>
      </c>
      <c r="Q29" s="251" t="s">
        <v>10</v>
      </c>
      <c r="R29" s="251" t="s">
        <v>10</v>
      </c>
      <c r="S29" s="39" t="s">
        <v>16</v>
      </c>
      <c r="T29" s="39" t="s">
        <v>16</v>
      </c>
      <c r="U29" s="251" t="s">
        <v>10</v>
      </c>
      <c r="V29" s="251" t="s">
        <v>10</v>
      </c>
      <c r="W29" s="251" t="s">
        <v>10</v>
      </c>
      <c r="X29" s="39" t="s">
        <v>10</v>
      </c>
      <c r="Y29" s="251" t="s">
        <v>10</v>
      </c>
      <c r="Z29" s="39" t="s">
        <v>10</v>
      </c>
      <c r="AA29" s="39" t="s">
        <v>10</v>
      </c>
      <c r="AB29" s="251" t="s">
        <v>17</v>
      </c>
      <c r="AC29" s="39" t="s">
        <v>17</v>
      </c>
      <c r="AD29" s="251" t="s">
        <v>17</v>
      </c>
      <c r="AE29" s="251" t="s">
        <v>17</v>
      </c>
      <c r="AF29" s="251" t="s">
        <v>17</v>
      </c>
      <c r="AG29" s="39" t="s">
        <v>10</v>
      </c>
      <c r="AH29" s="39" t="s">
        <v>10</v>
      </c>
      <c r="AI29" s="251" t="s">
        <v>10</v>
      </c>
      <c r="AJ29" s="251" t="s">
        <v>10</v>
      </c>
      <c r="AK29" s="251" t="s">
        <v>10</v>
      </c>
      <c r="AL29" s="251" t="s">
        <v>10</v>
      </c>
      <c r="AM29" s="251" t="s">
        <v>10</v>
      </c>
      <c r="AN29" s="39" t="s">
        <v>16</v>
      </c>
      <c r="AO29" s="39"/>
      <c r="AP29" s="251"/>
      <c r="AQ29" s="181"/>
      <c r="AS29" s="43">
        <f t="shared" si="9"/>
        <v>5</v>
      </c>
      <c r="AT29" s="43">
        <f t="shared" si="9"/>
        <v>0</v>
      </c>
      <c r="AU29" s="43">
        <f t="shared" si="9"/>
        <v>0</v>
      </c>
      <c r="AV29" s="43">
        <f t="shared" si="9"/>
        <v>0</v>
      </c>
      <c r="AW29" s="43">
        <f t="shared" si="9"/>
        <v>0</v>
      </c>
      <c r="AX29" s="43">
        <f t="shared" si="9"/>
        <v>0</v>
      </c>
      <c r="AY29" s="43">
        <f t="shared" si="9"/>
        <v>0</v>
      </c>
      <c r="AZ29" s="43">
        <f t="shared" si="9"/>
        <v>0</v>
      </c>
      <c r="BA29" s="43">
        <f t="shared" si="9"/>
        <v>0</v>
      </c>
      <c r="BB29" s="43">
        <f t="shared" si="9"/>
        <v>0</v>
      </c>
      <c r="BC29" s="43">
        <f t="shared" si="10"/>
        <v>0</v>
      </c>
      <c r="BD29" s="43">
        <f t="shared" si="10"/>
        <v>0</v>
      </c>
      <c r="BE29" s="43">
        <f t="shared" si="10"/>
        <v>0</v>
      </c>
      <c r="BF29" s="43">
        <f t="shared" si="10"/>
        <v>0</v>
      </c>
      <c r="BG29" s="43">
        <f t="shared" si="10"/>
        <v>0</v>
      </c>
      <c r="BH29" s="43">
        <f t="shared" si="10"/>
        <v>0</v>
      </c>
      <c r="BI29" s="43">
        <f t="shared" si="10"/>
        <v>0</v>
      </c>
      <c r="BJ29" s="43">
        <f t="shared" si="10"/>
        <v>5</v>
      </c>
      <c r="BK29" s="43">
        <f t="shared" si="10"/>
        <v>0</v>
      </c>
      <c r="BL29" s="43">
        <f t="shared" si="10"/>
        <v>0</v>
      </c>
      <c r="BM29" s="43">
        <f t="shared" si="10"/>
        <v>0</v>
      </c>
      <c r="BN29" s="43">
        <f t="shared" si="10"/>
        <v>18</v>
      </c>
      <c r="BO29" s="43">
        <f t="shared" si="10"/>
        <v>5</v>
      </c>
      <c r="BP29" s="43">
        <f t="shared" si="10"/>
        <v>0</v>
      </c>
      <c r="BQ29" s="43">
        <f t="shared" si="10"/>
        <v>0</v>
      </c>
    </row>
    <row r="30" spans="3:71" ht="20.100000000000001" customHeight="1">
      <c r="C30" s="591">
        <v>0.5</v>
      </c>
      <c r="D30" s="592"/>
      <c r="E30" s="593" t="s">
        <v>30</v>
      </c>
      <c r="F30" s="594"/>
      <c r="G30" s="594"/>
      <c r="H30" s="594"/>
      <c r="I30" s="594"/>
      <c r="J30" s="595" t="s">
        <v>22</v>
      </c>
      <c r="K30" s="595"/>
      <c r="L30" s="596"/>
      <c r="M30" s="36" t="s">
        <v>10</v>
      </c>
      <c r="N30" s="39" t="s">
        <v>10</v>
      </c>
      <c r="O30" s="251" t="s">
        <v>10</v>
      </c>
      <c r="P30" s="251" t="s">
        <v>12</v>
      </c>
      <c r="Q30" s="251" t="s">
        <v>10</v>
      </c>
      <c r="R30" s="251" t="s">
        <v>10</v>
      </c>
      <c r="S30" s="39" t="s">
        <v>10</v>
      </c>
      <c r="T30" s="39" t="s">
        <v>10</v>
      </c>
      <c r="U30" s="251" t="s">
        <v>10</v>
      </c>
      <c r="V30" s="251" t="s">
        <v>10</v>
      </c>
      <c r="W30" s="251" t="s">
        <v>10</v>
      </c>
      <c r="X30" s="39" t="s">
        <v>16</v>
      </c>
      <c r="Y30" s="251" t="s">
        <v>10</v>
      </c>
      <c r="Z30" s="39" t="s">
        <v>10</v>
      </c>
      <c r="AA30" s="39" t="s">
        <v>10</v>
      </c>
      <c r="AB30" s="251" t="s">
        <v>16</v>
      </c>
      <c r="AC30" s="39" t="s">
        <v>16</v>
      </c>
      <c r="AD30" s="251" t="s">
        <v>16</v>
      </c>
      <c r="AE30" s="251" t="s">
        <v>16</v>
      </c>
      <c r="AF30" s="251" t="s">
        <v>10</v>
      </c>
      <c r="AG30" s="39" t="s">
        <v>10</v>
      </c>
      <c r="AH30" s="39" t="s">
        <v>10</v>
      </c>
      <c r="AI30" s="251" t="s">
        <v>14</v>
      </c>
      <c r="AJ30" s="251" t="s">
        <v>10</v>
      </c>
      <c r="AK30" s="251" t="s">
        <v>12</v>
      </c>
      <c r="AL30" s="251" t="s">
        <v>14</v>
      </c>
      <c r="AM30" s="251" t="s">
        <v>10</v>
      </c>
      <c r="AN30" s="39" t="s">
        <v>10</v>
      </c>
      <c r="AO30" s="39"/>
      <c r="AP30" s="251"/>
      <c r="AQ30" s="181"/>
      <c r="AS30" s="43">
        <f t="shared" si="9"/>
        <v>5</v>
      </c>
      <c r="AT30" s="43">
        <f t="shared" si="9"/>
        <v>2</v>
      </c>
      <c r="AU30" s="43">
        <f t="shared" si="9"/>
        <v>0</v>
      </c>
      <c r="AV30" s="43">
        <f t="shared" si="9"/>
        <v>0</v>
      </c>
      <c r="AW30" s="43">
        <f t="shared" si="9"/>
        <v>0</v>
      </c>
      <c r="AX30" s="43">
        <f t="shared" si="9"/>
        <v>0</v>
      </c>
      <c r="AY30" s="43">
        <f t="shared" si="9"/>
        <v>0</v>
      </c>
      <c r="AZ30" s="43">
        <f t="shared" si="9"/>
        <v>0</v>
      </c>
      <c r="BA30" s="43">
        <f t="shared" si="9"/>
        <v>2</v>
      </c>
      <c r="BB30" s="43">
        <f t="shared" si="9"/>
        <v>0</v>
      </c>
      <c r="BC30" s="43">
        <f t="shared" si="10"/>
        <v>0</v>
      </c>
      <c r="BD30" s="43">
        <f t="shared" si="10"/>
        <v>0</v>
      </c>
      <c r="BE30" s="43">
        <f t="shared" si="10"/>
        <v>0</v>
      </c>
      <c r="BF30" s="43">
        <f t="shared" si="10"/>
        <v>0</v>
      </c>
      <c r="BG30" s="43">
        <f t="shared" si="10"/>
        <v>0</v>
      </c>
      <c r="BH30" s="43">
        <f t="shared" si="10"/>
        <v>0</v>
      </c>
      <c r="BI30" s="43">
        <f t="shared" si="10"/>
        <v>0</v>
      </c>
      <c r="BJ30" s="43">
        <f t="shared" si="10"/>
        <v>0</v>
      </c>
      <c r="BK30" s="43">
        <f t="shared" si="10"/>
        <v>0</v>
      </c>
      <c r="BL30" s="43">
        <f t="shared" si="10"/>
        <v>0</v>
      </c>
      <c r="BM30" s="43">
        <f t="shared" si="10"/>
        <v>0</v>
      </c>
      <c r="BN30" s="43">
        <f t="shared" si="10"/>
        <v>19</v>
      </c>
      <c r="BO30" s="43">
        <f t="shared" si="10"/>
        <v>0</v>
      </c>
      <c r="BP30" s="43">
        <f t="shared" si="10"/>
        <v>0</v>
      </c>
      <c r="BQ30" s="43">
        <f t="shared" si="10"/>
        <v>0</v>
      </c>
    </row>
    <row r="31" spans="3:71" ht="20.100000000000001" customHeight="1">
      <c r="C31" s="591" t="s">
        <v>7</v>
      </c>
      <c r="D31" s="592"/>
      <c r="E31" s="593" t="s">
        <v>31</v>
      </c>
      <c r="F31" s="594"/>
      <c r="G31" s="594"/>
      <c r="H31" s="594"/>
      <c r="I31" s="594"/>
      <c r="J31" s="595" t="s">
        <v>22</v>
      </c>
      <c r="K31" s="595"/>
      <c r="L31" s="596"/>
      <c r="M31" s="36" t="s">
        <v>10</v>
      </c>
      <c r="N31" s="39" t="s">
        <v>16</v>
      </c>
      <c r="O31" s="251" t="s">
        <v>14</v>
      </c>
      <c r="P31" s="251" t="s">
        <v>14</v>
      </c>
      <c r="Q31" s="251" t="s">
        <v>14</v>
      </c>
      <c r="R31" s="251" t="s">
        <v>10</v>
      </c>
      <c r="S31" s="39" t="s">
        <v>10</v>
      </c>
      <c r="T31" s="39" t="s">
        <v>10</v>
      </c>
      <c r="U31" s="251" t="s">
        <v>16</v>
      </c>
      <c r="V31" s="251" t="s">
        <v>14</v>
      </c>
      <c r="W31" s="251" t="s">
        <v>14</v>
      </c>
      <c r="X31" s="39" t="s">
        <v>13</v>
      </c>
      <c r="Y31" s="251" t="s">
        <v>14</v>
      </c>
      <c r="Z31" s="39" t="s">
        <v>10</v>
      </c>
      <c r="AA31" s="39" t="s">
        <v>10</v>
      </c>
      <c r="AB31" s="251" t="s">
        <v>12</v>
      </c>
      <c r="AC31" s="39" t="s">
        <v>14</v>
      </c>
      <c r="AD31" s="251" t="s">
        <v>32</v>
      </c>
      <c r="AE31" s="251" t="s">
        <v>14</v>
      </c>
      <c r="AF31" s="251" t="s">
        <v>10</v>
      </c>
      <c r="AG31" s="39" t="s">
        <v>14</v>
      </c>
      <c r="AH31" s="39" t="s">
        <v>10</v>
      </c>
      <c r="AI31" s="251" t="s">
        <v>16</v>
      </c>
      <c r="AJ31" s="251" t="s">
        <v>14</v>
      </c>
      <c r="AK31" s="251" t="s">
        <v>10</v>
      </c>
      <c r="AL31" s="251" t="s">
        <v>16</v>
      </c>
      <c r="AM31" s="251" t="s">
        <v>16</v>
      </c>
      <c r="AN31" s="39" t="s">
        <v>14</v>
      </c>
      <c r="AO31" s="39"/>
      <c r="AP31" s="251"/>
      <c r="AQ31" s="181"/>
      <c r="AS31" s="43">
        <f t="shared" si="9"/>
        <v>5</v>
      </c>
      <c r="AT31" s="43">
        <f t="shared" si="9"/>
        <v>11</v>
      </c>
      <c r="AU31" s="43">
        <f t="shared" si="9"/>
        <v>0</v>
      </c>
      <c r="AV31" s="43">
        <f t="shared" si="9"/>
        <v>0</v>
      </c>
      <c r="AW31" s="43">
        <f t="shared" si="9"/>
        <v>0</v>
      </c>
      <c r="AX31" s="43">
        <f t="shared" si="9"/>
        <v>0</v>
      </c>
      <c r="AY31" s="43">
        <f t="shared" si="9"/>
        <v>0</v>
      </c>
      <c r="AZ31" s="43">
        <f t="shared" si="9"/>
        <v>1</v>
      </c>
      <c r="BA31" s="43">
        <f t="shared" si="9"/>
        <v>1</v>
      </c>
      <c r="BB31" s="43">
        <f t="shared" si="9"/>
        <v>1</v>
      </c>
      <c r="BC31" s="43">
        <f t="shared" si="10"/>
        <v>0</v>
      </c>
      <c r="BD31" s="43">
        <f t="shared" si="10"/>
        <v>0</v>
      </c>
      <c r="BE31" s="43">
        <f t="shared" si="10"/>
        <v>0</v>
      </c>
      <c r="BF31" s="43">
        <f t="shared" si="10"/>
        <v>0</v>
      </c>
      <c r="BG31" s="43">
        <f t="shared" si="10"/>
        <v>0</v>
      </c>
      <c r="BH31" s="43">
        <f t="shared" si="10"/>
        <v>0</v>
      </c>
      <c r="BI31" s="43">
        <f t="shared" si="10"/>
        <v>0</v>
      </c>
      <c r="BJ31" s="43">
        <f t="shared" si="10"/>
        <v>0</v>
      </c>
      <c r="BK31" s="43">
        <f t="shared" si="10"/>
        <v>0</v>
      </c>
      <c r="BL31" s="43">
        <f t="shared" si="10"/>
        <v>0</v>
      </c>
      <c r="BM31" s="43">
        <f t="shared" si="10"/>
        <v>0</v>
      </c>
      <c r="BN31" s="43">
        <f t="shared" si="10"/>
        <v>9</v>
      </c>
      <c r="BO31" s="43">
        <f t="shared" si="10"/>
        <v>0</v>
      </c>
      <c r="BP31" s="43">
        <f t="shared" si="10"/>
        <v>0</v>
      </c>
      <c r="BQ31" s="43">
        <f t="shared" si="10"/>
        <v>0</v>
      </c>
    </row>
    <row r="32" spans="3:71" ht="20.100000000000001" customHeight="1">
      <c r="C32" s="591"/>
      <c r="D32" s="592"/>
      <c r="E32" s="593"/>
      <c r="F32" s="594"/>
      <c r="G32" s="594"/>
      <c r="H32" s="594"/>
      <c r="I32" s="594"/>
      <c r="J32" s="595"/>
      <c r="K32" s="595"/>
      <c r="L32" s="596"/>
      <c r="M32" s="36"/>
      <c r="N32" s="39"/>
      <c r="O32" s="251"/>
      <c r="P32" s="251"/>
      <c r="Q32" s="251"/>
      <c r="R32" s="251"/>
      <c r="S32" s="39"/>
      <c r="T32" s="39"/>
      <c r="U32" s="251"/>
      <c r="V32" s="251"/>
      <c r="W32" s="251"/>
      <c r="X32" s="39"/>
      <c r="Y32" s="251"/>
      <c r="Z32" s="39"/>
      <c r="AA32" s="39"/>
      <c r="AB32" s="251"/>
      <c r="AC32" s="39"/>
      <c r="AD32" s="251"/>
      <c r="AE32" s="251"/>
      <c r="AF32" s="251"/>
      <c r="AG32" s="39"/>
      <c r="AH32" s="39"/>
      <c r="AI32" s="251"/>
      <c r="AJ32" s="251"/>
      <c r="AK32" s="251"/>
      <c r="AL32" s="251"/>
      <c r="AM32" s="251"/>
      <c r="AN32" s="39"/>
      <c r="AO32" s="39"/>
      <c r="AP32" s="251"/>
      <c r="AQ32" s="181"/>
      <c r="AS32" s="43">
        <f t="shared" si="9"/>
        <v>0</v>
      </c>
      <c r="AT32" s="43">
        <f t="shared" si="9"/>
        <v>0</v>
      </c>
      <c r="AU32" s="43">
        <f t="shared" si="9"/>
        <v>0</v>
      </c>
      <c r="AV32" s="43">
        <f t="shared" si="9"/>
        <v>0</v>
      </c>
      <c r="AW32" s="43">
        <f t="shared" si="9"/>
        <v>0</v>
      </c>
      <c r="AX32" s="43">
        <f t="shared" si="9"/>
        <v>0</v>
      </c>
      <c r="AY32" s="43">
        <f t="shared" si="9"/>
        <v>0</v>
      </c>
      <c r="AZ32" s="43">
        <f t="shared" si="9"/>
        <v>0</v>
      </c>
      <c r="BA32" s="43">
        <f t="shared" si="9"/>
        <v>0</v>
      </c>
      <c r="BB32" s="43">
        <f t="shared" si="9"/>
        <v>0</v>
      </c>
      <c r="BC32" s="43">
        <f t="shared" si="10"/>
        <v>0</v>
      </c>
      <c r="BD32" s="43">
        <f t="shared" si="10"/>
        <v>0</v>
      </c>
      <c r="BE32" s="43">
        <f t="shared" si="10"/>
        <v>0</v>
      </c>
      <c r="BF32" s="43">
        <f t="shared" si="10"/>
        <v>0</v>
      </c>
      <c r="BG32" s="43">
        <f t="shared" si="10"/>
        <v>0</v>
      </c>
      <c r="BH32" s="43">
        <f t="shared" si="10"/>
        <v>0</v>
      </c>
      <c r="BI32" s="43">
        <f t="shared" si="10"/>
        <v>0</v>
      </c>
      <c r="BJ32" s="43">
        <f t="shared" si="10"/>
        <v>0</v>
      </c>
      <c r="BK32" s="43">
        <f t="shared" si="10"/>
        <v>0</v>
      </c>
      <c r="BL32" s="43">
        <f t="shared" si="10"/>
        <v>0</v>
      </c>
      <c r="BM32" s="43">
        <f t="shared" si="10"/>
        <v>0</v>
      </c>
      <c r="BN32" s="43">
        <f t="shared" si="10"/>
        <v>0</v>
      </c>
      <c r="BO32" s="43">
        <f t="shared" si="10"/>
        <v>0</v>
      </c>
      <c r="BP32" s="43">
        <f t="shared" si="10"/>
        <v>0</v>
      </c>
      <c r="BQ32" s="43">
        <f t="shared" si="10"/>
        <v>0</v>
      </c>
    </row>
    <row r="33" spans="3:69" ht="20.100000000000001" customHeight="1">
      <c r="C33" s="591"/>
      <c r="D33" s="592"/>
      <c r="E33" s="593"/>
      <c r="F33" s="594"/>
      <c r="G33" s="594"/>
      <c r="H33" s="594"/>
      <c r="I33" s="594"/>
      <c r="J33" s="595"/>
      <c r="K33" s="595"/>
      <c r="L33" s="596"/>
      <c r="M33" s="36"/>
      <c r="N33" s="39"/>
      <c r="O33" s="251"/>
      <c r="P33" s="251"/>
      <c r="Q33" s="251"/>
      <c r="R33" s="251"/>
      <c r="S33" s="39"/>
      <c r="T33" s="39"/>
      <c r="U33" s="251"/>
      <c r="V33" s="251"/>
      <c r="W33" s="251"/>
      <c r="X33" s="39"/>
      <c r="Y33" s="251"/>
      <c r="Z33" s="39"/>
      <c r="AA33" s="39"/>
      <c r="AB33" s="251"/>
      <c r="AC33" s="39"/>
      <c r="AD33" s="251"/>
      <c r="AE33" s="251"/>
      <c r="AF33" s="251"/>
      <c r="AG33" s="39"/>
      <c r="AH33" s="39"/>
      <c r="AI33" s="251"/>
      <c r="AJ33" s="251"/>
      <c r="AK33" s="251"/>
      <c r="AL33" s="251"/>
      <c r="AM33" s="251"/>
      <c r="AN33" s="39"/>
      <c r="AO33" s="39"/>
      <c r="AP33" s="251"/>
      <c r="AQ33" s="181"/>
      <c r="AS33" s="43">
        <f t="shared" si="9"/>
        <v>0</v>
      </c>
      <c r="AT33" s="43">
        <f t="shared" si="9"/>
        <v>0</v>
      </c>
      <c r="AU33" s="43">
        <f t="shared" si="9"/>
        <v>0</v>
      </c>
      <c r="AV33" s="43">
        <f t="shared" si="9"/>
        <v>0</v>
      </c>
      <c r="AW33" s="43">
        <f t="shared" si="9"/>
        <v>0</v>
      </c>
      <c r="AX33" s="43">
        <f t="shared" si="9"/>
        <v>0</v>
      </c>
      <c r="AY33" s="43">
        <f t="shared" si="9"/>
        <v>0</v>
      </c>
      <c r="AZ33" s="43">
        <f t="shared" si="9"/>
        <v>0</v>
      </c>
      <c r="BA33" s="43">
        <f t="shared" si="9"/>
        <v>0</v>
      </c>
      <c r="BB33" s="43">
        <f t="shared" si="9"/>
        <v>0</v>
      </c>
      <c r="BC33" s="43">
        <f t="shared" si="10"/>
        <v>0</v>
      </c>
      <c r="BD33" s="43">
        <f t="shared" si="10"/>
        <v>0</v>
      </c>
      <c r="BE33" s="43">
        <f t="shared" si="10"/>
        <v>0</v>
      </c>
      <c r="BF33" s="43">
        <f t="shared" si="10"/>
        <v>0</v>
      </c>
      <c r="BG33" s="43">
        <f t="shared" si="10"/>
        <v>0</v>
      </c>
      <c r="BH33" s="43">
        <f t="shared" si="10"/>
        <v>0</v>
      </c>
      <c r="BI33" s="43">
        <f t="shared" si="10"/>
        <v>0</v>
      </c>
      <c r="BJ33" s="43">
        <f t="shared" si="10"/>
        <v>0</v>
      </c>
      <c r="BK33" s="43">
        <f t="shared" si="10"/>
        <v>0</v>
      </c>
      <c r="BL33" s="43">
        <f t="shared" si="10"/>
        <v>0</v>
      </c>
      <c r="BM33" s="43">
        <f t="shared" si="10"/>
        <v>0</v>
      </c>
      <c r="BN33" s="43">
        <f t="shared" si="10"/>
        <v>0</v>
      </c>
      <c r="BO33" s="43">
        <f t="shared" si="10"/>
        <v>0</v>
      </c>
      <c r="BP33" s="43">
        <f t="shared" si="10"/>
        <v>0</v>
      </c>
      <c r="BQ33" s="43">
        <f t="shared" si="10"/>
        <v>0</v>
      </c>
    </row>
    <row r="34" spans="3:69" ht="20.100000000000001" customHeight="1">
      <c r="C34" s="591"/>
      <c r="D34" s="592"/>
      <c r="E34" s="593"/>
      <c r="F34" s="594"/>
      <c r="G34" s="594"/>
      <c r="H34" s="594"/>
      <c r="I34" s="594"/>
      <c r="J34" s="595"/>
      <c r="K34" s="595"/>
      <c r="L34" s="596"/>
      <c r="M34" s="36"/>
      <c r="N34" s="39"/>
      <c r="O34" s="251"/>
      <c r="P34" s="251"/>
      <c r="Q34" s="251"/>
      <c r="R34" s="251"/>
      <c r="S34" s="39"/>
      <c r="T34" s="39"/>
      <c r="U34" s="251"/>
      <c r="V34" s="251"/>
      <c r="W34" s="251"/>
      <c r="X34" s="39"/>
      <c r="Y34" s="251"/>
      <c r="Z34" s="39"/>
      <c r="AA34" s="39"/>
      <c r="AB34" s="251"/>
      <c r="AC34" s="39"/>
      <c r="AD34" s="251"/>
      <c r="AE34" s="251"/>
      <c r="AF34" s="251"/>
      <c r="AG34" s="39"/>
      <c r="AH34" s="39"/>
      <c r="AI34" s="251"/>
      <c r="AJ34" s="251"/>
      <c r="AK34" s="251"/>
      <c r="AL34" s="251"/>
      <c r="AM34" s="251"/>
      <c r="AN34" s="39"/>
      <c r="AO34" s="39"/>
      <c r="AP34" s="251"/>
      <c r="AQ34" s="181"/>
      <c r="AS34" s="43">
        <f t="shared" si="9"/>
        <v>0</v>
      </c>
      <c r="AT34" s="43">
        <f t="shared" si="9"/>
        <v>0</v>
      </c>
      <c r="AU34" s="43">
        <f t="shared" si="9"/>
        <v>0</v>
      </c>
      <c r="AV34" s="43">
        <f t="shared" si="9"/>
        <v>0</v>
      </c>
      <c r="AW34" s="43">
        <f t="shared" si="9"/>
        <v>0</v>
      </c>
      <c r="AX34" s="43">
        <f t="shared" si="9"/>
        <v>0</v>
      </c>
      <c r="AY34" s="43">
        <f t="shared" si="9"/>
        <v>0</v>
      </c>
      <c r="AZ34" s="43">
        <f t="shared" si="9"/>
        <v>0</v>
      </c>
      <c r="BA34" s="43">
        <f t="shared" si="9"/>
        <v>0</v>
      </c>
      <c r="BB34" s="43">
        <f t="shared" si="9"/>
        <v>0</v>
      </c>
      <c r="BC34" s="43">
        <f t="shared" si="10"/>
        <v>0</v>
      </c>
      <c r="BD34" s="43">
        <f t="shared" si="10"/>
        <v>0</v>
      </c>
      <c r="BE34" s="43">
        <f t="shared" si="10"/>
        <v>0</v>
      </c>
      <c r="BF34" s="43">
        <f t="shared" si="10"/>
        <v>0</v>
      </c>
      <c r="BG34" s="43">
        <f t="shared" si="10"/>
        <v>0</v>
      </c>
      <c r="BH34" s="43">
        <f t="shared" si="10"/>
        <v>0</v>
      </c>
      <c r="BI34" s="43">
        <f t="shared" si="10"/>
        <v>0</v>
      </c>
      <c r="BJ34" s="43">
        <f t="shared" si="10"/>
        <v>0</v>
      </c>
      <c r="BK34" s="43">
        <f t="shared" si="10"/>
        <v>0</v>
      </c>
      <c r="BL34" s="43">
        <f t="shared" si="10"/>
        <v>0</v>
      </c>
      <c r="BM34" s="43">
        <f t="shared" si="10"/>
        <v>0</v>
      </c>
      <c r="BN34" s="43">
        <f t="shared" si="10"/>
        <v>0</v>
      </c>
      <c r="BO34" s="43">
        <f t="shared" si="10"/>
        <v>0</v>
      </c>
      <c r="BP34" s="43">
        <f t="shared" si="10"/>
        <v>0</v>
      </c>
      <c r="BQ34" s="43">
        <f t="shared" si="10"/>
        <v>0</v>
      </c>
    </row>
    <row r="35" spans="3:69" ht="19.5" customHeight="1" thickBot="1">
      <c r="C35" s="597"/>
      <c r="D35" s="598"/>
      <c r="E35" s="599"/>
      <c r="F35" s="600"/>
      <c r="G35" s="600"/>
      <c r="H35" s="600"/>
      <c r="I35" s="600"/>
      <c r="J35" s="601"/>
      <c r="K35" s="601"/>
      <c r="L35" s="602"/>
      <c r="M35" s="37"/>
      <c r="N35" s="40"/>
      <c r="O35" s="253"/>
      <c r="P35" s="253"/>
      <c r="Q35" s="253"/>
      <c r="R35" s="253"/>
      <c r="S35" s="40"/>
      <c r="T35" s="40"/>
      <c r="U35" s="253"/>
      <c r="V35" s="253"/>
      <c r="W35" s="253"/>
      <c r="X35" s="40"/>
      <c r="Y35" s="253"/>
      <c r="Z35" s="40"/>
      <c r="AA35" s="40"/>
      <c r="AB35" s="253"/>
      <c r="AC35" s="40"/>
      <c r="AD35" s="253"/>
      <c r="AE35" s="253"/>
      <c r="AF35" s="253"/>
      <c r="AG35" s="40"/>
      <c r="AH35" s="40"/>
      <c r="AI35" s="253"/>
      <c r="AJ35" s="253"/>
      <c r="AK35" s="253"/>
      <c r="AL35" s="253"/>
      <c r="AM35" s="253"/>
      <c r="AN35" s="40"/>
      <c r="AO35" s="40"/>
      <c r="AP35" s="253"/>
      <c r="AQ35" s="182"/>
      <c r="AS35" s="43">
        <f t="shared" si="9"/>
        <v>0</v>
      </c>
      <c r="AT35" s="43">
        <f t="shared" si="9"/>
        <v>0</v>
      </c>
      <c r="AU35" s="43">
        <f t="shared" si="9"/>
        <v>0</v>
      </c>
      <c r="AV35" s="43">
        <f t="shared" si="9"/>
        <v>0</v>
      </c>
      <c r="AW35" s="43">
        <f t="shared" si="9"/>
        <v>0</v>
      </c>
      <c r="AX35" s="43">
        <f t="shared" si="9"/>
        <v>0</v>
      </c>
      <c r="AY35" s="43">
        <f t="shared" si="9"/>
        <v>0</v>
      </c>
      <c r="AZ35" s="43">
        <f t="shared" si="9"/>
        <v>0</v>
      </c>
      <c r="BA35" s="43">
        <f t="shared" si="9"/>
        <v>0</v>
      </c>
      <c r="BB35" s="43">
        <f t="shared" si="9"/>
        <v>0</v>
      </c>
      <c r="BC35" s="43">
        <f t="shared" si="10"/>
        <v>0</v>
      </c>
      <c r="BD35" s="43">
        <f t="shared" si="10"/>
        <v>0</v>
      </c>
      <c r="BE35" s="43">
        <f t="shared" si="10"/>
        <v>0</v>
      </c>
      <c r="BF35" s="43">
        <f t="shared" si="10"/>
        <v>0</v>
      </c>
      <c r="BG35" s="43">
        <f t="shared" si="10"/>
        <v>0</v>
      </c>
      <c r="BH35" s="43">
        <f t="shared" si="10"/>
        <v>0</v>
      </c>
      <c r="BI35" s="43">
        <f t="shared" si="10"/>
        <v>0</v>
      </c>
      <c r="BJ35" s="43">
        <f t="shared" si="10"/>
        <v>0</v>
      </c>
      <c r="BK35" s="43">
        <f t="shared" si="10"/>
        <v>0</v>
      </c>
      <c r="BL35" s="43">
        <f t="shared" si="10"/>
        <v>0</v>
      </c>
      <c r="BM35" s="43">
        <f t="shared" si="10"/>
        <v>0</v>
      </c>
      <c r="BN35" s="43">
        <f t="shared" si="10"/>
        <v>0</v>
      </c>
      <c r="BO35" s="43">
        <f t="shared" si="10"/>
        <v>0</v>
      </c>
      <c r="BP35" s="43">
        <f t="shared" si="10"/>
        <v>0</v>
      </c>
      <c r="BQ35" s="43">
        <f t="shared" si="10"/>
        <v>0</v>
      </c>
    </row>
    <row r="36" spans="3:69" ht="20.100000000000001" hidden="1" customHeight="1" thickBot="1">
      <c r="M36">
        <f>DTCHK(M22,YK!$J$3:$J$52)</f>
        <v>0</v>
      </c>
      <c r="N36">
        <f>DTCHK(N22,YK!$J$3:$J$52)</f>
        <v>1</v>
      </c>
      <c r="O36">
        <f>DTCHK(O22,YK!$J$3:$J$52)</f>
        <v>0</v>
      </c>
      <c r="P36">
        <f>DTCHK(P22,YK!$J$3:$J$52)</f>
        <v>0</v>
      </c>
      <c r="Q36">
        <f>DTCHK(Q22,YK!$J$3:$J$52)</f>
        <v>0</v>
      </c>
      <c r="R36">
        <f>DTCHK(R22,YK!$J$3:$J$52)</f>
        <v>0</v>
      </c>
      <c r="S36">
        <f>DTCHK(S22,YK!$J$3:$J$52)</f>
        <v>0</v>
      </c>
      <c r="T36">
        <f>DTCHK(T22,YK!$J$3:$J$52)</f>
        <v>0</v>
      </c>
      <c r="U36">
        <f>DTCHK(U22,YK!$J$3:$J$52)</f>
        <v>0</v>
      </c>
      <c r="V36">
        <f>DTCHK(V22,YK!$J$3:$J$52)</f>
        <v>0</v>
      </c>
      <c r="W36">
        <f>DTCHK(W22,YK!$J$3:$J$52)</f>
        <v>0</v>
      </c>
      <c r="X36">
        <f>DTCHK(X22,YK!$J$3:$J$52)</f>
        <v>1</v>
      </c>
      <c r="Y36">
        <f>DTCHK(Y22,YK!$J$3:$J$52)</f>
        <v>0</v>
      </c>
      <c r="Z36">
        <f>DTCHK(Z22,YK!$J$3:$J$52)</f>
        <v>1</v>
      </c>
      <c r="AA36">
        <f>DTCHK(AA22,YK!$J$3:$J$52)</f>
        <v>0</v>
      </c>
      <c r="AB36">
        <f>DTCHK(AB22,YK!$J$3:$J$52)</f>
        <v>0</v>
      </c>
      <c r="AC36">
        <f>DTCHK(AC22,YK!$J$3:$J$52)</f>
        <v>1</v>
      </c>
      <c r="AD36">
        <f>DTCHK(AD22,YK!$J$3:$J$52)</f>
        <v>0</v>
      </c>
      <c r="AE36">
        <f>DTCHK(AE22,YK!$J$3:$J$52)</f>
        <v>0</v>
      </c>
      <c r="AF36">
        <f>DTCHK(AF22,YK!$J$3:$J$52)</f>
        <v>0</v>
      </c>
      <c r="AG36">
        <f>DTCHK(AG22,YK!$J$3:$J$52)</f>
        <v>0</v>
      </c>
      <c r="AH36">
        <f>DTCHK(AH22,YK!$J$3:$J$52)</f>
        <v>0</v>
      </c>
      <c r="AI36">
        <f>DTCHK(AI22,YK!$J$3:$J$52)</f>
        <v>0</v>
      </c>
      <c r="AJ36">
        <f>DTCHK(AJ22,YK!$J$3:$J$52)</f>
        <v>0</v>
      </c>
      <c r="AK36">
        <f>DTCHK(AK22,YK!$J$3:$J$52)</f>
        <v>0</v>
      </c>
      <c r="AL36">
        <f>DTCHK(AL22,YK!$J$3:$J$52)</f>
        <v>0</v>
      </c>
      <c r="AM36">
        <f>DTCHK(AM22,YK!$J$3:$J$52)</f>
        <v>0</v>
      </c>
      <c r="AN36">
        <f>DTCHK(AN22,YK!$J$3:$J$52)</f>
        <v>0</v>
      </c>
      <c r="AO36">
        <f>DTCHK(AO22,YK!$J$3:$J$52)</f>
        <v>1</v>
      </c>
      <c r="AP36">
        <f>DTCHK(AP22,YK!$J$3:$J$52)</f>
        <v>0</v>
      </c>
      <c r="AQ36">
        <f>DTCHK(AQ22,YK!$J$3:$J$52)</f>
        <v>0</v>
      </c>
      <c r="AS36" s="43">
        <f t="shared" ref="AS36:BH51" si="11">COUNTIFS($M36:$AQ36,AS$2)</f>
        <v>0</v>
      </c>
      <c r="AT36" s="43">
        <f t="shared" si="11"/>
        <v>0</v>
      </c>
      <c r="AU36" s="43">
        <f t="shared" si="11"/>
        <v>0</v>
      </c>
      <c r="AV36" s="43">
        <f t="shared" si="11"/>
        <v>0</v>
      </c>
      <c r="AW36" s="43">
        <f t="shared" si="11"/>
        <v>0</v>
      </c>
      <c r="AX36" s="43">
        <f t="shared" si="11"/>
        <v>0</v>
      </c>
      <c r="AY36" s="43">
        <f t="shared" si="11"/>
        <v>0</v>
      </c>
      <c r="AZ36" s="43">
        <f t="shared" si="11"/>
        <v>0</v>
      </c>
      <c r="BA36" s="43">
        <f t="shared" si="11"/>
        <v>0</v>
      </c>
      <c r="BB36" s="43">
        <f t="shared" si="11"/>
        <v>0</v>
      </c>
      <c r="BC36" s="43">
        <f t="shared" si="11"/>
        <v>0</v>
      </c>
      <c r="BD36" s="43">
        <f t="shared" si="11"/>
        <v>0</v>
      </c>
      <c r="BE36" s="43">
        <f t="shared" si="11"/>
        <v>26</v>
      </c>
      <c r="BF36" s="43">
        <f t="shared" si="11"/>
        <v>26</v>
      </c>
      <c r="BG36" s="43">
        <f t="shared" si="11"/>
        <v>26</v>
      </c>
      <c r="BH36" s="43">
        <f t="shared" si="11"/>
        <v>26</v>
      </c>
      <c r="BI36" s="43">
        <f t="shared" ref="BI36:BQ36" si="12">COUNTIFS($M36:$AQ36,BI$2)</f>
        <v>26</v>
      </c>
      <c r="BJ36" s="43">
        <f t="shared" si="12"/>
        <v>0</v>
      </c>
      <c r="BK36" s="43">
        <f t="shared" si="12"/>
        <v>26</v>
      </c>
      <c r="BL36" s="43">
        <f t="shared" si="12"/>
        <v>26</v>
      </c>
      <c r="BM36" s="43">
        <f t="shared" si="12"/>
        <v>26</v>
      </c>
      <c r="BN36" s="43">
        <f t="shared" si="12"/>
        <v>0</v>
      </c>
      <c r="BO36" s="43">
        <f t="shared" si="12"/>
        <v>0</v>
      </c>
      <c r="BP36" s="43">
        <f t="shared" si="12"/>
        <v>0</v>
      </c>
      <c r="BQ36" s="43">
        <f t="shared" si="12"/>
        <v>26</v>
      </c>
    </row>
    <row r="37" spans="3:69" ht="20.100000000000001" customHeight="1">
      <c r="C37" s="539" t="str">
        <f ca="1">Lists!F3</f>
        <v>Marzec</v>
      </c>
      <c r="D37" s="540"/>
      <c r="E37" s="540"/>
      <c r="F37" s="540"/>
      <c r="G37" s="541"/>
    </row>
    <row r="38" spans="3:69" ht="20.100000000000001" customHeight="1" thickBot="1">
      <c r="C38" s="542"/>
      <c r="D38" s="543"/>
      <c r="E38" s="543"/>
      <c r="F38" s="543"/>
      <c r="G38" s="544"/>
    </row>
    <row r="39" spans="3:69" ht="20.100000000000001" hidden="1" customHeight="1">
      <c r="C39" s="31"/>
      <c r="D39" s="32"/>
      <c r="E39" s="32"/>
      <c r="F39" s="32"/>
      <c r="G39" s="32"/>
      <c r="M39" s="10">
        <f>IF(YK!H17=1,Schedules!M22+29,Schedules!M22+28)</f>
        <v>46082</v>
      </c>
      <c r="N39" s="10">
        <f>M39+1</f>
        <v>46083</v>
      </c>
      <c r="O39" s="10">
        <f t="shared" ref="O39:AQ39" si="13">N39+1</f>
        <v>46084</v>
      </c>
      <c r="P39" s="10">
        <f t="shared" si="13"/>
        <v>46085</v>
      </c>
      <c r="Q39" s="10">
        <f t="shared" si="13"/>
        <v>46086</v>
      </c>
      <c r="R39" s="10">
        <f t="shared" si="13"/>
        <v>46087</v>
      </c>
      <c r="S39" s="10">
        <f t="shared" si="13"/>
        <v>46088</v>
      </c>
      <c r="T39" s="10">
        <f t="shared" si="13"/>
        <v>46089</v>
      </c>
      <c r="U39" s="10">
        <f t="shared" si="13"/>
        <v>46090</v>
      </c>
      <c r="V39" s="10">
        <f t="shared" si="13"/>
        <v>46091</v>
      </c>
      <c r="W39" s="10">
        <f t="shared" si="13"/>
        <v>46092</v>
      </c>
      <c r="X39" s="10">
        <f t="shared" si="13"/>
        <v>46093</v>
      </c>
      <c r="Y39" s="10">
        <f t="shared" si="13"/>
        <v>46094</v>
      </c>
      <c r="Z39" s="10">
        <f t="shared" si="13"/>
        <v>46095</v>
      </c>
      <c r="AA39" s="10">
        <f t="shared" si="13"/>
        <v>46096</v>
      </c>
      <c r="AB39" s="10">
        <f t="shared" si="13"/>
        <v>46097</v>
      </c>
      <c r="AC39" s="10">
        <f t="shared" si="13"/>
        <v>46098</v>
      </c>
      <c r="AD39" s="10">
        <f t="shared" si="13"/>
        <v>46099</v>
      </c>
      <c r="AE39" s="10">
        <f t="shared" si="13"/>
        <v>46100</v>
      </c>
      <c r="AF39" s="10">
        <f t="shared" si="13"/>
        <v>46101</v>
      </c>
      <c r="AG39" s="10">
        <f t="shared" si="13"/>
        <v>46102</v>
      </c>
      <c r="AH39" s="10">
        <f t="shared" si="13"/>
        <v>46103</v>
      </c>
      <c r="AI39" s="10">
        <f t="shared" si="13"/>
        <v>46104</v>
      </c>
      <c r="AJ39" s="10">
        <f t="shared" si="13"/>
        <v>46105</v>
      </c>
      <c r="AK39" s="10">
        <f t="shared" si="13"/>
        <v>46106</v>
      </c>
      <c r="AL39" s="10">
        <f t="shared" si="13"/>
        <v>46107</v>
      </c>
      <c r="AM39" s="10">
        <f t="shared" si="13"/>
        <v>46108</v>
      </c>
      <c r="AN39" s="10">
        <f t="shared" si="13"/>
        <v>46109</v>
      </c>
      <c r="AO39" s="10">
        <f t="shared" si="13"/>
        <v>46110</v>
      </c>
      <c r="AP39" s="10">
        <f t="shared" si="13"/>
        <v>46111</v>
      </c>
      <c r="AQ39" s="10">
        <f t="shared" si="13"/>
        <v>46112</v>
      </c>
    </row>
    <row r="40" spans="3:69" ht="20.100000000000001" hidden="1" customHeight="1" thickBot="1">
      <c r="C40" s="31"/>
      <c r="D40" s="32"/>
      <c r="E40" s="32"/>
      <c r="F40" s="32"/>
      <c r="G40" s="32"/>
      <c r="M40">
        <f>WEEKDAY(M39,2)</f>
        <v>7</v>
      </c>
      <c r="N40">
        <f t="shared" ref="N40:AQ40" si="14">WEEKDAY(N39,2)</f>
        <v>1</v>
      </c>
      <c r="O40">
        <f t="shared" si="14"/>
        <v>2</v>
      </c>
      <c r="P40">
        <f t="shared" si="14"/>
        <v>3</v>
      </c>
      <c r="Q40">
        <f t="shared" si="14"/>
        <v>4</v>
      </c>
      <c r="R40">
        <f t="shared" si="14"/>
        <v>5</v>
      </c>
      <c r="S40">
        <f t="shared" si="14"/>
        <v>6</v>
      </c>
      <c r="T40">
        <f t="shared" si="14"/>
        <v>7</v>
      </c>
      <c r="U40">
        <f t="shared" si="14"/>
        <v>1</v>
      </c>
      <c r="V40">
        <f t="shared" si="14"/>
        <v>2</v>
      </c>
      <c r="W40">
        <f t="shared" si="14"/>
        <v>3</v>
      </c>
      <c r="X40">
        <f t="shared" si="14"/>
        <v>4</v>
      </c>
      <c r="Y40">
        <f t="shared" si="14"/>
        <v>5</v>
      </c>
      <c r="Z40">
        <f t="shared" si="14"/>
        <v>6</v>
      </c>
      <c r="AA40">
        <f t="shared" si="14"/>
        <v>7</v>
      </c>
      <c r="AB40">
        <f t="shared" si="14"/>
        <v>1</v>
      </c>
      <c r="AC40">
        <f t="shared" si="14"/>
        <v>2</v>
      </c>
      <c r="AD40">
        <f t="shared" si="14"/>
        <v>3</v>
      </c>
      <c r="AE40">
        <f t="shared" si="14"/>
        <v>4</v>
      </c>
      <c r="AF40">
        <f t="shared" si="14"/>
        <v>5</v>
      </c>
      <c r="AG40">
        <f t="shared" si="14"/>
        <v>6</v>
      </c>
      <c r="AH40">
        <f t="shared" si="14"/>
        <v>7</v>
      </c>
      <c r="AI40">
        <f t="shared" si="14"/>
        <v>1</v>
      </c>
      <c r="AJ40">
        <f t="shared" si="14"/>
        <v>2</v>
      </c>
      <c r="AK40">
        <f t="shared" si="14"/>
        <v>3</v>
      </c>
      <c r="AL40">
        <f t="shared" si="14"/>
        <v>4</v>
      </c>
      <c r="AM40">
        <f t="shared" si="14"/>
        <v>5</v>
      </c>
      <c r="AN40">
        <f t="shared" si="14"/>
        <v>6</v>
      </c>
      <c r="AO40">
        <f t="shared" si="14"/>
        <v>7</v>
      </c>
      <c r="AP40">
        <f t="shared" si="14"/>
        <v>1</v>
      </c>
      <c r="AQ40">
        <f t="shared" si="14"/>
        <v>2</v>
      </c>
    </row>
    <row r="41" spans="3:69" ht="20.100000000000001" customHeight="1">
      <c r="C41" s="433" t="str">
        <f ca="1">INDIRECT("T!"&amp;T!A1&amp;"33")</f>
        <v>Etat</v>
      </c>
      <c r="D41" s="434"/>
      <c r="E41" s="427" t="s">
        <v>6</v>
      </c>
      <c r="F41" s="428"/>
      <c r="G41" s="428"/>
      <c r="H41" s="428"/>
      <c r="I41" s="428"/>
      <c r="J41" s="421" t="str">
        <f ca="1">INDIRECT("T!"&amp;T!A1&amp;"34")</f>
        <v>Pozycja</v>
      </c>
      <c r="K41" s="421"/>
      <c r="L41" s="549"/>
      <c r="M41" s="28">
        <v>1</v>
      </c>
      <c r="N41" s="28">
        <v>2</v>
      </c>
      <c r="O41" s="28">
        <v>3</v>
      </c>
      <c r="P41" s="28">
        <v>4</v>
      </c>
      <c r="Q41" s="28">
        <v>5</v>
      </c>
      <c r="R41" s="28">
        <v>6</v>
      </c>
      <c r="S41" s="28">
        <v>7</v>
      </c>
      <c r="T41" s="28">
        <v>8</v>
      </c>
      <c r="U41" s="28">
        <v>9</v>
      </c>
      <c r="V41" s="28">
        <v>10</v>
      </c>
      <c r="W41" s="28">
        <v>11</v>
      </c>
      <c r="X41" s="28">
        <v>12</v>
      </c>
      <c r="Y41" s="28">
        <v>13</v>
      </c>
      <c r="Z41" s="28">
        <v>14</v>
      </c>
      <c r="AA41" s="28">
        <v>15</v>
      </c>
      <c r="AB41" s="28">
        <v>16</v>
      </c>
      <c r="AC41" s="28">
        <v>17</v>
      </c>
      <c r="AD41" s="28">
        <v>18</v>
      </c>
      <c r="AE41" s="28">
        <v>19</v>
      </c>
      <c r="AF41" s="28">
        <v>20</v>
      </c>
      <c r="AG41" s="28">
        <v>21</v>
      </c>
      <c r="AH41" s="28">
        <v>22</v>
      </c>
      <c r="AI41" s="28">
        <v>23</v>
      </c>
      <c r="AJ41" s="28">
        <v>24</v>
      </c>
      <c r="AK41" s="28">
        <v>25</v>
      </c>
      <c r="AL41" s="28">
        <v>26</v>
      </c>
      <c r="AM41" s="28">
        <v>27</v>
      </c>
      <c r="AN41" s="28">
        <v>28</v>
      </c>
      <c r="AO41" s="28">
        <v>29</v>
      </c>
      <c r="AP41" s="28">
        <v>30</v>
      </c>
      <c r="AQ41" s="28">
        <v>31</v>
      </c>
    </row>
    <row r="42" spans="3:69" ht="20.100000000000001" customHeight="1" thickBot="1">
      <c r="C42" s="545"/>
      <c r="D42" s="546"/>
      <c r="E42" s="547"/>
      <c r="F42" s="548"/>
      <c r="G42" s="548"/>
      <c r="H42" s="548"/>
      <c r="I42" s="548"/>
      <c r="J42" s="424"/>
      <c r="K42" s="424"/>
      <c r="L42" s="550"/>
      <c r="M42" s="29" t="str">
        <f ca="1">IF(M40=1,INDIRECT("T!"&amp;T!$A$1&amp;"26"),IF(M40=2,INDIRECT("T!"&amp;T!$A$1&amp;"27"),IF(M40=3,INDIRECT("T!"&amp;T!$A$1&amp;"28"),IF(M40=4,INDIRECT("T!"&amp;T!$A$1&amp;"29"),IF(M40=5,INDIRECT("T!"&amp;T!$A$1&amp;"30"),IF(M40=6,INDIRECT("T!"&amp;T!$A$1&amp;"31"),IF(M40=7,INDIRECT("T!"&amp;T!$A$1&amp;"32"),0)))))))</f>
        <v>Nd</v>
      </c>
      <c r="N42" s="29" t="str">
        <f ca="1">IF(N40=1,INDIRECT("T!"&amp;T!$A$1&amp;"26"),IF(N40=2,INDIRECT("T!"&amp;T!$A$1&amp;"27"),IF(N40=3,INDIRECT("T!"&amp;T!$A$1&amp;"28"),IF(N40=4,INDIRECT("T!"&amp;T!$A$1&amp;"29"),IF(N40=5,INDIRECT("T!"&amp;T!$A$1&amp;"30"),IF(N40=6,INDIRECT("T!"&amp;T!$A$1&amp;"31"),IF(N40=7,INDIRECT("T!"&amp;T!$A$1&amp;"32"),0)))))))</f>
        <v>Pn</v>
      </c>
      <c r="O42" s="29" t="str">
        <f ca="1">IF(O40=1,INDIRECT("T!"&amp;T!$A$1&amp;"26"),IF(O40=2,INDIRECT("T!"&amp;T!$A$1&amp;"27"),IF(O40=3,INDIRECT("T!"&amp;T!$A$1&amp;"28"),IF(O40=4,INDIRECT("T!"&amp;T!$A$1&amp;"29"),IF(O40=5,INDIRECT("T!"&amp;T!$A$1&amp;"30"),IF(O40=6,INDIRECT("T!"&amp;T!$A$1&amp;"31"),IF(O40=7,INDIRECT("T!"&amp;T!$A$1&amp;"32"),0)))))))</f>
        <v>Wt</v>
      </c>
      <c r="P42" s="29" t="str">
        <f ca="1">IF(P40=1,INDIRECT("T!"&amp;T!$A$1&amp;"26"),IF(P40=2,INDIRECT("T!"&amp;T!$A$1&amp;"27"),IF(P40=3,INDIRECT("T!"&amp;T!$A$1&amp;"28"),IF(P40=4,INDIRECT("T!"&amp;T!$A$1&amp;"29"),IF(P40=5,INDIRECT("T!"&amp;T!$A$1&amp;"30"),IF(P40=6,INDIRECT("T!"&amp;T!$A$1&amp;"31"),IF(P40=7,INDIRECT("T!"&amp;T!$A$1&amp;"32"),0)))))))</f>
        <v>Śr</v>
      </c>
      <c r="Q42" s="29" t="str">
        <f ca="1">IF(Q40=1,INDIRECT("T!"&amp;T!$A$1&amp;"26"),IF(Q40=2,INDIRECT("T!"&amp;T!$A$1&amp;"27"),IF(Q40=3,INDIRECT("T!"&amp;T!$A$1&amp;"28"),IF(Q40=4,INDIRECT("T!"&amp;T!$A$1&amp;"29"),IF(Q40=5,INDIRECT("T!"&amp;T!$A$1&amp;"30"),IF(Q40=6,INDIRECT("T!"&amp;T!$A$1&amp;"31"),IF(Q40=7,INDIRECT("T!"&amp;T!$A$1&amp;"32"),0)))))))</f>
        <v>Cz</v>
      </c>
      <c r="R42" s="29" t="str">
        <f ca="1">IF(R40=1,INDIRECT("T!"&amp;T!$A$1&amp;"26"),IF(R40=2,INDIRECT("T!"&amp;T!$A$1&amp;"27"),IF(R40=3,INDIRECT("T!"&amp;T!$A$1&amp;"28"),IF(R40=4,INDIRECT("T!"&amp;T!$A$1&amp;"29"),IF(R40=5,INDIRECT("T!"&amp;T!$A$1&amp;"30"),IF(R40=6,INDIRECT("T!"&amp;T!$A$1&amp;"31"),IF(R40=7,INDIRECT("T!"&amp;T!$A$1&amp;"32"),0)))))))</f>
        <v>Pt</v>
      </c>
      <c r="S42" s="29" t="str">
        <f ca="1">IF(S40=1,INDIRECT("T!"&amp;T!$A$1&amp;"26"),IF(S40=2,INDIRECT("T!"&amp;T!$A$1&amp;"27"),IF(S40=3,INDIRECT("T!"&amp;T!$A$1&amp;"28"),IF(S40=4,INDIRECT("T!"&amp;T!$A$1&amp;"29"),IF(S40=5,INDIRECT("T!"&amp;T!$A$1&amp;"30"),IF(S40=6,INDIRECT("T!"&amp;T!$A$1&amp;"31"),IF(S40=7,INDIRECT("T!"&amp;T!$A$1&amp;"32"),0)))))))</f>
        <v>So</v>
      </c>
      <c r="T42" s="29" t="str">
        <f ca="1">IF(T40=1,INDIRECT("T!"&amp;T!$A$1&amp;"26"),IF(T40=2,INDIRECT("T!"&amp;T!$A$1&amp;"27"),IF(T40=3,INDIRECT("T!"&amp;T!$A$1&amp;"28"),IF(T40=4,INDIRECT("T!"&amp;T!$A$1&amp;"29"),IF(T40=5,INDIRECT("T!"&amp;T!$A$1&amp;"30"),IF(T40=6,INDIRECT("T!"&amp;T!$A$1&amp;"31"),IF(T40=7,INDIRECT("T!"&amp;T!$A$1&amp;"32"),0)))))))</f>
        <v>Nd</v>
      </c>
      <c r="U42" s="29" t="str">
        <f ca="1">IF(U40=1,INDIRECT("T!"&amp;T!$A$1&amp;"26"),IF(U40=2,INDIRECT("T!"&amp;T!$A$1&amp;"27"),IF(U40=3,INDIRECT("T!"&amp;T!$A$1&amp;"28"),IF(U40=4,INDIRECT("T!"&amp;T!$A$1&amp;"29"),IF(U40=5,INDIRECT("T!"&amp;T!$A$1&amp;"30"),IF(U40=6,INDIRECT("T!"&amp;T!$A$1&amp;"31"),IF(U40=7,INDIRECT("T!"&amp;T!$A$1&amp;"32"),0)))))))</f>
        <v>Pn</v>
      </c>
      <c r="V42" s="29" t="str">
        <f ca="1">IF(V40=1,INDIRECT("T!"&amp;T!$A$1&amp;"26"),IF(V40=2,INDIRECT("T!"&amp;T!$A$1&amp;"27"),IF(V40=3,INDIRECT("T!"&amp;T!$A$1&amp;"28"),IF(V40=4,INDIRECT("T!"&amp;T!$A$1&amp;"29"),IF(V40=5,INDIRECT("T!"&amp;T!$A$1&amp;"30"),IF(V40=6,INDIRECT("T!"&amp;T!$A$1&amp;"31"),IF(V40=7,INDIRECT("T!"&amp;T!$A$1&amp;"32"),0)))))))</f>
        <v>Wt</v>
      </c>
      <c r="W42" s="29" t="str">
        <f ca="1">IF(W40=1,INDIRECT("T!"&amp;T!$A$1&amp;"26"),IF(W40=2,INDIRECT("T!"&amp;T!$A$1&amp;"27"),IF(W40=3,INDIRECT("T!"&amp;T!$A$1&amp;"28"),IF(W40=4,INDIRECT("T!"&amp;T!$A$1&amp;"29"),IF(W40=5,INDIRECT("T!"&amp;T!$A$1&amp;"30"),IF(W40=6,INDIRECT("T!"&amp;T!$A$1&amp;"31"),IF(W40=7,INDIRECT("T!"&amp;T!$A$1&amp;"32"),0)))))))</f>
        <v>Śr</v>
      </c>
      <c r="X42" s="29" t="str">
        <f ca="1">IF(X40=1,INDIRECT("T!"&amp;T!$A$1&amp;"26"),IF(X40=2,INDIRECT("T!"&amp;T!$A$1&amp;"27"),IF(X40=3,INDIRECT("T!"&amp;T!$A$1&amp;"28"),IF(X40=4,INDIRECT("T!"&amp;T!$A$1&amp;"29"),IF(X40=5,INDIRECT("T!"&amp;T!$A$1&amp;"30"),IF(X40=6,INDIRECT("T!"&amp;T!$A$1&amp;"31"),IF(X40=7,INDIRECT("T!"&amp;T!$A$1&amp;"32"),0)))))))</f>
        <v>Cz</v>
      </c>
      <c r="Y42" s="29" t="str">
        <f ca="1">IF(Y40=1,INDIRECT("T!"&amp;T!$A$1&amp;"26"),IF(Y40=2,INDIRECT("T!"&amp;T!$A$1&amp;"27"),IF(Y40=3,INDIRECT("T!"&amp;T!$A$1&amp;"28"),IF(Y40=4,INDIRECT("T!"&amp;T!$A$1&amp;"29"),IF(Y40=5,INDIRECT("T!"&amp;T!$A$1&amp;"30"),IF(Y40=6,INDIRECT("T!"&amp;T!$A$1&amp;"31"),IF(Y40=7,INDIRECT("T!"&amp;T!$A$1&amp;"32"),0)))))))</f>
        <v>Pt</v>
      </c>
      <c r="Z42" s="29" t="str">
        <f ca="1">IF(Z40=1,INDIRECT("T!"&amp;T!$A$1&amp;"26"),IF(Z40=2,INDIRECT("T!"&amp;T!$A$1&amp;"27"),IF(Z40=3,INDIRECT("T!"&amp;T!$A$1&amp;"28"),IF(Z40=4,INDIRECT("T!"&amp;T!$A$1&amp;"29"),IF(Z40=5,INDIRECT("T!"&amp;T!$A$1&amp;"30"),IF(Z40=6,INDIRECT("T!"&amp;T!$A$1&amp;"31"),IF(Z40=7,INDIRECT("T!"&amp;T!$A$1&amp;"32"),0)))))))</f>
        <v>So</v>
      </c>
      <c r="AA42" s="29" t="str">
        <f ca="1">IF(AA40=1,INDIRECT("T!"&amp;T!$A$1&amp;"26"),IF(AA40=2,INDIRECT("T!"&amp;T!$A$1&amp;"27"),IF(AA40=3,INDIRECT("T!"&amp;T!$A$1&amp;"28"),IF(AA40=4,INDIRECT("T!"&amp;T!$A$1&amp;"29"),IF(AA40=5,INDIRECT("T!"&amp;T!$A$1&amp;"30"),IF(AA40=6,INDIRECT("T!"&amp;T!$A$1&amp;"31"),IF(AA40=7,INDIRECT("T!"&amp;T!$A$1&amp;"32"),0)))))))</f>
        <v>Nd</v>
      </c>
      <c r="AB42" s="29" t="str">
        <f ca="1">IF(AB40=1,INDIRECT("T!"&amp;T!$A$1&amp;"26"),IF(AB40=2,INDIRECT("T!"&amp;T!$A$1&amp;"27"),IF(AB40=3,INDIRECT("T!"&amp;T!$A$1&amp;"28"),IF(AB40=4,INDIRECT("T!"&amp;T!$A$1&amp;"29"),IF(AB40=5,INDIRECT("T!"&amp;T!$A$1&amp;"30"),IF(AB40=6,INDIRECT("T!"&amp;T!$A$1&amp;"31"),IF(AB40=7,INDIRECT("T!"&amp;T!$A$1&amp;"32"),0)))))))</f>
        <v>Pn</v>
      </c>
      <c r="AC42" s="29" t="str">
        <f ca="1">IF(AC40=1,INDIRECT("T!"&amp;T!$A$1&amp;"26"),IF(AC40=2,INDIRECT("T!"&amp;T!$A$1&amp;"27"),IF(AC40=3,INDIRECT("T!"&amp;T!$A$1&amp;"28"),IF(AC40=4,INDIRECT("T!"&amp;T!$A$1&amp;"29"),IF(AC40=5,INDIRECT("T!"&amp;T!$A$1&amp;"30"),IF(AC40=6,INDIRECT("T!"&amp;T!$A$1&amp;"31"),IF(AC40=7,INDIRECT("T!"&amp;T!$A$1&amp;"32"),0)))))))</f>
        <v>Wt</v>
      </c>
      <c r="AD42" s="29" t="str">
        <f ca="1">IF(AD40=1,INDIRECT("T!"&amp;T!$A$1&amp;"26"),IF(AD40=2,INDIRECT("T!"&amp;T!$A$1&amp;"27"),IF(AD40=3,INDIRECT("T!"&amp;T!$A$1&amp;"28"),IF(AD40=4,INDIRECT("T!"&amp;T!$A$1&amp;"29"),IF(AD40=5,INDIRECT("T!"&amp;T!$A$1&amp;"30"),IF(AD40=6,INDIRECT("T!"&amp;T!$A$1&amp;"31"),IF(AD40=7,INDIRECT("T!"&amp;T!$A$1&amp;"32"),0)))))))</f>
        <v>Śr</v>
      </c>
      <c r="AE42" s="29" t="str">
        <f ca="1">IF(AE40=1,INDIRECT("T!"&amp;T!$A$1&amp;"26"),IF(AE40=2,INDIRECT("T!"&amp;T!$A$1&amp;"27"),IF(AE40=3,INDIRECT("T!"&amp;T!$A$1&amp;"28"),IF(AE40=4,INDIRECT("T!"&amp;T!$A$1&amp;"29"),IF(AE40=5,INDIRECT("T!"&amp;T!$A$1&amp;"30"),IF(AE40=6,INDIRECT("T!"&amp;T!$A$1&amp;"31"),IF(AE40=7,INDIRECT("T!"&amp;T!$A$1&amp;"32"),0)))))))</f>
        <v>Cz</v>
      </c>
      <c r="AF42" s="29" t="str">
        <f ca="1">IF(AF40=1,INDIRECT("T!"&amp;T!$A$1&amp;"26"),IF(AF40=2,INDIRECT("T!"&amp;T!$A$1&amp;"27"),IF(AF40=3,INDIRECT("T!"&amp;T!$A$1&amp;"28"),IF(AF40=4,INDIRECT("T!"&amp;T!$A$1&amp;"29"),IF(AF40=5,INDIRECT("T!"&amp;T!$A$1&amp;"30"),IF(AF40=6,INDIRECT("T!"&amp;T!$A$1&amp;"31"),IF(AF40=7,INDIRECT("T!"&amp;T!$A$1&amp;"32"),0)))))))</f>
        <v>Pt</v>
      </c>
      <c r="AG42" s="29" t="str">
        <f ca="1">IF(AG40=1,INDIRECT("T!"&amp;T!$A$1&amp;"26"),IF(AG40=2,INDIRECT("T!"&amp;T!$A$1&amp;"27"),IF(AG40=3,INDIRECT("T!"&amp;T!$A$1&amp;"28"),IF(AG40=4,INDIRECT("T!"&amp;T!$A$1&amp;"29"),IF(AG40=5,INDIRECT("T!"&amp;T!$A$1&amp;"30"),IF(AG40=6,INDIRECT("T!"&amp;T!$A$1&amp;"31"),IF(AG40=7,INDIRECT("T!"&amp;T!$A$1&amp;"32"),0)))))))</f>
        <v>So</v>
      </c>
      <c r="AH42" s="29" t="str">
        <f ca="1">IF(AH40=1,INDIRECT("T!"&amp;T!$A$1&amp;"26"),IF(AH40=2,INDIRECT("T!"&amp;T!$A$1&amp;"27"),IF(AH40=3,INDIRECT("T!"&amp;T!$A$1&amp;"28"),IF(AH40=4,INDIRECT("T!"&amp;T!$A$1&amp;"29"),IF(AH40=5,INDIRECT("T!"&amp;T!$A$1&amp;"30"),IF(AH40=6,INDIRECT("T!"&amp;T!$A$1&amp;"31"),IF(AH40=7,INDIRECT("T!"&amp;T!$A$1&amp;"32"),0)))))))</f>
        <v>Nd</v>
      </c>
      <c r="AI42" s="29" t="str">
        <f ca="1">IF(AI40=1,INDIRECT("T!"&amp;T!$A$1&amp;"26"),IF(AI40=2,INDIRECT("T!"&amp;T!$A$1&amp;"27"),IF(AI40=3,INDIRECT("T!"&amp;T!$A$1&amp;"28"),IF(AI40=4,INDIRECT("T!"&amp;T!$A$1&amp;"29"),IF(AI40=5,INDIRECT("T!"&amp;T!$A$1&amp;"30"),IF(AI40=6,INDIRECT("T!"&amp;T!$A$1&amp;"31"),IF(AI40=7,INDIRECT("T!"&amp;T!$A$1&amp;"32"),0)))))))</f>
        <v>Pn</v>
      </c>
      <c r="AJ42" s="29" t="str">
        <f ca="1">IF(AJ40=1,INDIRECT("T!"&amp;T!$A$1&amp;"26"),IF(AJ40=2,INDIRECT("T!"&amp;T!$A$1&amp;"27"),IF(AJ40=3,INDIRECT("T!"&amp;T!$A$1&amp;"28"),IF(AJ40=4,INDIRECT("T!"&amp;T!$A$1&amp;"29"),IF(AJ40=5,INDIRECT("T!"&amp;T!$A$1&amp;"30"),IF(AJ40=6,INDIRECT("T!"&amp;T!$A$1&amp;"31"),IF(AJ40=7,INDIRECT("T!"&amp;T!$A$1&amp;"32"),0)))))))</f>
        <v>Wt</v>
      </c>
      <c r="AK42" s="29" t="str">
        <f ca="1">IF(AK40=1,INDIRECT("T!"&amp;T!$A$1&amp;"26"),IF(AK40=2,INDIRECT("T!"&amp;T!$A$1&amp;"27"),IF(AK40=3,INDIRECT("T!"&amp;T!$A$1&amp;"28"),IF(AK40=4,INDIRECT("T!"&amp;T!$A$1&amp;"29"),IF(AK40=5,INDIRECT("T!"&amp;T!$A$1&amp;"30"),IF(AK40=6,INDIRECT("T!"&amp;T!$A$1&amp;"31"),IF(AK40=7,INDIRECT("T!"&amp;T!$A$1&amp;"32"),0)))))))</f>
        <v>Śr</v>
      </c>
      <c r="AL42" s="29" t="str">
        <f ca="1">IF(AL40=1,INDIRECT("T!"&amp;T!$A$1&amp;"26"),IF(AL40=2,INDIRECT("T!"&amp;T!$A$1&amp;"27"),IF(AL40=3,INDIRECT("T!"&amp;T!$A$1&amp;"28"),IF(AL40=4,INDIRECT("T!"&amp;T!$A$1&amp;"29"),IF(AL40=5,INDIRECT("T!"&amp;T!$A$1&amp;"30"),IF(AL40=6,INDIRECT("T!"&amp;T!$A$1&amp;"31"),IF(AL40=7,INDIRECT("T!"&amp;T!$A$1&amp;"32"),0)))))))</f>
        <v>Cz</v>
      </c>
      <c r="AM42" s="29" t="str">
        <f ca="1">IF(AM40=1,INDIRECT("T!"&amp;T!$A$1&amp;"26"),IF(AM40=2,INDIRECT("T!"&amp;T!$A$1&amp;"27"),IF(AM40=3,INDIRECT("T!"&amp;T!$A$1&amp;"28"),IF(AM40=4,INDIRECT("T!"&amp;T!$A$1&amp;"29"),IF(AM40=5,INDIRECT("T!"&amp;T!$A$1&amp;"30"),IF(AM40=6,INDIRECT("T!"&amp;T!$A$1&amp;"31"),IF(AM40=7,INDIRECT("T!"&amp;T!$A$1&amp;"32"),0)))))))</f>
        <v>Pt</v>
      </c>
      <c r="AN42" s="29" t="str">
        <f ca="1">IF(AN40=1,INDIRECT("T!"&amp;T!$A$1&amp;"26"),IF(AN40=2,INDIRECT("T!"&amp;T!$A$1&amp;"27"),IF(AN40=3,INDIRECT("T!"&amp;T!$A$1&amp;"28"),IF(AN40=4,INDIRECT("T!"&amp;T!$A$1&amp;"29"),IF(AN40=5,INDIRECT("T!"&amp;T!$A$1&amp;"30"),IF(AN40=6,INDIRECT("T!"&amp;T!$A$1&amp;"31"),IF(AN40=7,INDIRECT("T!"&amp;T!$A$1&amp;"32"),0)))))))</f>
        <v>So</v>
      </c>
      <c r="AO42" s="29" t="str">
        <f ca="1">IF(AO40=1,INDIRECT("T!"&amp;T!$A$1&amp;"26"),IF(AO40=2,INDIRECT("T!"&amp;T!$A$1&amp;"27"),IF(AO40=3,INDIRECT("T!"&amp;T!$A$1&amp;"28"),IF(AO40=4,INDIRECT("T!"&amp;T!$A$1&amp;"29"),IF(AO40=5,INDIRECT("T!"&amp;T!$A$1&amp;"30"),IF(AO40=6,INDIRECT("T!"&amp;T!$A$1&amp;"31"),IF(AO40=7,INDIRECT("T!"&amp;T!$A$1&amp;"32"),0)))))))</f>
        <v>Nd</v>
      </c>
      <c r="AP42" s="29" t="str">
        <f ca="1">IF(AP40=1,INDIRECT("T!"&amp;T!$A$1&amp;"26"),IF(AP40=2,INDIRECT("T!"&amp;T!$A$1&amp;"27"),IF(AP40=3,INDIRECT("T!"&amp;T!$A$1&amp;"28"),IF(AP40=4,INDIRECT("T!"&amp;T!$A$1&amp;"29"),IF(AP40=5,INDIRECT("T!"&amp;T!$A$1&amp;"30"),IF(AP40=6,INDIRECT("T!"&amp;T!$A$1&amp;"31"),IF(AP40=7,INDIRECT("T!"&amp;T!$A$1&amp;"32"),0)))))))</f>
        <v>Pn</v>
      </c>
      <c r="AQ42" s="29" t="str">
        <f ca="1">IF(AQ40=1,INDIRECT("T!"&amp;T!$A$1&amp;"26"),IF(AQ40=2,INDIRECT("T!"&amp;T!$A$1&amp;"27"),IF(AQ40=3,INDIRECT("T!"&amp;T!$A$1&amp;"28"),IF(AQ40=4,INDIRECT("T!"&amp;T!$A$1&amp;"29"),IF(AQ40=5,INDIRECT("T!"&amp;T!$A$1&amp;"30"),IF(AQ40=6,INDIRECT("T!"&amp;T!$A$1&amp;"31"),IF(AQ40=7,INDIRECT("T!"&amp;T!$A$1&amp;"32"),0)))))))</f>
        <v>Wt</v>
      </c>
    </row>
    <row r="43" spans="3:69" ht="20.100000000000001" customHeight="1">
      <c r="C43" s="591" t="s">
        <v>7</v>
      </c>
      <c r="D43" s="592"/>
      <c r="E43" s="603" t="s">
        <v>8</v>
      </c>
      <c r="F43" s="604"/>
      <c r="G43" s="604"/>
      <c r="H43" s="604"/>
      <c r="I43" s="604"/>
      <c r="J43" s="605" t="s">
        <v>9</v>
      </c>
      <c r="K43" s="605"/>
      <c r="L43" s="606"/>
      <c r="M43" s="35" t="s">
        <v>11</v>
      </c>
      <c r="N43" s="252" t="s">
        <v>11</v>
      </c>
      <c r="O43" s="252" t="s">
        <v>11</v>
      </c>
      <c r="P43" s="252" t="s">
        <v>11</v>
      </c>
      <c r="Q43" s="252" t="s">
        <v>11</v>
      </c>
      <c r="R43" s="252" t="s">
        <v>11</v>
      </c>
      <c r="S43" s="38" t="s">
        <v>11</v>
      </c>
      <c r="T43" s="38" t="s">
        <v>20</v>
      </c>
      <c r="U43" s="252" t="s">
        <v>11</v>
      </c>
      <c r="V43" s="38" t="s">
        <v>11</v>
      </c>
      <c r="W43" s="252" t="s">
        <v>11</v>
      </c>
      <c r="X43" s="252" t="s">
        <v>11</v>
      </c>
      <c r="Y43" s="252" t="s">
        <v>10</v>
      </c>
      <c r="Z43" s="38" t="s">
        <v>10</v>
      </c>
      <c r="AA43" s="38" t="s">
        <v>23</v>
      </c>
      <c r="AB43" s="252" t="s">
        <v>11</v>
      </c>
      <c r="AC43" s="252" t="s">
        <v>11</v>
      </c>
      <c r="AD43" s="252" t="s">
        <v>11</v>
      </c>
      <c r="AE43" s="252" t="s">
        <v>11</v>
      </c>
      <c r="AF43" s="38" t="s">
        <v>10</v>
      </c>
      <c r="AG43" s="38" t="s">
        <v>10</v>
      </c>
      <c r="AH43" s="38" t="s">
        <v>10</v>
      </c>
      <c r="AI43" s="252" t="s">
        <v>11</v>
      </c>
      <c r="AJ43" s="252" t="s">
        <v>11</v>
      </c>
      <c r="AK43" s="252" t="s">
        <v>17</v>
      </c>
      <c r="AL43" s="252" t="s">
        <v>17</v>
      </c>
      <c r="AM43" s="252" t="s">
        <v>17</v>
      </c>
      <c r="AN43" s="38" t="s">
        <v>16</v>
      </c>
      <c r="AO43" s="38" t="s">
        <v>10</v>
      </c>
      <c r="AP43" s="252" t="s">
        <v>11</v>
      </c>
      <c r="AQ43" s="180" t="s">
        <v>11</v>
      </c>
      <c r="AS43" s="43">
        <f t="shared" si="11"/>
        <v>1</v>
      </c>
      <c r="AT43" s="43">
        <f t="shared" si="11"/>
        <v>0</v>
      </c>
      <c r="AU43" s="43">
        <f t="shared" si="11"/>
        <v>1</v>
      </c>
      <c r="AV43" s="43">
        <f t="shared" si="11"/>
        <v>0</v>
      </c>
      <c r="AW43" s="43">
        <f t="shared" si="11"/>
        <v>1</v>
      </c>
      <c r="AX43" s="43">
        <f t="shared" si="11"/>
        <v>0</v>
      </c>
      <c r="AY43" s="43">
        <f t="shared" si="11"/>
        <v>0</v>
      </c>
      <c r="AZ43" s="43">
        <f t="shared" si="11"/>
        <v>0</v>
      </c>
      <c r="BA43" s="43">
        <f t="shared" si="11"/>
        <v>0</v>
      </c>
      <c r="BB43" s="43">
        <f t="shared" si="11"/>
        <v>0</v>
      </c>
      <c r="BC43" s="43">
        <f t="shared" si="11"/>
        <v>0</v>
      </c>
      <c r="BD43" s="43">
        <f t="shared" si="11"/>
        <v>0</v>
      </c>
      <c r="BE43" s="43">
        <f t="shared" si="11"/>
        <v>0</v>
      </c>
      <c r="BF43" s="43">
        <f t="shared" si="11"/>
        <v>0</v>
      </c>
      <c r="BG43" s="43">
        <f t="shared" si="11"/>
        <v>0</v>
      </c>
      <c r="BH43" s="43">
        <f t="shared" si="11"/>
        <v>0</v>
      </c>
      <c r="BI43" s="43">
        <f t="shared" ref="BI43:BQ50" si="15">COUNTIFS($M43:$AQ43,BI$2)</f>
        <v>0</v>
      </c>
      <c r="BJ43" s="43">
        <f t="shared" si="15"/>
        <v>3</v>
      </c>
      <c r="BK43" s="43">
        <f t="shared" si="15"/>
        <v>0</v>
      </c>
      <c r="BL43" s="43">
        <f t="shared" si="15"/>
        <v>0</v>
      </c>
      <c r="BM43" s="43">
        <f t="shared" si="15"/>
        <v>0</v>
      </c>
      <c r="BN43" s="43">
        <f t="shared" si="15"/>
        <v>6</v>
      </c>
      <c r="BO43" s="43">
        <f t="shared" si="15"/>
        <v>3</v>
      </c>
      <c r="BP43" s="43">
        <f t="shared" si="15"/>
        <v>0</v>
      </c>
      <c r="BQ43" s="43">
        <f t="shared" si="15"/>
        <v>0</v>
      </c>
    </row>
    <row r="44" spans="3:69" ht="20.100000000000001" customHeight="1">
      <c r="C44" s="591" t="s">
        <v>7</v>
      </c>
      <c r="D44" s="592"/>
      <c r="E44" s="593" t="s">
        <v>21</v>
      </c>
      <c r="F44" s="594"/>
      <c r="G44" s="594"/>
      <c r="H44" s="594"/>
      <c r="I44" s="594"/>
      <c r="J44" s="595" t="s">
        <v>22</v>
      </c>
      <c r="K44" s="595"/>
      <c r="L44" s="596"/>
      <c r="M44" s="36" t="s">
        <v>10</v>
      </c>
      <c r="N44" s="251" t="s">
        <v>16</v>
      </c>
      <c r="O44" s="251" t="s">
        <v>14</v>
      </c>
      <c r="P44" s="251" t="s">
        <v>20</v>
      </c>
      <c r="Q44" s="251" t="s">
        <v>24</v>
      </c>
      <c r="R44" s="251" t="s">
        <v>24</v>
      </c>
      <c r="S44" s="39" t="s">
        <v>10</v>
      </c>
      <c r="T44" s="39" t="s">
        <v>24</v>
      </c>
      <c r="U44" s="251" t="s">
        <v>11</v>
      </c>
      <c r="V44" s="39" t="s">
        <v>14</v>
      </c>
      <c r="W44" s="251" t="s">
        <v>10</v>
      </c>
      <c r="X44" s="251" t="s">
        <v>20</v>
      </c>
      <c r="Y44" s="251" t="s">
        <v>16</v>
      </c>
      <c r="Z44" s="39" t="s">
        <v>10</v>
      </c>
      <c r="AA44" s="39" t="s">
        <v>10</v>
      </c>
      <c r="AB44" s="251" t="s">
        <v>14</v>
      </c>
      <c r="AC44" s="251" t="s">
        <v>108</v>
      </c>
      <c r="AD44" s="251" t="s">
        <v>24</v>
      </c>
      <c r="AE44" s="251" t="s">
        <v>10</v>
      </c>
      <c r="AF44" s="39" t="s">
        <v>14</v>
      </c>
      <c r="AG44" s="39" t="s">
        <v>24</v>
      </c>
      <c r="AH44" s="39" t="s">
        <v>14</v>
      </c>
      <c r="AI44" s="251" t="s">
        <v>14</v>
      </c>
      <c r="AJ44" s="251" t="s">
        <v>10</v>
      </c>
      <c r="AK44" s="251" t="s">
        <v>11</v>
      </c>
      <c r="AL44" s="251" t="s">
        <v>16</v>
      </c>
      <c r="AM44" s="251" t="s">
        <v>16</v>
      </c>
      <c r="AN44" s="39" t="s">
        <v>10</v>
      </c>
      <c r="AO44" s="39" t="s">
        <v>10</v>
      </c>
      <c r="AP44" s="251" t="s">
        <v>16</v>
      </c>
      <c r="AQ44" s="181" t="s">
        <v>11</v>
      </c>
      <c r="AS44" s="43">
        <f t="shared" si="11"/>
        <v>5</v>
      </c>
      <c r="AT44" s="43">
        <f t="shared" si="11"/>
        <v>6</v>
      </c>
      <c r="AU44" s="43">
        <f t="shared" si="11"/>
        <v>0</v>
      </c>
      <c r="AV44" s="43">
        <f t="shared" si="11"/>
        <v>0</v>
      </c>
      <c r="AW44" s="43">
        <f t="shared" si="11"/>
        <v>2</v>
      </c>
      <c r="AX44" s="43">
        <f t="shared" si="11"/>
        <v>5</v>
      </c>
      <c r="AY44" s="43">
        <f t="shared" si="11"/>
        <v>1</v>
      </c>
      <c r="AZ44" s="43">
        <f t="shared" si="11"/>
        <v>0</v>
      </c>
      <c r="BA44" s="43">
        <f t="shared" si="11"/>
        <v>0</v>
      </c>
      <c r="BB44" s="43">
        <f t="shared" si="11"/>
        <v>0</v>
      </c>
      <c r="BC44" s="43">
        <f t="shared" si="11"/>
        <v>0</v>
      </c>
      <c r="BD44" s="43">
        <f t="shared" si="11"/>
        <v>0</v>
      </c>
      <c r="BE44" s="43">
        <f t="shared" si="11"/>
        <v>0</v>
      </c>
      <c r="BF44" s="43">
        <f t="shared" si="11"/>
        <v>0</v>
      </c>
      <c r="BG44" s="43">
        <f t="shared" si="11"/>
        <v>0</v>
      </c>
      <c r="BH44" s="43">
        <f t="shared" si="11"/>
        <v>0</v>
      </c>
      <c r="BI44" s="43">
        <f t="shared" si="15"/>
        <v>0</v>
      </c>
      <c r="BJ44" s="43">
        <f t="shared" si="15"/>
        <v>0</v>
      </c>
      <c r="BK44" s="43">
        <f t="shared" si="15"/>
        <v>0</v>
      </c>
      <c r="BL44" s="43">
        <f t="shared" si="15"/>
        <v>0</v>
      </c>
      <c r="BM44" s="43">
        <f t="shared" si="15"/>
        <v>0</v>
      </c>
      <c r="BN44" s="43">
        <f t="shared" si="15"/>
        <v>9</v>
      </c>
      <c r="BO44" s="43">
        <f t="shared" si="15"/>
        <v>0</v>
      </c>
      <c r="BP44" s="43">
        <f t="shared" si="15"/>
        <v>0</v>
      </c>
      <c r="BQ44" s="43">
        <f t="shared" si="15"/>
        <v>0</v>
      </c>
    </row>
    <row r="45" spans="3:69" ht="20.100000000000001" customHeight="1">
      <c r="C45" s="591">
        <v>0.75</v>
      </c>
      <c r="D45" s="592"/>
      <c r="E45" s="593" t="s">
        <v>25</v>
      </c>
      <c r="F45" s="594"/>
      <c r="G45" s="594"/>
      <c r="H45" s="594"/>
      <c r="I45" s="594"/>
      <c r="J45" s="595" t="s">
        <v>22</v>
      </c>
      <c r="K45" s="595"/>
      <c r="L45" s="596"/>
      <c r="M45" s="36" t="s">
        <v>11</v>
      </c>
      <c r="N45" s="251" t="s">
        <v>14</v>
      </c>
      <c r="O45" s="251" t="s">
        <v>10</v>
      </c>
      <c r="P45" s="251" t="s">
        <v>29</v>
      </c>
      <c r="Q45" s="251" t="s">
        <v>29</v>
      </c>
      <c r="R45" s="251" t="s">
        <v>29</v>
      </c>
      <c r="S45" s="39" t="s">
        <v>10</v>
      </c>
      <c r="T45" s="39" t="s">
        <v>10</v>
      </c>
      <c r="U45" s="251" t="s">
        <v>11</v>
      </c>
      <c r="V45" s="39" t="s">
        <v>16</v>
      </c>
      <c r="W45" s="251" t="s">
        <v>24</v>
      </c>
      <c r="X45" s="251" t="s">
        <v>14</v>
      </c>
      <c r="Y45" s="251" t="s">
        <v>10</v>
      </c>
      <c r="Z45" s="39" t="s">
        <v>10</v>
      </c>
      <c r="AA45" s="39" t="s">
        <v>20</v>
      </c>
      <c r="AB45" s="251" t="s">
        <v>10</v>
      </c>
      <c r="AC45" s="251" t="s">
        <v>10</v>
      </c>
      <c r="AD45" s="251" t="s">
        <v>14</v>
      </c>
      <c r="AE45" s="251" t="s">
        <v>14</v>
      </c>
      <c r="AF45" s="39" t="s">
        <v>10</v>
      </c>
      <c r="AG45" s="39" t="s">
        <v>10</v>
      </c>
      <c r="AH45" s="39" t="s">
        <v>10</v>
      </c>
      <c r="AI45" s="251" t="s">
        <v>20</v>
      </c>
      <c r="AJ45" s="251" t="s">
        <v>10</v>
      </c>
      <c r="AK45" s="251" t="s">
        <v>10</v>
      </c>
      <c r="AL45" s="251" t="s">
        <v>14</v>
      </c>
      <c r="AM45" s="251" t="s">
        <v>10</v>
      </c>
      <c r="AN45" s="39" t="s">
        <v>20</v>
      </c>
      <c r="AO45" s="39" t="s">
        <v>16</v>
      </c>
      <c r="AP45" s="251" t="s">
        <v>10</v>
      </c>
      <c r="AQ45" s="181" t="s">
        <v>11</v>
      </c>
      <c r="AS45" s="43">
        <f t="shared" si="11"/>
        <v>2</v>
      </c>
      <c r="AT45" s="43">
        <f t="shared" si="11"/>
        <v>5</v>
      </c>
      <c r="AU45" s="43">
        <f t="shared" si="11"/>
        <v>0</v>
      </c>
      <c r="AV45" s="43">
        <f t="shared" si="11"/>
        <v>0</v>
      </c>
      <c r="AW45" s="43">
        <f t="shared" si="11"/>
        <v>3</v>
      </c>
      <c r="AX45" s="43">
        <f t="shared" si="11"/>
        <v>1</v>
      </c>
      <c r="AY45" s="43">
        <f t="shared" si="11"/>
        <v>0</v>
      </c>
      <c r="AZ45" s="43">
        <f t="shared" si="11"/>
        <v>0</v>
      </c>
      <c r="BA45" s="43">
        <f t="shared" si="11"/>
        <v>0</v>
      </c>
      <c r="BB45" s="43">
        <f t="shared" si="11"/>
        <v>0</v>
      </c>
      <c r="BC45" s="43">
        <f t="shared" si="11"/>
        <v>0</v>
      </c>
      <c r="BD45" s="43">
        <f t="shared" si="11"/>
        <v>0</v>
      </c>
      <c r="BE45" s="43">
        <f t="shared" si="11"/>
        <v>0</v>
      </c>
      <c r="BF45" s="43">
        <f t="shared" si="11"/>
        <v>0</v>
      </c>
      <c r="BG45" s="43">
        <f t="shared" si="11"/>
        <v>0</v>
      </c>
      <c r="BH45" s="43">
        <f t="shared" si="11"/>
        <v>0</v>
      </c>
      <c r="BI45" s="43">
        <f t="shared" si="15"/>
        <v>0</v>
      </c>
      <c r="BJ45" s="43">
        <f t="shared" si="15"/>
        <v>0</v>
      </c>
      <c r="BK45" s="43">
        <f t="shared" si="15"/>
        <v>0</v>
      </c>
      <c r="BL45" s="43">
        <f t="shared" si="15"/>
        <v>0</v>
      </c>
      <c r="BM45" s="43">
        <f t="shared" si="15"/>
        <v>0</v>
      </c>
      <c r="BN45" s="43">
        <f t="shared" si="15"/>
        <v>14</v>
      </c>
      <c r="BO45" s="43">
        <f t="shared" si="15"/>
        <v>0</v>
      </c>
      <c r="BP45" s="43">
        <f t="shared" si="15"/>
        <v>3</v>
      </c>
      <c r="BQ45" s="43">
        <f t="shared" si="15"/>
        <v>0</v>
      </c>
    </row>
    <row r="46" spans="3:69" ht="20.100000000000001" customHeight="1">
      <c r="C46" s="591">
        <v>0.5</v>
      </c>
      <c r="D46" s="592"/>
      <c r="E46" s="593" t="s">
        <v>28</v>
      </c>
      <c r="F46" s="594"/>
      <c r="G46" s="594"/>
      <c r="H46" s="594"/>
      <c r="I46" s="594"/>
      <c r="J46" s="595" t="s">
        <v>22</v>
      </c>
      <c r="K46" s="595"/>
      <c r="L46" s="596"/>
      <c r="M46" s="36" t="s">
        <v>11</v>
      </c>
      <c r="N46" s="251" t="s">
        <v>10</v>
      </c>
      <c r="O46" s="251" t="s">
        <v>24</v>
      </c>
      <c r="P46" s="251" t="s">
        <v>17</v>
      </c>
      <c r="Q46" s="251" t="s">
        <v>17</v>
      </c>
      <c r="R46" s="251" t="s">
        <v>17</v>
      </c>
      <c r="S46" s="39" t="s">
        <v>10</v>
      </c>
      <c r="T46" s="39" t="s">
        <v>10</v>
      </c>
      <c r="U46" s="251" t="s">
        <v>17</v>
      </c>
      <c r="V46" s="39" t="s">
        <v>24</v>
      </c>
      <c r="W46" s="251" t="s">
        <v>10</v>
      </c>
      <c r="X46" s="251" t="s">
        <v>10</v>
      </c>
      <c r="Y46" s="251" t="s">
        <v>10</v>
      </c>
      <c r="Z46" s="39" t="s">
        <v>16</v>
      </c>
      <c r="AA46" s="39" t="s">
        <v>20</v>
      </c>
      <c r="AB46" s="251" t="s">
        <v>10</v>
      </c>
      <c r="AC46" s="251" t="s">
        <v>14</v>
      </c>
      <c r="AD46" s="251" t="s">
        <v>10</v>
      </c>
      <c r="AE46" s="251" t="s">
        <v>10</v>
      </c>
      <c r="AF46" s="39" t="s">
        <v>10</v>
      </c>
      <c r="AG46" s="39" t="s">
        <v>16</v>
      </c>
      <c r="AH46" s="39" t="s">
        <v>16</v>
      </c>
      <c r="AI46" s="251" t="s">
        <v>10</v>
      </c>
      <c r="AJ46" s="251" t="s">
        <v>14</v>
      </c>
      <c r="AK46" s="251" t="s">
        <v>17</v>
      </c>
      <c r="AL46" s="251" t="s">
        <v>10</v>
      </c>
      <c r="AM46" s="251" t="s">
        <v>10</v>
      </c>
      <c r="AN46" s="39" t="s">
        <v>14</v>
      </c>
      <c r="AO46" s="39" t="s">
        <v>14</v>
      </c>
      <c r="AP46" s="251" t="s">
        <v>10</v>
      </c>
      <c r="AQ46" s="181" t="s">
        <v>10</v>
      </c>
      <c r="AS46" s="43">
        <f t="shared" si="11"/>
        <v>3</v>
      </c>
      <c r="AT46" s="43">
        <f t="shared" si="11"/>
        <v>4</v>
      </c>
      <c r="AU46" s="43">
        <f t="shared" si="11"/>
        <v>0</v>
      </c>
      <c r="AV46" s="43">
        <f t="shared" si="11"/>
        <v>0</v>
      </c>
      <c r="AW46" s="43">
        <f t="shared" si="11"/>
        <v>1</v>
      </c>
      <c r="AX46" s="43">
        <f t="shared" si="11"/>
        <v>2</v>
      </c>
      <c r="AY46" s="43">
        <f t="shared" si="11"/>
        <v>0</v>
      </c>
      <c r="AZ46" s="43">
        <f t="shared" si="11"/>
        <v>0</v>
      </c>
      <c r="BA46" s="43">
        <f t="shared" si="11"/>
        <v>0</v>
      </c>
      <c r="BB46" s="43">
        <f t="shared" si="11"/>
        <v>0</v>
      </c>
      <c r="BC46" s="43">
        <f t="shared" si="11"/>
        <v>0</v>
      </c>
      <c r="BD46" s="43">
        <f t="shared" si="11"/>
        <v>0</v>
      </c>
      <c r="BE46" s="43">
        <f t="shared" si="11"/>
        <v>0</v>
      </c>
      <c r="BF46" s="43">
        <f t="shared" si="11"/>
        <v>0</v>
      </c>
      <c r="BG46" s="43">
        <f t="shared" si="11"/>
        <v>0</v>
      </c>
      <c r="BH46" s="43">
        <f t="shared" si="11"/>
        <v>0</v>
      </c>
      <c r="BI46" s="43">
        <f t="shared" si="15"/>
        <v>0</v>
      </c>
      <c r="BJ46" s="43">
        <f t="shared" si="15"/>
        <v>5</v>
      </c>
      <c r="BK46" s="43">
        <f t="shared" si="15"/>
        <v>0</v>
      </c>
      <c r="BL46" s="43">
        <f t="shared" si="15"/>
        <v>0</v>
      </c>
      <c r="BM46" s="43">
        <f t="shared" si="15"/>
        <v>0</v>
      </c>
      <c r="BN46" s="43">
        <f t="shared" si="15"/>
        <v>15</v>
      </c>
      <c r="BO46" s="43">
        <f t="shared" si="15"/>
        <v>5</v>
      </c>
      <c r="BP46" s="43">
        <f t="shared" si="15"/>
        <v>0</v>
      </c>
      <c r="BQ46" s="43">
        <f t="shared" si="15"/>
        <v>0</v>
      </c>
    </row>
    <row r="47" spans="3:69" ht="20.100000000000001" customHeight="1">
      <c r="C47" s="591">
        <v>0.5</v>
      </c>
      <c r="D47" s="592"/>
      <c r="E47" s="593" t="s">
        <v>30</v>
      </c>
      <c r="F47" s="594"/>
      <c r="G47" s="594"/>
      <c r="H47" s="594"/>
      <c r="I47" s="594"/>
      <c r="J47" s="595" t="s">
        <v>22</v>
      </c>
      <c r="K47" s="595"/>
      <c r="L47" s="596"/>
      <c r="M47" s="36" t="s">
        <v>11</v>
      </c>
      <c r="N47" s="251" t="s">
        <v>16</v>
      </c>
      <c r="O47" s="251" t="s">
        <v>14</v>
      </c>
      <c r="P47" s="251" t="s">
        <v>10</v>
      </c>
      <c r="Q47" s="251" t="s">
        <v>10</v>
      </c>
      <c r="R47" s="251" t="s">
        <v>10</v>
      </c>
      <c r="S47" s="39" t="s">
        <v>10</v>
      </c>
      <c r="T47" s="39" t="s">
        <v>10</v>
      </c>
      <c r="U47" s="251" t="s">
        <v>11</v>
      </c>
      <c r="V47" s="39" t="s">
        <v>10</v>
      </c>
      <c r="W47" s="251" t="s">
        <v>14</v>
      </c>
      <c r="X47" s="251" t="s">
        <v>10</v>
      </c>
      <c r="Y47" s="251" t="s">
        <v>10</v>
      </c>
      <c r="Z47" s="39" t="s">
        <v>10</v>
      </c>
      <c r="AA47" s="39" t="s">
        <v>10</v>
      </c>
      <c r="AB47" s="251" t="s">
        <v>16</v>
      </c>
      <c r="AC47" s="251" t="s">
        <v>16</v>
      </c>
      <c r="AD47" s="251" t="s">
        <v>10</v>
      </c>
      <c r="AE47" s="251" t="s">
        <v>10</v>
      </c>
      <c r="AF47" s="39" t="s">
        <v>10</v>
      </c>
      <c r="AG47" s="39" t="s">
        <v>10</v>
      </c>
      <c r="AH47" s="39" t="s">
        <v>10</v>
      </c>
      <c r="AI47" s="251" t="s">
        <v>16</v>
      </c>
      <c r="AJ47" s="251" t="s">
        <v>10</v>
      </c>
      <c r="AK47" s="251" t="s">
        <v>14</v>
      </c>
      <c r="AL47" s="251" t="s">
        <v>10</v>
      </c>
      <c r="AM47" s="251" t="s">
        <v>10</v>
      </c>
      <c r="AN47" s="39" t="s">
        <v>10</v>
      </c>
      <c r="AO47" s="39" t="s">
        <v>10</v>
      </c>
      <c r="AP47" s="251" t="s">
        <v>12</v>
      </c>
      <c r="AQ47" s="181" t="s">
        <v>16</v>
      </c>
      <c r="AS47" s="43">
        <f t="shared" si="11"/>
        <v>5</v>
      </c>
      <c r="AT47" s="43">
        <f t="shared" si="11"/>
        <v>3</v>
      </c>
      <c r="AU47" s="43">
        <f t="shared" si="11"/>
        <v>0</v>
      </c>
      <c r="AV47" s="43">
        <f t="shared" si="11"/>
        <v>0</v>
      </c>
      <c r="AW47" s="43">
        <f t="shared" si="11"/>
        <v>0</v>
      </c>
      <c r="AX47" s="43">
        <f t="shared" si="11"/>
        <v>0</v>
      </c>
      <c r="AY47" s="43">
        <f t="shared" si="11"/>
        <v>0</v>
      </c>
      <c r="AZ47" s="43">
        <f t="shared" si="11"/>
        <v>0</v>
      </c>
      <c r="BA47" s="43">
        <f t="shared" si="11"/>
        <v>1</v>
      </c>
      <c r="BB47" s="43">
        <f t="shared" si="11"/>
        <v>0</v>
      </c>
      <c r="BC47" s="43">
        <f t="shared" si="11"/>
        <v>0</v>
      </c>
      <c r="BD47" s="43">
        <f t="shared" si="11"/>
        <v>0</v>
      </c>
      <c r="BE47" s="43">
        <f t="shared" si="11"/>
        <v>0</v>
      </c>
      <c r="BF47" s="43">
        <f t="shared" si="11"/>
        <v>0</v>
      </c>
      <c r="BG47" s="43">
        <f t="shared" si="11"/>
        <v>0</v>
      </c>
      <c r="BH47" s="43">
        <f t="shared" si="11"/>
        <v>0</v>
      </c>
      <c r="BI47" s="43">
        <f t="shared" si="15"/>
        <v>0</v>
      </c>
      <c r="BJ47" s="43">
        <f t="shared" si="15"/>
        <v>0</v>
      </c>
      <c r="BK47" s="43">
        <f t="shared" si="15"/>
        <v>0</v>
      </c>
      <c r="BL47" s="43">
        <f t="shared" si="15"/>
        <v>0</v>
      </c>
      <c r="BM47" s="43">
        <f t="shared" si="15"/>
        <v>0</v>
      </c>
      <c r="BN47" s="43">
        <f t="shared" si="15"/>
        <v>20</v>
      </c>
      <c r="BO47" s="43">
        <f t="shared" si="15"/>
        <v>0</v>
      </c>
      <c r="BP47" s="43">
        <f t="shared" si="15"/>
        <v>0</v>
      </c>
      <c r="BQ47" s="43">
        <f t="shared" si="15"/>
        <v>0</v>
      </c>
    </row>
    <row r="48" spans="3:69" ht="20.100000000000001" customHeight="1">
      <c r="C48" s="591" t="s">
        <v>7</v>
      </c>
      <c r="D48" s="592"/>
      <c r="E48" s="593" t="s">
        <v>31</v>
      </c>
      <c r="F48" s="594"/>
      <c r="G48" s="594"/>
      <c r="H48" s="594"/>
      <c r="I48" s="594"/>
      <c r="J48" s="595" t="s">
        <v>22</v>
      </c>
      <c r="K48" s="595"/>
      <c r="L48" s="596"/>
      <c r="M48" s="36" t="s">
        <v>11</v>
      </c>
      <c r="N48" s="251" t="s">
        <v>10</v>
      </c>
      <c r="O48" s="251" t="s">
        <v>16</v>
      </c>
      <c r="P48" s="251" t="s">
        <v>24</v>
      </c>
      <c r="Q48" s="251" t="s">
        <v>24</v>
      </c>
      <c r="R48" s="251" t="s">
        <v>24</v>
      </c>
      <c r="S48" s="39" t="s">
        <v>24</v>
      </c>
      <c r="T48" s="39" t="s">
        <v>10</v>
      </c>
      <c r="U48" s="251" t="s">
        <v>11</v>
      </c>
      <c r="V48" s="39" t="s">
        <v>10</v>
      </c>
      <c r="W48" s="251" t="s">
        <v>16</v>
      </c>
      <c r="X48" s="251" t="s">
        <v>16</v>
      </c>
      <c r="Y48" s="251" t="s">
        <v>14</v>
      </c>
      <c r="Z48" s="39" t="s">
        <v>14</v>
      </c>
      <c r="AA48" s="39" t="s">
        <v>14</v>
      </c>
      <c r="AB48" s="251" t="s">
        <v>10</v>
      </c>
      <c r="AC48" s="251" t="s">
        <v>10</v>
      </c>
      <c r="AD48" s="251" t="s">
        <v>16</v>
      </c>
      <c r="AE48" s="251" t="s">
        <v>16</v>
      </c>
      <c r="AF48" s="39" t="s">
        <v>16</v>
      </c>
      <c r="AG48" s="39" t="s">
        <v>14</v>
      </c>
      <c r="AH48" s="39" t="s">
        <v>10</v>
      </c>
      <c r="AI48" s="251" t="s">
        <v>10</v>
      </c>
      <c r="AJ48" s="251" t="s">
        <v>16</v>
      </c>
      <c r="AK48" s="251" t="s">
        <v>16</v>
      </c>
      <c r="AL48" s="251" t="s">
        <v>10</v>
      </c>
      <c r="AM48" s="251" t="s">
        <v>14</v>
      </c>
      <c r="AN48" s="39" t="s">
        <v>10</v>
      </c>
      <c r="AO48" s="39" t="s">
        <v>10</v>
      </c>
      <c r="AP48" s="251" t="s">
        <v>14</v>
      </c>
      <c r="AQ48" s="181" t="s">
        <v>14</v>
      </c>
      <c r="AS48" s="43">
        <f t="shared" si="11"/>
        <v>8</v>
      </c>
      <c r="AT48" s="43">
        <f t="shared" si="11"/>
        <v>7</v>
      </c>
      <c r="AU48" s="43">
        <f t="shared" si="11"/>
        <v>0</v>
      </c>
      <c r="AV48" s="43">
        <f t="shared" si="11"/>
        <v>0</v>
      </c>
      <c r="AW48" s="43">
        <f t="shared" si="11"/>
        <v>0</v>
      </c>
      <c r="AX48" s="43">
        <f t="shared" si="11"/>
        <v>4</v>
      </c>
      <c r="AY48" s="43">
        <f t="shared" si="11"/>
        <v>0</v>
      </c>
      <c r="AZ48" s="43">
        <f t="shared" si="11"/>
        <v>0</v>
      </c>
      <c r="BA48" s="43">
        <f t="shared" si="11"/>
        <v>0</v>
      </c>
      <c r="BB48" s="43">
        <f t="shared" si="11"/>
        <v>0</v>
      </c>
      <c r="BC48" s="43">
        <f t="shared" si="11"/>
        <v>0</v>
      </c>
      <c r="BD48" s="43">
        <f t="shared" si="11"/>
        <v>0</v>
      </c>
      <c r="BE48" s="43">
        <f t="shared" si="11"/>
        <v>0</v>
      </c>
      <c r="BF48" s="43">
        <f t="shared" si="11"/>
        <v>0</v>
      </c>
      <c r="BG48" s="43">
        <f t="shared" si="11"/>
        <v>0</v>
      </c>
      <c r="BH48" s="43">
        <f t="shared" si="11"/>
        <v>0</v>
      </c>
      <c r="BI48" s="43">
        <f t="shared" si="15"/>
        <v>0</v>
      </c>
      <c r="BJ48" s="43">
        <f t="shared" si="15"/>
        <v>0</v>
      </c>
      <c r="BK48" s="43">
        <f t="shared" si="15"/>
        <v>0</v>
      </c>
      <c r="BL48" s="43">
        <f t="shared" si="15"/>
        <v>0</v>
      </c>
      <c r="BM48" s="43">
        <f t="shared" si="15"/>
        <v>0</v>
      </c>
      <c r="BN48" s="43">
        <f t="shared" si="15"/>
        <v>10</v>
      </c>
      <c r="BO48" s="43">
        <f t="shared" si="15"/>
        <v>0</v>
      </c>
      <c r="BP48" s="43">
        <f t="shared" si="15"/>
        <v>0</v>
      </c>
      <c r="BQ48" s="43">
        <f t="shared" si="15"/>
        <v>0</v>
      </c>
    </row>
    <row r="49" spans="3:69" ht="20.100000000000001" customHeight="1">
      <c r="C49" s="591"/>
      <c r="D49" s="592"/>
      <c r="E49" s="593"/>
      <c r="F49" s="594"/>
      <c r="G49" s="594"/>
      <c r="H49" s="594"/>
      <c r="I49" s="594"/>
      <c r="J49" s="595"/>
      <c r="K49" s="595"/>
      <c r="L49" s="596"/>
      <c r="M49" s="36"/>
      <c r="N49" s="251"/>
      <c r="O49" s="251"/>
      <c r="P49" s="251"/>
      <c r="Q49" s="251"/>
      <c r="R49" s="251"/>
      <c r="S49" s="39"/>
      <c r="T49" s="39"/>
      <c r="U49" s="251"/>
      <c r="V49" s="39"/>
      <c r="W49" s="251"/>
      <c r="X49" s="251"/>
      <c r="Y49" s="251"/>
      <c r="Z49" s="39"/>
      <c r="AA49" s="39"/>
      <c r="AB49" s="251"/>
      <c r="AC49" s="251"/>
      <c r="AD49" s="251"/>
      <c r="AE49" s="251"/>
      <c r="AF49" s="39"/>
      <c r="AG49" s="39"/>
      <c r="AH49" s="39"/>
      <c r="AI49" s="251"/>
      <c r="AJ49" s="251"/>
      <c r="AK49" s="251"/>
      <c r="AL49" s="251"/>
      <c r="AM49" s="251"/>
      <c r="AN49" s="39"/>
      <c r="AO49" s="39"/>
      <c r="AP49" s="251"/>
      <c r="AQ49" s="181"/>
      <c r="AS49" s="43">
        <f t="shared" si="11"/>
        <v>0</v>
      </c>
      <c r="AT49" s="43">
        <f t="shared" si="11"/>
        <v>0</v>
      </c>
      <c r="AU49" s="43">
        <f t="shared" si="11"/>
        <v>0</v>
      </c>
      <c r="AV49" s="43">
        <f t="shared" si="11"/>
        <v>0</v>
      </c>
      <c r="AW49" s="43">
        <f t="shared" si="11"/>
        <v>0</v>
      </c>
      <c r="AX49" s="43">
        <f t="shared" si="11"/>
        <v>0</v>
      </c>
      <c r="AY49" s="43">
        <f t="shared" si="11"/>
        <v>0</v>
      </c>
      <c r="AZ49" s="43">
        <f t="shared" si="11"/>
        <v>0</v>
      </c>
      <c r="BA49" s="43">
        <f t="shared" si="11"/>
        <v>0</v>
      </c>
      <c r="BB49" s="43">
        <f t="shared" si="11"/>
        <v>0</v>
      </c>
      <c r="BC49" s="43">
        <f t="shared" si="11"/>
        <v>0</v>
      </c>
      <c r="BD49" s="43">
        <f t="shared" si="11"/>
        <v>0</v>
      </c>
      <c r="BE49" s="43">
        <f t="shared" si="11"/>
        <v>0</v>
      </c>
      <c r="BF49" s="43">
        <f t="shared" si="11"/>
        <v>0</v>
      </c>
      <c r="BG49" s="43">
        <f t="shared" si="11"/>
        <v>0</v>
      </c>
      <c r="BH49" s="43">
        <f t="shared" si="11"/>
        <v>0</v>
      </c>
      <c r="BI49" s="43">
        <f t="shared" si="15"/>
        <v>0</v>
      </c>
      <c r="BJ49" s="43">
        <f t="shared" si="15"/>
        <v>0</v>
      </c>
      <c r="BK49" s="43">
        <f t="shared" si="15"/>
        <v>0</v>
      </c>
      <c r="BL49" s="43">
        <f t="shared" si="15"/>
        <v>0</v>
      </c>
      <c r="BM49" s="43">
        <f t="shared" si="15"/>
        <v>0</v>
      </c>
      <c r="BN49" s="43">
        <f t="shared" si="15"/>
        <v>0</v>
      </c>
      <c r="BO49" s="43">
        <f t="shared" si="15"/>
        <v>0</v>
      </c>
      <c r="BP49" s="43">
        <f t="shared" si="15"/>
        <v>0</v>
      </c>
      <c r="BQ49" s="43">
        <f t="shared" si="15"/>
        <v>0</v>
      </c>
    </row>
    <row r="50" spans="3:69" ht="20.100000000000001" customHeight="1">
      <c r="C50" s="591"/>
      <c r="D50" s="592"/>
      <c r="E50" s="593"/>
      <c r="F50" s="594"/>
      <c r="G50" s="594"/>
      <c r="H50" s="594"/>
      <c r="I50" s="594"/>
      <c r="J50" s="595"/>
      <c r="K50" s="595"/>
      <c r="L50" s="596"/>
      <c r="M50" s="36"/>
      <c r="N50" s="251"/>
      <c r="O50" s="251"/>
      <c r="P50" s="251"/>
      <c r="Q50" s="251"/>
      <c r="R50" s="251"/>
      <c r="S50" s="39"/>
      <c r="T50" s="39"/>
      <c r="U50" s="251"/>
      <c r="V50" s="39"/>
      <c r="W50" s="251"/>
      <c r="X50" s="251"/>
      <c r="Y50" s="251"/>
      <c r="Z50" s="39"/>
      <c r="AA50" s="39"/>
      <c r="AB50" s="251"/>
      <c r="AC50" s="251"/>
      <c r="AD50" s="251"/>
      <c r="AE50" s="251"/>
      <c r="AF50" s="39"/>
      <c r="AG50" s="39"/>
      <c r="AH50" s="39"/>
      <c r="AI50" s="251"/>
      <c r="AJ50" s="251"/>
      <c r="AK50" s="251"/>
      <c r="AL50" s="251"/>
      <c r="AM50" s="251"/>
      <c r="AN50" s="39"/>
      <c r="AO50" s="39"/>
      <c r="AP50" s="251"/>
      <c r="AQ50" s="181"/>
      <c r="AS50" s="43">
        <f t="shared" si="11"/>
        <v>0</v>
      </c>
      <c r="AT50" s="43">
        <f t="shared" si="11"/>
        <v>0</v>
      </c>
      <c r="AU50" s="43">
        <f t="shared" si="11"/>
        <v>0</v>
      </c>
      <c r="AV50" s="43">
        <f t="shared" si="11"/>
        <v>0</v>
      </c>
      <c r="AW50" s="43">
        <f t="shared" si="11"/>
        <v>0</v>
      </c>
      <c r="AX50" s="43">
        <f t="shared" si="11"/>
        <v>0</v>
      </c>
      <c r="AY50" s="43">
        <f t="shared" si="11"/>
        <v>0</v>
      </c>
      <c r="AZ50" s="43">
        <f t="shared" si="11"/>
        <v>0</v>
      </c>
      <c r="BA50" s="43">
        <f t="shared" si="11"/>
        <v>0</v>
      </c>
      <c r="BB50" s="43">
        <f t="shared" si="11"/>
        <v>0</v>
      </c>
      <c r="BC50" s="43">
        <f t="shared" si="11"/>
        <v>0</v>
      </c>
      <c r="BD50" s="43">
        <f t="shared" si="11"/>
        <v>0</v>
      </c>
      <c r="BE50" s="43">
        <f t="shared" si="11"/>
        <v>0</v>
      </c>
      <c r="BF50" s="43">
        <f t="shared" si="11"/>
        <v>0</v>
      </c>
      <c r="BG50" s="43">
        <f t="shared" si="11"/>
        <v>0</v>
      </c>
      <c r="BH50" s="43">
        <f t="shared" si="11"/>
        <v>0</v>
      </c>
      <c r="BI50" s="43">
        <f t="shared" si="15"/>
        <v>0</v>
      </c>
      <c r="BJ50" s="43">
        <f t="shared" si="15"/>
        <v>0</v>
      </c>
      <c r="BK50" s="43">
        <f t="shared" si="15"/>
        <v>0</v>
      </c>
      <c r="BL50" s="43">
        <f t="shared" si="15"/>
        <v>0</v>
      </c>
      <c r="BM50" s="43">
        <f t="shared" si="15"/>
        <v>0</v>
      </c>
      <c r="BN50" s="43">
        <f t="shared" si="15"/>
        <v>0</v>
      </c>
      <c r="BO50" s="43">
        <f t="shared" si="15"/>
        <v>0</v>
      </c>
      <c r="BP50" s="43">
        <f t="shared" si="15"/>
        <v>0</v>
      </c>
      <c r="BQ50" s="43">
        <f t="shared" si="15"/>
        <v>0</v>
      </c>
    </row>
    <row r="51" spans="3:69" ht="20.100000000000001" customHeight="1">
      <c r="C51" s="591"/>
      <c r="D51" s="592"/>
      <c r="E51" s="593"/>
      <c r="F51" s="594"/>
      <c r="G51" s="594"/>
      <c r="H51" s="594"/>
      <c r="I51" s="594"/>
      <c r="J51" s="595"/>
      <c r="K51" s="595"/>
      <c r="L51" s="596"/>
      <c r="M51" s="36"/>
      <c r="N51" s="251"/>
      <c r="O51" s="251"/>
      <c r="P51" s="251"/>
      <c r="Q51" s="251"/>
      <c r="R51" s="251"/>
      <c r="S51" s="39"/>
      <c r="T51" s="39"/>
      <c r="U51" s="251"/>
      <c r="V51" s="39"/>
      <c r="W51" s="251"/>
      <c r="X51" s="251"/>
      <c r="Y51" s="251"/>
      <c r="Z51" s="39"/>
      <c r="AA51" s="39"/>
      <c r="AB51" s="251"/>
      <c r="AC51" s="251"/>
      <c r="AD51" s="251"/>
      <c r="AE51" s="251"/>
      <c r="AF51" s="39"/>
      <c r="AG51" s="39"/>
      <c r="AH51" s="39"/>
      <c r="AI51" s="251"/>
      <c r="AJ51" s="251"/>
      <c r="AK51" s="251"/>
      <c r="AL51" s="251"/>
      <c r="AM51" s="251"/>
      <c r="AN51" s="39"/>
      <c r="AO51" s="39"/>
      <c r="AP51" s="251"/>
      <c r="AQ51" s="181"/>
      <c r="AS51" s="43">
        <f t="shared" si="11"/>
        <v>0</v>
      </c>
      <c r="AT51" s="43">
        <f t="shared" si="11"/>
        <v>0</v>
      </c>
      <c r="AU51" s="43">
        <f t="shared" si="11"/>
        <v>0</v>
      </c>
      <c r="AV51" s="43">
        <f t="shared" si="11"/>
        <v>0</v>
      </c>
      <c r="AW51" s="43">
        <f t="shared" si="11"/>
        <v>0</v>
      </c>
      <c r="AX51" s="43">
        <f t="shared" si="11"/>
        <v>0</v>
      </c>
      <c r="AY51" s="43">
        <f t="shared" si="11"/>
        <v>0</v>
      </c>
      <c r="AZ51" s="43">
        <f t="shared" si="11"/>
        <v>0</v>
      </c>
      <c r="BA51" s="43">
        <f t="shared" si="11"/>
        <v>0</v>
      </c>
      <c r="BB51" s="43">
        <f t="shared" si="11"/>
        <v>0</v>
      </c>
      <c r="BC51" s="43">
        <f t="shared" si="11"/>
        <v>0</v>
      </c>
      <c r="BD51" s="43">
        <f t="shared" si="11"/>
        <v>0</v>
      </c>
      <c r="BE51" s="43">
        <f t="shared" si="11"/>
        <v>0</v>
      </c>
      <c r="BF51" s="43">
        <f t="shared" si="11"/>
        <v>0</v>
      </c>
      <c r="BG51" s="43">
        <f t="shared" si="11"/>
        <v>0</v>
      </c>
      <c r="BH51" s="43">
        <f t="shared" ref="BH51:BQ66" si="16">COUNTIFS($M51:$AQ51,BH$2)</f>
        <v>0</v>
      </c>
      <c r="BI51" s="43">
        <f t="shared" si="16"/>
        <v>0</v>
      </c>
      <c r="BJ51" s="43">
        <f t="shared" si="16"/>
        <v>0</v>
      </c>
      <c r="BK51" s="43">
        <f t="shared" si="16"/>
        <v>0</v>
      </c>
      <c r="BL51" s="43">
        <f t="shared" si="16"/>
        <v>0</v>
      </c>
      <c r="BM51" s="43">
        <f t="shared" si="16"/>
        <v>0</v>
      </c>
      <c r="BN51" s="43">
        <f t="shared" si="16"/>
        <v>0</v>
      </c>
      <c r="BO51" s="43">
        <f t="shared" si="16"/>
        <v>0</v>
      </c>
      <c r="BP51" s="43">
        <f t="shared" si="16"/>
        <v>0</v>
      </c>
      <c r="BQ51" s="43">
        <f t="shared" si="16"/>
        <v>0</v>
      </c>
    </row>
    <row r="52" spans="3:69" ht="20.100000000000001" customHeight="1" thickBot="1">
      <c r="C52" s="597"/>
      <c r="D52" s="598"/>
      <c r="E52" s="599"/>
      <c r="F52" s="600"/>
      <c r="G52" s="600"/>
      <c r="H52" s="600"/>
      <c r="I52" s="600"/>
      <c r="J52" s="601"/>
      <c r="K52" s="601"/>
      <c r="L52" s="602"/>
      <c r="M52" s="37"/>
      <c r="N52" s="253"/>
      <c r="O52" s="253"/>
      <c r="P52" s="253"/>
      <c r="Q52" s="253"/>
      <c r="R52" s="253"/>
      <c r="S52" s="40"/>
      <c r="T52" s="40"/>
      <c r="U52" s="253"/>
      <c r="V52" s="40"/>
      <c r="W52" s="253"/>
      <c r="X52" s="253"/>
      <c r="Y52" s="253"/>
      <c r="Z52" s="40"/>
      <c r="AA52" s="40"/>
      <c r="AB52" s="253"/>
      <c r="AC52" s="253"/>
      <c r="AD52" s="253"/>
      <c r="AE52" s="253"/>
      <c r="AF52" s="40"/>
      <c r="AG52" s="40"/>
      <c r="AH52" s="40"/>
      <c r="AI52" s="253"/>
      <c r="AJ52" s="253"/>
      <c r="AK52" s="253"/>
      <c r="AL52" s="253"/>
      <c r="AM52" s="253"/>
      <c r="AN52" s="40"/>
      <c r="AO52" s="40"/>
      <c r="AP52" s="253"/>
      <c r="AQ52" s="182"/>
      <c r="AS52" s="43">
        <f t="shared" ref="AS52:BH67" si="17">COUNTIFS($M52:$AQ52,AS$2)</f>
        <v>0</v>
      </c>
      <c r="AT52" s="43">
        <f t="shared" si="17"/>
        <v>0</v>
      </c>
      <c r="AU52" s="43">
        <f t="shared" si="17"/>
        <v>0</v>
      </c>
      <c r="AV52" s="43">
        <f t="shared" si="17"/>
        <v>0</v>
      </c>
      <c r="AW52" s="43">
        <f t="shared" si="17"/>
        <v>0</v>
      </c>
      <c r="AX52" s="43">
        <f t="shared" si="17"/>
        <v>0</v>
      </c>
      <c r="AY52" s="43">
        <f t="shared" si="17"/>
        <v>0</v>
      </c>
      <c r="AZ52" s="43">
        <f t="shared" si="17"/>
        <v>0</v>
      </c>
      <c r="BA52" s="43">
        <f t="shared" si="17"/>
        <v>0</v>
      </c>
      <c r="BB52" s="43">
        <f t="shared" si="17"/>
        <v>0</v>
      </c>
      <c r="BC52" s="43">
        <f t="shared" si="17"/>
        <v>0</v>
      </c>
      <c r="BD52" s="43">
        <f t="shared" si="17"/>
        <v>0</v>
      </c>
      <c r="BE52" s="43">
        <f t="shared" si="17"/>
        <v>0</v>
      </c>
      <c r="BF52" s="43">
        <f t="shared" si="17"/>
        <v>0</v>
      </c>
      <c r="BG52" s="43">
        <f t="shared" si="17"/>
        <v>0</v>
      </c>
      <c r="BH52" s="43">
        <f t="shared" si="17"/>
        <v>0</v>
      </c>
      <c r="BI52" s="43">
        <f t="shared" si="16"/>
        <v>0</v>
      </c>
      <c r="BJ52" s="43">
        <f t="shared" si="16"/>
        <v>0</v>
      </c>
      <c r="BK52" s="43">
        <f t="shared" si="16"/>
        <v>0</v>
      </c>
      <c r="BL52" s="43">
        <f t="shared" si="16"/>
        <v>0</v>
      </c>
      <c r="BM52" s="43">
        <f t="shared" si="16"/>
        <v>0</v>
      </c>
      <c r="BN52" s="43">
        <f t="shared" si="16"/>
        <v>0</v>
      </c>
      <c r="BO52" s="43">
        <f t="shared" si="16"/>
        <v>0</v>
      </c>
      <c r="BP52" s="43">
        <f t="shared" si="16"/>
        <v>0</v>
      </c>
      <c r="BQ52" s="43">
        <f t="shared" si="16"/>
        <v>0</v>
      </c>
    </row>
    <row r="53" spans="3:69" ht="20.100000000000001" hidden="1" customHeight="1" thickBot="1">
      <c r="M53">
        <f>DTCHK(M39,YK!$J$3:$J$52)</f>
        <v>1</v>
      </c>
      <c r="N53">
        <f>DTCHK(N39,YK!$J$3:$J$52)</f>
        <v>0</v>
      </c>
      <c r="O53">
        <f>DTCHK(O39,YK!$J$3:$J$52)</f>
        <v>0</v>
      </c>
      <c r="P53">
        <f>DTCHK(P39,YK!$J$3:$J$52)</f>
        <v>0</v>
      </c>
      <c r="Q53">
        <f>DTCHK(Q39,YK!$J$3:$J$52)</f>
        <v>0</v>
      </c>
      <c r="R53">
        <f>DTCHK(R39,YK!$J$3:$J$52)</f>
        <v>0</v>
      </c>
      <c r="S53">
        <f>DTCHK(S39,YK!$J$3:$J$52)</f>
        <v>0</v>
      </c>
      <c r="T53">
        <f>DTCHK(T39,YK!$J$3:$J$52)</f>
        <v>1</v>
      </c>
      <c r="U53">
        <f>DTCHK(U39,YK!$J$3:$J$52)</f>
        <v>0</v>
      </c>
      <c r="V53">
        <f>DTCHK(V39,YK!$J$3:$J$52)</f>
        <v>1</v>
      </c>
      <c r="W53">
        <f>DTCHK(W39,YK!$J$3:$J$52)</f>
        <v>0</v>
      </c>
      <c r="X53">
        <f>DTCHK(X39,YK!$J$3:$J$52)</f>
        <v>0</v>
      </c>
      <c r="Y53">
        <f>DTCHK(Y39,YK!$J$3:$J$52)</f>
        <v>0</v>
      </c>
      <c r="Z53">
        <f>DTCHK(Z39,YK!$J$3:$J$52)</f>
        <v>0</v>
      </c>
      <c r="AA53">
        <f>DTCHK(AA39,YK!$J$3:$J$52)</f>
        <v>0</v>
      </c>
      <c r="AB53">
        <f>DTCHK(AB39,YK!$J$3:$J$52)</f>
        <v>0</v>
      </c>
      <c r="AC53">
        <f>DTCHK(AC39,YK!$J$3:$J$52)</f>
        <v>0</v>
      </c>
      <c r="AD53">
        <f>DTCHK(AD39,YK!$J$3:$J$52)</f>
        <v>0</v>
      </c>
      <c r="AE53">
        <f>DTCHK(AE39,YK!$J$3:$J$52)</f>
        <v>0</v>
      </c>
      <c r="AF53">
        <f>DTCHK(AF39,YK!$J$3:$J$52)</f>
        <v>1</v>
      </c>
      <c r="AG53">
        <f>DTCHK(AG39,YK!$J$3:$J$52)</f>
        <v>0</v>
      </c>
      <c r="AH53">
        <f>DTCHK(AH39,YK!$J$3:$J$52)</f>
        <v>0</v>
      </c>
      <c r="AI53">
        <f>DTCHK(AI39,YK!$J$3:$J$52)</f>
        <v>0</v>
      </c>
      <c r="AJ53">
        <f>DTCHK(AJ39,YK!$J$3:$J$52)</f>
        <v>0</v>
      </c>
      <c r="AK53">
        <f>DTCHK(AK39,YK!$J$3:$J$52)</f>
        <v>0</v>
      </c>
      <c r="AL53">
        <f>DTCHK(AL39,YK!$J$3:$J$52)</f>
        <v>0</v>
      </c>
      <c r="AM53">
        <f>DTCHK(AM39,YK!$J$3:$J$52)</f>
        <v>0</v>
      </c>
      <c r="AN53">
        <f>DTCHK(AN39,YK!$J$3:$J$52)</f>
        <v>0</v>
      </c>
      <c r="AO53">
        <f>DTCHK(AO39,YK!$J$3:$J$52)</f>
        <v>1</v>
      </c>
      <c r="AP53">
        <f>DTCHK(AP39,YK!$J$3:$J$52)</f>
        <v>0</v>
      </c>
      <c r="AQ53">
        <f>DTCHK(AQ39,YK!$J$3:$J$52)</f>
        <v>0</v>
      </c>
      <c r="AS53" s="43">
        <f t="shared" si="17"/>
        <v>0</v>
      </c>
      <c r="AT53" s="43">
        <f t="shared" si="17"/>
        <v>0</v>
      </c>
      <c r="AU53" s="43">
        <f t="shared" si="17"/>
        <v>0</v>
      </c>
      <c r="AV53" s="43">
        <f t="shared" si="17"/>
        <v>0</v>
      </c>
      <c r="AW53" s="43">
        <f t="shared" si="17"/>
        <v>0</v>
      </c>
      <c r="AX53" s="43">
        <f t="shared" si="17"/>
        <v>0</v>
      </c>
      <c r="AY53" s="43">
        <f t="shared" si="17"/>
        <v>0</v>
      </c>
      <c r="AZ53" s="43">
        <f t="shared" si="17"/>
        <v>0</v>
      </c>
      <c r="BA53" s="43">
        <f t="shared" si="17"/>
        <v>0</v>
      </c>
      <c r="BB53" s="43">
        <f t="shared" si="17"/>
        <v>0</v>
      </c>
      <c r="BC53" s="43">
        <f t="shared" si="17"/>
        <v>0</v>
      </c>
      <c r="BD53" s="43">
        <f t="shared" si="17"/>
        <v>0</v>
      </c>
      <c r="BE53" s="43">
        <f t="shared" si="17"/>
        <v>26</v>
      </c>
      <c r="BF53" s="43">
        <f t="shared" si="17"/>
        <v>26</v>
      </c>
      <c r="BG53" s="43">
        <f t="shared" si="17"/>
        <v>26</v>
      </c>
      <c r="BH53" s="43">
        <f t="shared" si="17"/>
        <v>26</v>
      </c>
      <c r="BI53" s="43">
        <f t="shared" si="16"/>
        <v>26</v>
      </c>
      <c r="BJ53" s="43">
        <f t="shared" si="16"/>
        <v>0</v>
      </c>
      <c r="BK53" s="43">
        <f t="shared" si="16"/>
        <v>26</v>
      </c>
      <c r="BL53" s="43">
        <f t="shared" si="16"/>
        <v>26</v>
      </c>
      <c r="BM53" s="43">
        <f t="shared" si="16"/>
        <v>26</v>
      </c>
      <c r="BN53" s="43">
        <f t="shared" si="16"/>
        <v>0</v>
      </c>
      <c r="BO53" s="43">
        <f t="shared" si="16"/>
        <v>0</v>
      </c>
      <c r="BP53" s="43">
        <f t="shared" si="16"/>
        <v>0</v>
      </c>
      <c r="BQ53" s="43">
        <f t="shared" si="16"/>
        <v>26</v>
      </c>
    </row>
    <row r="54" spans="3:69" ht="20.100000000000001" customHeight="1">
      <c r="C54" s="539" t="str">
        <f ca="1">Lists!F4</f>
        <v>Kwiecień</v>
      </c>
      <c r="D54" s="540"/>
      <c r="E54" s="540"/>
      <c r="F54" s="540"/>
      <c r="G54" s="541"/>
    </row>
    <row r="55" spans="3:69" ht="20.100000000000001" customHeight="1" thickBot="1">
      <c r="C55" s="542"/>
      <c r="D55" s="543"/>
      <c r="E55" s="543"/>
      <c r="F55" s="543"/>
      <c r="G55" s="544"/>
    </row>
    <row r="56" spans="3:69" ht="19.5" hidden="1" customHeight="1">
      <c r="C56" s="31"/>
      <c r="D56" s="32"/>
      <c r="E56" s="32"/>
      <c r="F56" s="32"/>
      <c r="G56" s="32"/>
      <c r="M56" s="10">
        <f>M39+31</f>
        <v>46113</v>
      </c>
      <c r="N56" s="10">
        <f>M56+1</f>
        <v>46114</v>
      </c>
      <c r="O56" s="10">
        <f t="shared" ref="O56:AQ56" si="18">N56+1</f>
        <v>46115</v>
      </c>
      <c r="P56" s="10">
        <f t="shared" si="18"/>
        <v>46116</v>
      </c>
      <c r="Q56" s="10">
        <f t="shared" si="18"/>
        <v>46117</v>
      </c>
      <c r="R56" s="10">
        <f t="shared" si="18"/>
        <v>46118</v>
      </c>
      <c r="S56" s="10">
        <f t="shared" si="18"/>
        <v>46119</v>
      </c>
      <c r="T56" s="10">
        <f t="shared" si="18"/>
        <v>46120</v>
      </c>
      <c r="U56" s="10">
        <f t="shared" si="18"/>
        <v>46121</v>
      </c>
      <c r="V56" s="10">
        <f t="shared" si="18"/>
        <v>46122</v>
      </c>
      <c r="W56" s="10">
        <f t="shared" si="18"/>
        <v>46123</v>
      </c>
      <c r="X56" s="10">
        <f t="shared" si="18"/>
        <v>46124</v>
      </c>
      <c r="Y56" s="10">
        <f t="shared" si="18"/>
        <v>46125</v>
      </c>
      <c r="Z56" s="10">
        <f t="shared" si="18"/>
        <v>46126</v>
      </c>
      <c r="AA56" s="10">
        <f t="shared" si="18"/>
        <v>46127</v>
      </c>
      <c r="AB56" s="10">
        <f t="shared" si="18"/>
        <v>46128</v>
      </c>
      <c r="AC56" s="10">
        <f t="shared" si="18"/>
        <v>46129</v>
      </c>
      <c r="AD56" s="10">
        <f t="shared" si="18"/>
        <v>46130</v>
      </c>
      <c r="AE56" s="10">
        <f t="shared" si="18"/>
        <v>46131</v>
      </c>
      <c r="AF56" s="10">
        <f t="shared" si="18"/>
        <v>46132</v>
      </c>
      <c r="AG56" s="10">
        <f t="shared" si="18"/>
        <v>46133</v>
      </c>
      <c r="AH56" s="10">
        <f t="shared" si="18"/>
        <v>46134</v>
      </c>
      <c r="AI56" s="10">
        <f t="shared" si="18"/>
        <v>46135</v>
      </c>
      <c r="AJ56" s="10">
        <f t="shared" si="18"/>
        <v>46136</v>
      </c>
      <c r="AK56" s="10">
        <f t="shared" si="18"/>
        <v>46137</v>
      </c>
      <c r="AL56" s="10">
        <f t="shared" si="18"/>
        <v>46138</v>
      </c>
      <c r="AM56" s="10">
        <f t="shared" si="18"/>
        <v>46139</v>
      </c>
      <c r="AN56" s="10">
        <f t="shared" si="18"/>
        <v>46140</v>
      </c>
      <c r="AO56" s="10">
        <f t="shared" si="18"/>
        <v>46141</v>
      </c>
      <c r="AP56" s="10">
        <f t="shared" si="18"/>
        <v>46142</v>
      </c>
      <c r="AQ56" s="10">
        <f t="shared" si="18"/>
        <v>46143</v>
      </c>
    </row>
    <row r="57" spans="3:69" ht="20.100000000000001" hidden="1" customHeight="1" thickBot="1">
      <c r="C57" s="31"/>
      <c r="D57" s="32"/>
      <c r="E57" s="32"/>
      <c r="F57" s="32"/>
      <c r="G57" s="32"/>
      <c r="M57">
        <f>WEEKDAY(M56,2)</f>
        <v>3</v>
      </c>
      <c r="N57">
        <f t="shared" ref="N57:AQ57" si="19">WEEKDAY(N56,2)</f>
        <v>4</v>
      </c>
      <c r="O57">
        <f t="shared" si="19"/>
        <v>5</v>
      </c>
      <c r="P57">
        <f t="shared" si="19"/>
        <v>6</v>
      </c>
      <c r="Q57">
        <f t="shared" si="19"/>
        <v>7</v>
      </c>
      <c r="R57">
        <f t="shared" si="19"/>
        <v>1</v>
      </c>
      <c r="S57">
        <f t="shared" si="19"/>
        <v>2</v>
      </c>
      <c r="T57">
        <f t="shared" si="19"/>
        <v>3</v>
      </c>
      <c r="U57">
        <f t="shared" si="19"/>
        <v>4</v>
      </c>
      <c r="V57">
        <f t="shared" si="19"/>
        <v>5</v>
      </c>
      <c r="W57">
        <f t="shared" si="19"/>
        <v>6</v>
      </c>
      <c r="X57">
        <f t="shared" si="19"/>
        <v>7</v>
      </c>
      <c r="Y57">
        <f t="shared" si="19"/>
        <v>1</v>
      </c>
      <c r="Z57">
        <f t="shared" si="19"/>
        <v>2</v>
      </c>
      <c r="AA57">
        <f t="shared" si="19"/>
        <v>3</v>
      </c>
      <c r="AB57">
        <f t="shared" si="19"/>
        <v>4</v>
      </c>
      <c r="AC57">
        <f t="shared" si="19"/>
        <v>5</v>
      </c>
      <c r="AD57">
        <f t="shared" si="19"/>
        <v>6</v>
      </c>
      <c r="AE57">
        <f t="shared" si="19"/>
        <v>7</v>
      </c>
      <c r="AF57">
        <f t="shared" si="19"/>
        <v>1</v>
      </c>
      <c r="AG57">
        <f t="shared" si="19"/>
        <v>2</v>
      </c>
      <c r="AH57">
        <f t="shared" si="19"/>
        <v>3</v>
      </c>
      <c r="AI57">
        <f t="shared" si="19"/>
        <v>4</v>
      </c>
      <c r="AJ57">
        <f t="shared" si="19"/>
        <v>5</v>
      </c>
      <c r="AK57">
        <f t="shared" si="19"/>
        <v>6</v>
      </c>
      <c r="AL57">
        <f t="shared" si="19"/>
        <v>7</v>
      </c>
      <c r="AM57">
        <f t="shared" si="19"/>
        <v>1</v>
      </c>
      <c r="AN57">
        <f t="shared" si="19"/>
        <v>2</v>
      </c>
      <c r="AO57">
        <f t="shared" si="19"/>
        <v>3</v>
      </c>
      <c r="AP57">
        <f t="shared" si="19"/>
        <v>4</v>
      </c>
      <c r="AQ57">
        <f t="shared" si="19"/>
        <v>5</v>
      </c>
    </row>
    <row r="58" spans="3:69" ht="20.100000000000001" customHeight="1">
      <c r="C58" s="433" t="str">
        <f ca="1">INDIRECT("T!"&amp;T!A1&amp;"33")</f>
        <v>Etat</v>
      </c>
      <c r="D58" s="434"/>
      <c r="E58" s="427" t="s">
        <v>6</v>
      </c>
      <c r="F58" s="428"/>
      <c r="G58" s="428"/>
      <c r="H58" s="428"/>
      <c r="I58" s="428"/>
      <c r="J58" s="421" t="str">
        <f ca="1">INDIRECT("T!"&amp;T!A1&amp;"34")</f>
        <v>Pozycja</v>
      </c>
      <c r="K58" s="421"/>
      <c r="L58" s="549"/>
      <c r="M58" s="28">
        <v>1</v>
      </c>
      <c r="N58" s="28">
        <v>2</v>
      </c>
      <c r="O58" s="28">
        <v>3</v>
      </c>
      <c r="P58" s="28">
        <v>4</v>
      </c>
      <c r="Q58" s="28">
        <v>5</v>
      </c>
      <c r="R58" s="28">
        <v>6</v>
      </c>
      <c r="S58" s="28">
        <v>7</v>
      </c>
      <c r="T58" s="28">
        <v>8</v>
      </c>
      <c r="U58" s="28">
        <v>9</v>
      </c>
      <c r="V58" s="28">
        <v>10</v>
      </c>
      <c r="W58" s="28">
        <v>11</v>
      </c>
      <c r="X58" s="28">
        <v>12</v>
      </c>
      <c r="Y58" s="28">
        <v>13</v>
      </c>
      <c r="Z58" s="28">
        <v>14</v>
      </c>
      <c r="AA58" s="28">
        <v>15</v>
      </c>
      <c r="AB58" s="28">
        <v>16</v>
      </c>
      <c r="AC58" s="28">
        <v>17</v>
      </c>
      <c r="AD58" s="28">
        <v>18</v>
      </c>
      <c r="AE58" s="28">
        <v>19</v>
      </c>
      <c r="AF58" s="28">
        <v>20</v>
      </c>
      <c r="AG58" s="28">
        <v>21</v>
      </c>
      <c r="AH58" s="28">
        <v>22</v>
      </c>
      <c r="AI58" s="28">
        <v>23</v>
      </c>
      <c r="AJ58" s="28">
        <v>24</v>
      </c>
      <c r="AK58" s="28">
        <v>25</v>
      </c>
      <c r="AL58" s="28">
        <v>26</v>
      </c>
      <c r="AM58" s="28">
        <v>27</v>
      </c>
      <c r="AN58" s="28">
        <v>28</v>
      </c>
      <c r="AO58" s="28">
        <v>29</v>
      </c>
      <c r="AP58" s="28">
        <v>30</v>
      </c>
      <c r="AQ58" s="28">
        <v>31</v>
      </c>
    </row>
    <row r="59" spans="3:69" ht="20.100000000000001" customHeight="1" thickBot="1">
      <c r="C59" s="545"/>
      <c r="D59" s="546"/>
      <c r="E59" s="547"/>
      <c r="F59" s="548"/>
      <c r="G59" s="548"/>
      <c r="H59" s="548"/>
      <c r="I59" s="548"/>
      <c r="J59" s="424"/>
      <c r="K59" s="424"/>
      <c r="L59" s="550"/>
      <c r="M59" s="29" t="str">
        <f ca="1">IF(M57=1,INDIRECT("T!"&amp;T!$A$1&amp;"26"),IF(M57=2,INDIRECT("T!"&amp;T!$A$1&amp;"27"),IF(M57=3,INDIRECT("T!"&amp;T!$A$1&amp;"28"),IF(M57=4,INDIRECT("T!"&amp;T!$A$1&amp;"29"),IF(M57=5,INDIRECT("T!"&amp;T!$A$1&amp;"30"),IF(M57=6,INDIRECT("T!"&amp;T!$A$1&amp;"31"),IF(M57=7,INDIRECT("T!"&amp;T!$A$1&amp;"32"),0)))))))</f>
        <v>Śr</v>
      </c>
      <c r="N59" s="29" t="str">
        <f ca="1">IF(N57=1,INDIRECT("T!"&amp;T!$A$1&amp;"26"),IF(N57=2,INDIRECT("T!"&amp;T!$A$1&amp;"27"),IF(N57=3,INDIRECT("T!"&amp;T!$A$1&amp;"28"),IF(N57=4,INDIRECT("T!"&amp;T!$A$1&amp;"29"),IF(N57=5,INDIRECT("T!"&amp;T!$A$1&amp;"30"),IF(N57=6,INDIRECT("T!"&amp;T!$A$1&amp;"31"),IF(N57=7,INDIRECT("T!"&amp;T!$A$1&amp;"32"),0)))))))</f>
        <v>Cz</v>
      </c>
      <c r="O59" s="29" t="str">
        <f ca="1">IF(O57=1,INDIRECT("T!"&amp;T!$A$1&amp;"26"),IF(O57=2,INDIRECT("T!"&amp;T!$A$1&amp;"27"),IF(O57=3,INDIRECT("T!"&amp;T!$A$1&amp;"28"),IF(O57=4,INDIRECT("T!"&amp;T!$A$1&amp;"29"),IF(O57=5,INDIRECT("T!"&amp;T!$A$1&amp;"30"),IF(O57=6,INDIRECT("T!"&amp;T!$A$1&amp;"31"),IF(O57=7,INDIRECT("T!"&amp;T!$A$1&amp;"32"),0)))))))</f>
        <v>Pt</v>
      </c>
      <c r="P59" s="29" t="str">
        <f ca="1">IF(P57=1,INDIRECT("T!"&amp;T!$A$1&amp;"26"),IF(P57=2,INDIRECT("T!"&amp;T!$A$1&amp;"27"),IF(P57=3,INDIRECT("T!"&amp;T!$A$1&amp;"28"),IF(P57=4,INDIRECT("T!"&amp;T!$A$1&amp;"29"),IF(P57=5,INDIRECT("T!"&amp;T!$A$1&amp;"30"),IF(P57=6,INDIRECT("T!"&amp;T!$A$1&amp;"31"),IF(P57=7,INDIRECT("T!"&amp;T!$A$1&amp;"32"),0)))))))</f>
        <v>So</v>
      </c>
      <c r="Q59" s="29" t="str">
        <f ca="1">IF(Q57=1,INDIRECT("T!"&amp;T!$A$1&amp;"26"),IF(Q57=2,INDIRECT("T!"&amp;T!$A$1&amp;"27"),IF(Q57=3,INDIRECT("T!"&amp;T!$A$1&amp;"28"),IF(Q57=4,INDIRECT("T!"&amp;T!$A$1&amp;"29"),IF(Q57=5,INDIRECT("T!"&amp;T!$A$1&amp;"30"),IF(Q57=6,INDIRECT("T!"&amp;T!$A$1&amp;"31"),IF(Q57=7,INDIRECT("T!"&amp;T!$A$1&amp;"32"),0)))))))</f>
        <v>Nd</v>
      </c>
      <c r="R59" s="29" t="str">
        <f ca="1">IF(R57=1,INDIRECT("T!"&amp;T!$A$1&amp;"26"),IF(R57=2,INDIRECT("T!"&amp;T!$A$1&amp;"27"),IF(R57=3,INDIRECT("T!"&amp;T!$A$1&amp;"28"),IF(R57=4,INDIRECT("T!"&amp;T!$A$1&amp;"29"),IF(R57=5,INDIRECT("T!"&amp;T!$A$1&amp;"30"),IF(R57=6,INDIRECT("T!"&amp;T!$A$1&amp;"31"),IF(R57=7,INDIRECT("T!"&amp;T!$A$1&amp;"32"),0)))))))</f>
        <v>Pn</v>
      </c>
      <c r="S59" s="29" t="str">
        <f ca="1">IF(S57=1,INDIRECT("T!"&amp;T!$A$1&amp;"26"),IF(S57=2,INDIRECT("T!"&amp;T!$A$1&amp;"27"),IF(S57=3,INDIRECT("T!"&amp;T!$A$1&amp;"28"),IF(S57=4,INDIRECT("T!"&amp;T!$A$1&amp;"29"),IF(S57=5,INDIRECT("T!"&amp;T!$A$1&amp;"30"),IF(S57=6,INDIRECT("T!"&amp;T!$A$1&amp;"31"),IF(S57=7,INDIRECT("T!"&amp;T!$A$1&amp;"32"),0)))))))</f>
        <v>Wt</v>
      </c>
      <c r="T59" s="29" t="str">
        <f ca="1">IF(T57=1,INDIRECT("T!"&amp;T!$A$1&amp;"26"),IF(T57=2,INDIRECT("T!"&amp;T!$A$1&amp;"27"),IF(T57=3,INDIRECT("T!"&amp;T!$A$1&amp;"28"),IF(T57=4,INDIRECT("T!"&amp;T!$A$1&amp;"29"),IF(T57=5,INDIRECT("T!"&amp;T!$A$1&amp;"30"),IF(T57=6,INDIRECT("T!"&amp;T!$A$1&amp;"31"),IF(T57=7,INDIRECT("T!"&amp;T!$A$1&amp;"32"),0)))))))</f>
        <v>Śr</v>
      </c>
      <c r="U59" s="29" t="str">
        <f ca="1">IF(U57=1,INDIRECT("T!"&amp;T!$A$1&amp;"26"),IF(U57=2,INDIRECT("T!"&amp;T!$A$1&amp;"27"),IF(U57=3,INDIRECT("T!"&amp;T!$A$1&amp;"28"),IF(U57=4,INDIRECT("T!"&amp;T!$A$1&amp;"29"),IF(U57=5,INDIRECT("T!"&amp;T!$A$1&amp;"30"),IF(U57=6,INDIRECT("T!"&amp;T!$A$1&amp;"31"),IF(U57=7,INDIRECT("T!"&amp;T!$A$1&amp;"32"),0)))))))</f>
        <v>Cz</v>
      </c>
      <c r="V59" s="29" t="str">
        <f ca="1">IF(V57=1,INDIRECT("T!"&amp;T!$A$1&amp;"26"),IF(V57=2,INDIRECT("T!"&amp;T!$A$1&amp;"27"),IF(V57=3,INDIRECT("T!"&amp;T!$A$1&amp;"28"),IF(V57=4,INDIRECT("T!"&amp;T!$A$1&amp;"29"),IF(V57=5,INDIRECT("T!"&amp;T!$A$1&amp;"30"),IF(V57=6,INDIRECT("T!"&amp;T!$A$1&amp;"31"),IF(V57=7,INDIRECT("T!"&amp;T!$A$1&amp;"32"),0)))))))</f>
        <v>Pt</v>
      </c>
      <c r="W59" s="29" t="str">
        <f ca="1">IF(W57=1,INDIRECT("T!"&amp;T!$A$1&amp;"26"),IF(W57=2,INDIRECT("T!"&amp;T!$A$1&amp;"27"),IF(W57=3,INDIRECT("T!"&amp;T!$A$1&amp;"28"),IF(W57=4,INDIRECT("T!"&amp;T!$A$1&amp;"29"),IF(W57=5,INDIRECT("T!"&amp;T!$A$1&amp;"30"),IF(W57=6,INDIRECT("T!"&amp;T!$A$1&amp;"31"),IF(W57=7,INDIRECT("T!"&amp;T!$A$1&amp;"32"),0)))))))</f>
        <v>So</v>
      </c>
      <c r="X59" s="29" t="str">
        <f ca="1">IF(X57=1,INDIRECT("T!"&amp;T!$A$1&amp;"26"),IF(X57=2,INDIRECT("T!"&amp;T!$A$1&amp;"27"),IF(X57=3,INDIRECT("T!"&amp;T!$A$1&amp;"28"),IF(X57=4,INDIRECT("T!"&amp;T!$A$1&amp;"29"),IF(X57=5,INDIRECT("T!"&amp;T!$A$1&amp;"30"),IF(X57=6,INDIRECT("T!"&amp;T!$A$1&amp;"31"),IF(X57=7,INDIRECT("T!"&amp;T!$A$1&amp;"32"),0)))))))</f>
        <v>Nd</v>
      </c>
      <c r="Y59" s="29" t="str">
        <f ca="1">IF(Y57=1,INDIRECT("T!"&amp;T!$A$1&amp;"26"),IF(Y57=2,INDIRECT("T!"&amp;T!$A$1&amp;"27"),IF(Y57=3,INDIRECT("T!"&amp;T!$A$1&amp;"28"),IF(Y57=4,INDIRECT("T!"&amp;T!$A$1&amp;"29"),IF(Y57=5,INDIRECT("T!"&amp;T!$A$1&amp;"30"),IF(Y57=6,INDIRECT("T!"&amp;T!$A$1&amp;"31"),IF(Y57=7,INDIRECT("T!"&amp;T!$A$1&amp;"32"),0)))))))</f>
        <v>Pn</v>
      </c>
      <c r="Z59" s="29" t="str">
        <f ca="1">IF(Z57=1,INDIRECT("T!"&amp;T!$A$1&amp;"26"),IF(Z57=2,INDIRECT("T!"&amp;T!$A$1&amp;"27"),IF(Z57=3,INDIRECT("T!"&amp;T!$A$1&amp;"28"),IF(Z57=4,INDIRECT("T!"&amp;T!$A$1&amp;"29"),IF(Z57=5,INDIRECT("T!"&amp;T!$A$1&amp;"30"),IF(Z57=6,INDIRECT("T!"&amp;T!$A$1&amp;"31"),IF(Z57=7,INDIRECT("T!"&amp;T!$A$1&amp;"32"),0)))))))</f>
        <v>Wt</v>
      </c>
      <c r="AA59" s="29" t="str">
        <f ca="1">IF(AA57=1,INDIRECT("T!"&amp;T!$A$1&amp;"26"),IF(AA57=2,INDIRECT("T!"&amp;T!$A$1&amp;"27"),IF(AA57=3,INDIRECT("T!"&amp;T!$A$1&amp;"28"),IF(AA57=4,INDIRECT("T!"&amp;T!$A$1&amp;"29"),IF(AA57=5,INDIRECT("T!"&amp;T!$A$1&amp;"30"),IF(AA57=6,INDIRECT("T!"&amp;T!$A$1&amp;"31"),IF(AA57=7,INDIRECT("T!"&amp;T!$A$1&amp;"32"),0)))))))</f>
        <v>Śr</v>
      </c>
      <c r="AB59" s="29" t="str">
        <f ca="1">IF(AB57=1,INDIRECT("T!"&amp;T!$A$1&amp;"26"),IF(AB57=2,INDIRECT("T!"&amp;T!$A$1&amp;"27"),IF(AB57=3,INDIRECT("T!"&amp;T!$A$1&amp;"28"),IF(AB57=4,INDIRECT("T!"&amp;T!$A$1&amp;"29"),IF(AB57=5,INDIRECT("T!"&amp;T!$A$1&amp;"30"),IF(AB57=6,INDIRECT("T!"&amp;T!$A$1&amp;"31"),IF(AB57=7,INDIRECT("T!"&amp;T!$A$1&amp;"32"),0)))))))</f>
        <v>Cz</v>
      </c>
      <c r="AC59" s="29" t="str">
        <f ca="1">IF(AC57=1,INDIRECT("T!"&amp;T!$A$1&amp;"26"),IF(AC57=2,INDIRECT("T!"&amp;T!$A$1&amp;"27"),IF(AC57=3,INDIRECT("T!"&amp;T!$A$1&amp;"28"),IF(AC57=4,INDIRECT("T!"&amp;T!$A$1&amp;"29"),IF(AC57=5,INDIRECT("T!"&amp;T!$A$1&amp;"30"),IF(AC57=6,INDIRECT("T!"&amp;T!$A$1&amp;"31"),IF(AC57=7,INDIRECT("T!"&amp;T!$A$1&amp;"32"),0)))))))</f>
        <v>Pt</v>
      </c>
      <c r="AD59" s="29" t="str">
        <f ca="1">IF(AD57=1,INDIRECT("T!"&amp;T!$A$1&amp;"26"),IF(AD57=2,INDIRECT("T!"&amp;T!$A$1&amp;"27"),IF(AD57=3,INDIRECT("T!"&amp;T!$A$1&amp;"28"),IF(AD57=4,INDIRECT("T!"&amp;T!$A$1&amp;"29"),IF(AD57=5,INDIRECT("T!"&amp;T!$A$1&amp;"30"),IF(AD57=6,INDIRECT("T!"&amp;T!$A$1&amp;"31"),IF(AD57=7,INDIRECT("T!"&amp;T!$A$1&amp;"32"),0)))))))</f>
        <v>So</v>
      </c>
      <c r="AE59" s="29" t="str">
        <f ca="1">IF(AE57=1,INDIRECT("T!"&amp;T!$A$1&amp;"26"),IF(AE57=2,INDIRECT("T!"&amp;T!$A$1&amp;"27"),IF(AE57=3,INDIRECT("T!"&amp;T!$A$1&amp;"28"),IF(AE57=4,INDIRECT("T!"&amp;T!$A$1&amp;"29"),IF(AE57=5,INDIRECT("T!"&amp;T!$A$1&amp;"30"),IF(AE57=6,INDIRECT("T!"&amp;T!$A$1&amp;"31"),IF(AE57=7,INDIRECT("T!"&amp;T!$A$1&amp;"32"),0)))))))</f>
        <v>Nd</v>
      </c>
      <c r="AF59" s="29" t="str">
        <f ca="1">IF(AF57=1,INDIRECT("T!"&amp;T!$A$1&amp;"26"),IF(AF57=2,INDIRECT("T!"&amp;T!$A$1&amp;"27"),IF(AF57=3,INDIRECT("T!"&amp;T!$A$1&amp;"28"),IF(AF57=4,INDIRECT("T!"&amp;T!$A$1&amp;"29"),IF(AF57=5,INDIRECT("T!"&amp;T!$A$1&amp;"30"),IF(AF57=6,INDIRECT("T!"&amp;T!$A$1&amp;"31"),IF(AF57=7,INDIRECT("T!"&amp;T!$A$1&amp;"32"),0)))))))</f>
        <v>Pn</v>
      </c>
      <c r="AG59" s="29" t="str">
        <f ca="1">IF(AG57=1,INDIRECT("T!"&amp;T!$A$1&amp;"26"),IF(AG57=2,INDIRECT("T!"&amp;T!$A$1&amp;"27"),IF(AG57=3,INDIRECT("T!"&amp;T!$A$1&amp;"28"),IF(AG57=4,INDIRECT("T!"&amp;T!$A$1&amp;"29"),IF(AG57=5,INDIRECT("T!"&amp;T!$A$1&amp;"30"),IF(AG57=6,INDIRECT("T!"&amp;T!$A$1&amp;"31"),IF(AG57=7,INDIRECT("T!"&amp;T!$A$1&amp;"32"),0)))))))</f>
        <v>Wt</v>
      </c>
      <c r="AH59" s="29" t="str">
        <f ca="1">IF(AH57=1,INDIRECT("T!"&amp;T!$A$1&amp;"26"),IF(AH57=2,INDIRECT("T!"&amp;T!$A$1&amp;"27"),IF(AH57=3,INDIRECT("T!"&amp;T!$A$1&amp;"28"),IF(AH57=4,INDIRECT("T!"&amp;T!$A$1&amp;"29"),IF(AH57=5,INDIRECT("T!"&amp;T!$A$1&amp;"30"),IF(AH57=6,INDIRECT("T!"&amp;T!$A$1&amp;"31"),IF(AH57=7,INDIRECT("T!"&amp;T!$A$1&amp;"32"),0)))))))</f>
        <v>Śr</v>
      </c>
      <c r="AI59" s="29" t="str">
        <f ca="1">IF(AI57=1,INDIRECT("T!"&amp;T!$A$1&amp;"26"),IF(AI57=2,INDIRECT("T!"&amp;T!$A$1&amp;"27"),IF(AI57=3,INDIRECT("T!"&amp;T!$A$1&amp;"28"),IF(AI57=4,INDIRECT("T!"&amp;T!$A$1&amp;"29"),IF(AI57=5,INDIRECT("T!"&amp;T!$A$1&amp;"30"),IF(AI57=6,INDIRECT("T!"&amp;T!$A$1&amp;"31"),IF(AI57=7,INDIRECT("T!"&amp;T!$A$1&amp;"32"),0)))))))</f>
        <v>Cz</v>
      </c>
      <c r="AJ59" s="29" t="str">
        <f ca="1">IF(AJ57=1,INDIRECT("T!"&amp;T!$A$1&amp;"26"),IF(AJ57=2,INDIRECT("T!"&amp;T!$A$1&amp;"27"),IF(AJ57=3,INDIRECT("T!"&amp;T!$A$1&amp;"28"),IF(AJ57=4,INDIRECT("T!"&amp;T!$A$1&amp;"29"),IF(AJ57=5,INDIRECT("T!"&amp;T!$A$1&amp;"30"),IF(AJ57=6,INDIRECT("T!"&amp;T!$A$1&amp;"31"),IF(AJ57=7,INDIRECT("T!"&amp;T!$A$1&amp;"32"),0)))))))</f>
        <v>Pt</v>
      </c>
      <c r="AK59" s="29" t="str">
        <f ca="1">IF(AK57=1,INDIRECT("T!"&amp;T!$A$1&amp;"26"),IF(AK57=2,INDIRECT("T!"&amp;T!$A$1&amp;"27"),IF(AK57=3,INDIRECT("T!"&amp;T!$A$1&amp;"28"),IF(AK57=4,INDIRECT("T!"&amp;T!$A$1&amp;"29"),IF(AK57=5,INDIRECT("T!"&amp;T!$A$1&amp;"30"),IF(AK57=6,INDIRECT("T!"&amp;T!$A$1&amp;"31"),IF(AK57=7,INDIRECT("T!"&amp;T!$A$1&amp;"32"),0)))))))</f>
        <v>So</v>
      </c>
      <c r="AL59" s="29" t="str">
        <f ca="1">IF(AL57=1,INDIRECT("T!"&amp;T!$A$1&amp;"26"),IF(AL57=2,INDIRECT("T!"&amp;T!$A$1&amp;"27"),IF(AL57=3,INDIRECT("T!"&amp;T!$A$1&amp;"28"),IF(AL57=4,INDIRECT("T!"&amp;T!$A$1&amp;"29"),IF(AL57=5,INDIRECT("T!"&amp;T!$A$1&amp;"30"),IF(AL57=6,INDIRECT("T!"&amp;T!$A$1&amp;"31"),IF(AL57=7,INDIRECT("T!"&amp;T!$A$1&amp;"32"),0)))))))</f>
        <v>Nd</v>
      </c>
      <c r="AM59" s="29" t="str">
        <f ca="1">IF(AM57=1,INDIRECT("T!"&amp;T!$A$1&amp;"26"),IF(AM57=2,INDIRECT("T!"&amp;T!$A$1&amp;"27"),IF(AM57=3,INDIRECT("T!"&amp;T!$A$1&amp;"28"),IF(AM57=4,INDIRECT("T!"&amp;T!$A$1&amp;"29"),IF(AM57=5,INDIRECT("T!"&amp;T!$A$1&amp;"30"),IF(AM57=6,INDIRECT("T!"&amp;T!$A$1&amp;"31"),IF(AM57=7,INDIRECT("T!"&amp;T!$A$1&amp;"32"),0)))))))</f>
        <v>Pn</v>
      </c>
      <c r="AN59" s="29" t="str">
        <f ca="1">IF(AN57=1,INDIRECT("T!"&amp;T!$A$1&amp;"26"),IF(AN57=2,INDIRECT("T!"&amp;T!$A$1&amp;"27"),IF(AN57=3,INDIRECT("T!"&amp;T!$A$1&amp;"28"),IF(AN57=4,INDIRECT("T!"&amp;T!$A$1&amp;"29"),IF(AN57=5,INDIRECT("T!"&amp;T!$A$1&amp;"30"),IF(AN57=6,INDIRECT("T!"&amp;T!$A$1&amp;"31"),IF(AN57=7,INDIRECT("T!"&amp;T!$A$1&amp;"32"),0)))))))</f>
        <v>Wt</v>
      </c>
      <c r="AO59" s="29" t="str">
        <f ca="1">IF(AO57=1,INDIRECT("T!"&amp;T!$A$1&amp;"26"),IF(AO57=2,INDIRECT("T!"&amp;T!$A$1&amp;"27"),IF(AO57=3,INDIRECT("T!"&amp;T!$A$1&amp;"28"),IF(AO57=4,INDIRECT("T!"&amp;T!$A$1&amp;"29"),IF(AO57=5,INDIRECT("T!"&amp;T!$A$1&amp;"30"),IF(AO57=6,INDIRECT("T!"&amp;T!$A$1&amp;"31"),IF(AO57=7,INDIRECT("T!"&amp;T!$A$1&amp;"32"),0)))))))</f>
        <v>Śr</v>
      </c>
      <c r="AP59" s="29" t="str">
        <f ca="1">IF(AP57=1,INDIRECT("T!"&amp;T!$A$1&amp;"26"),IF(AP57=2,INDIRECT("T!"&amp;T!$A$1&amp;"27"),IF(AP57=3,INDIRECT("T!"&amp;T!$A$1&amp;"28"),IF(AP57=4,INDIRECT("T!"&amp;T!$A$1&amp;"29"),IF(AP57=5,INDIRECT("T!"&amp;T!$A$1&amp;"30"),IF(AP57=6,INDIRECT("T!"&amp;T!$A$1&amp;"31"),IF(AP57=7,INDIRECT("T!"&amp;T!$A$1&amp;"32"),0)))))))</f>
        <v>Cz</v>
      </c>
      <c r="AQ59" s="29" t="str">
        <f ca="1">IF(AQ57=1,INDIRECT("T!"&amp;T!$A$1&amp;"26"),IF(AQ57=2,INDIRECT("T!"&amp;T!$A$1&amp;"27"),IF(AQ57=3,INDIRECT("T!"&amp;T!$A$1&amp;"28"),IF(AQ57=4,INDIRECT("T!"&amp;T!$A$1&amp;"29"),IF(AQ57=5,INDIRECT("T!"&amp;T!$A$1&amp;"30"),IF(AQ57=6,INDIRECT("T!"&amp;T!$A$1&amp;"31"),IF(AQ57=7,INDIRECT("T!"&amp;T!$A$1&amp;"32"),0)))))))</f>
        <v>Pt</v>
      </c>
    </row>
    <row r="60" spans="3:69" ht="20.100000000000001" customHeight="1">
      <c r="C60" s="591" t="s">
        <v>7</v>
      </c>
      <c r="D60" s="592"/>
      <c r="E60" s="603" t="s">
        <v>8</v>
      </c>
      <c r="F60" s="604"/>
      <c r="G60" s="604"/>
      <c r="H60" s="604"/>
      <c r="I60" s="604"/>
      <c r="J60" s="605" t="s">
        <v>9</v>
      </c>
      <c r="K60" s="605"/>
      <c r="L60" s="606"/>
      <c r="M60" s="35" t="s">
        <v>11</v>
      </c>
      <c r="N60" s="252" t="s">
        <v>16</v>
      </c>
      <c r="O60" s="252" t="s">
        <v>14</v>
      </c>
      <c r="P60" s="38" t="s">
        <v>10</v>
      </c>
      <c r="Q60" s="38" t="s">
        <v>10</v>
      </c>
      <c r="R60" s="38" t="s">
        <v>11</v>
      </c>
      <c r="S60" s="252" t="s">
        <v>11</v>
      </c>
      <c r="T60" s="252" t="s">
        <v>11</v>
      </c>
      <c r="U60" s="252" t="s">
        <v>16</v>
      </c>
      <c r="V60" s="252" t="s">
        <v>11</v>
      </c>
      <c r="W60" s="38" t="s">
        <v>10</v>
      </c>
      <c r="X60" s="38" t="s">
        <v>10</v>
      </c>
      <c r="Y60" s="252" t="s">
        <v>11</v>
      </c>
      <c r="Z60" s="252" t="s">
        <v>11</v>
      </c>
      <c r="AA60" s="252" t="s">
        <v>11</v>
      </c>
      <c r="AB60" s="252" t="s">
        <v>17</v>
      </c>
      <c r="AC60" s="252" t="s">
        <v>15</v>
      </c>
      <c r="AD60" s="38" t="s">
        <v>10</v>
      </c>
      <c r="AE60" s="38" t="s">
        <v>10</v>
      </c>
      <c r="AF60" s="252" t="s">
        <v>11</v>
      </c>
      <c r="AG60" s="252" t="s">
        <v>11</v>
      </c>
      <c r="AH60" s="38" t="s">
        <v>14</v>
      </c>
      <c r="AI60" s="252" t="s">
        <v>11</v>
      </c>
      <c r="AJ60" s="252" t="s">
        <v>10</v>
      </c>
      <c r="AK60" s="38" t="s">
        <v>10</v>
      </c>
      <c r="AL60" s="38" t="s">
        <v>11</v>
      </c>
      <c r="AM60" s="252" t="s">
        <v>11</v>
      </c>
      <c r="AN60" s="252" t="s">
        <v>11</v>
      </c>
      <c r="AO60" s="252" t="s">
        <v>10</v>
      </c>
      <c r="AP60" s="252" t="s">
        <v>11</v>
      </c>
      <c r="AQ60" s="203"/>
      <c r="AS60" s="43">
        <f t="shared" si="17"/>
        <v>2</v>
      </c>
      <c r="AT60" s="43">
        <f t="shared" si="17"/>
        <v>2</v>
      </c>
      <c r="AU60" s="43">
        <f t="shared" si="17"/>
        <v>0</v>
      </c>
      <c r="AV60" s="43">
        <f t="shared" si="17"/>
        <v>0</v>
      </c>
      <c r="AW60" s="43">
        <f t="shared" si="17"/>
        <v>0</v>
      </c>
      <c r="AX60" s="43">
        <f t="shared" si="17"/>
        <v>0</v>
      </c>
      <c r="AY60" s="43">
        <f t="shared" si="17"/>
        <v>0</v>
      </c>
      <c r="AZ60" s="43">
        <f t="shared" si="17"/>
        <v>0</v>
      </c>
      <c r="BA60" s="43">
        <f t="shared" si="17"/>
        <v>0</v>
      </c>
      <c r="BB60" s="43">
        <f t="shared" si="17"/>
        <v>0</v>
      </c>
      <c r="BC60" s="43">
        <f t="shared" si="17"/>
        <v>0</v>
      </c>
      <c r="BD60" s="43">
        <f t="shared" si="17"/>
        <v>0</v>
      </c>
      <c r="BE60" s="43">
        <f t="shared" si="17"/>
        <v>0</v>
      </c>
      <c r="BF60" s="43">
        <f t="shared" si="17"/>
        <v>0</v>
      </c>
      <c r="BG60" s="43">
        <f t="shared" si="17"/>
        <v>0</v>
      </c>
      <c r="BH60" s="43">
        <f t="shared" si="17"/>
        <v>0</v>
      </c>
      <c r="BI60" s="43">
        <f t="shared" si="16"/>
        <v>0</v>
      </c>
      <c r="BJ60" s="43">
        <f t="shared" si="16"/>
        <v>1</v>
      </c>
      <c r="BK60" s="43">
        <f t="shared" si="16"/>
        <v>0</v>
      </c>
      <c r="BL60" s="43">
        <f t="shared" si="16"/>
        <v>0</v>
      </c>
      <c r="BM60" s="43">
        <f t="shared" si="16"/>
        <v>0</v>
      </c>
      <c r="BN60" s="43">
        <f t="shared" si="16"/>
        <v>9</v>
      </c>
      <c r="BO60" s="43">
        <f t="shared" si="16"/>
        <v>1</v>
      </c>
      <c r="BP60" s="43">
        <f t="shared" si="16"/>
        <v>0</v>
      </c>
      <c r="BQ60" s="43">
        <f t="shared" si="16"/>
        <v>0</v>
      </c>
    </row>
    <row r="61" spans="3:69" ht="20.100000000000001" customHeight="1">
      <c r="C61" s="591" t="s">
        <v>7</v>
      </c>
      <c r="D61" s="592"/>
      <c r="E61" s="593" t="s">
        <v>21</v>
      </c>
      <c r="F61" s="594"/>
      <c r="G61" s="594"/>
      <c r="H61" s="594"/>
      <c r="I61" s="594"/>
      <c r="J61" s="595" t="s">
        <v>22</v>
      </c>
      <c r="K61" s="595"/>
      <c r="L61" s="596"/>
      <c r="M61" s="36" t="s">
        <v>14</v>
      </c>
      <c r="N61" s="251" t="s">
        <v>10</v>
      </c>
      <c r="O61" s="251" t="s">
        <v>16</v>
      </c>
      <c r="P61" s="39" t="s">
        <v>10</v>
      </c>
      <c r="Q61" s="39" t="s">
        <v>10</v>
      </c>
      <c r="R61" s="39" t="s">
        <v>10</v>
      </c>
      <c r="S61" s="251" t="s">
        <v>14</v>
      </c>
      <c r="T61" s="251" t="s">
        <v>14</v>
      </c>
      <c r="U61" s="251" t="s">
        <v>13</v>
      </c>
      <c r="V61" s="251" t="s">
        <v>16</v>
      </c>
      <c r="W61" s="39" t="s">
        <v>10</v>
      </c>
      <c r="X61" s="39" t="s">
        <v>10</v>
      </c>
      <c r="Y61" s="251" t="s">
        <v>16</v>
      </c>
      <c r="Z61" s="251" t="s">
        <v>14</v>
      </c>
      <c r="AA61" s="251" t="s">
        <v>14</v>
      </c>
      <c r="AB61" s="251" t="s">
        <v>13</v>
      </c>
      <c r="AC61" s="251" t="s">
        <v>16</v>
      </c>
      <c r="AD61" s="39" t="s">
        <v>10</v>
      </c>
      <c r="AE61" s="39" t="s">
        <v>10</v>
      </c>
      <c r="AF61" s="251" t="s">
        <v>16</v>
      </c>
      <c r="AG61" s="251" t="s">
        <v>14</v>
      </c>
      <c r="AH61" s="39" t="s">
        <v>24</v>
      </c>
      <c r="AI61" s="251" t="s">
        <v>14</v>
      </c>
      <c r="AJ61" s="251" t="s">
        <v>14</v>
      </c>
      <c r="AK61" s="39" t="s">
        <v>10</v>
      </c>
      <c r="AL61" s="39" t="s">
        <v>20</v>
      </c>
      <c r="AM61" s="251" t="s">
        <v>16</v>
      </c>
      <c r="AN61" s="251" t="s">
        <v>16</v>
      </c>
      <c r="AO61" s="251" t="s">
        <v>16</v>
      </c>
      <c r="AP61" s="251" t="s">
        <v>16</v>
      </c>
      <c r="AQ61" s="204"/>
      <c r="AS61" s="43">
        <f t="shared" si="17"/>
        <v>9</v>
      </c>
      <c r="AT61" s="43">
        <f t="shared" si="17"/>
        <v>8</v>
      </c>
      <c r="AU61" s="43">
        <f t="shared" si="17"/>
        <v>0</v>
      </c>
      <c r="AV61" s="43">
        <f t="shared" si="17"/>
        <v>0</v>
      </c>
      <c r="AW61" s="43">
        <f t="shared" si="17"/>
        <v>1</v>
      </c>
      <c r="AX61" s="43">
        <f t="shared" si="17"/>
        <v>1</v>
      </c>
      <c r="AY61" s="43">
        <f t="shared" si="17"/>
        <v>0</v>
      </c>
      <c r="AZ61" s="43">
        <f t="shared" si="17"/>
        <v>2</v>
      </c>
      <c r="BA61" s="43">
        <f t="shared" si="17"/>
        <v>0</v>
      </c>
      <c r="BB61" s="43">
        <f t="shared" si="17"/>
        <v>0</v>
      </c>
      <c r="BC61" s="43">
        <f t="shared" si="17"/>
        <v>0</v>
      </c>
      <c r="BD61" s="43">
        <f t="shared" si="17"/>
        <v>0</v>
      </c>
      <c r="BE61" s="43">
        <f t="shared" si="17"/>
        <v>0</v>
      </c>
      <c r="BF61" s="43">
        <f t="shared" si="17"/>
        <v>0</v>
      </c>
      <c r="BG61" s="43">
        <f t="shared" si="17"/>
        <v>0</v>
      </c>
      <c r="BH61" s="43">
        <f t="shared" si="17"/>
        <v>0</v>
      </c>
      <c r="BI61" s="43">
        <f t="shared" si="16"/>
        <v>0</v>
      </c>
      <c r="BJ61" s="43">
        <f t="shared" si="16"/>
        <v>0</v>
      </c>
      <c r="BK61" s="43">
        <f t="shared" si="16"/>
        <v>0</v>
      </c>
      <c r="BL61" s="43">
        <f t="shared" si="16"/>
        <v>0</v>
      </c>
      <c r="BM61" s="43">
        <f t="shared" si="16"/>
        <v>0</v>
      </c>
      <c r="BN61" s="43">
        <f t="shared" si="16"/>
        <v>9</v>
      </c>
      <c r="BO61" s="43">
        <f t="shared" si="16"/>
        <v>0</v>
      </c>
      <c r="BP61" s="43">
        <f t="shared" si="16"/>
        <v>0</v>
      </c>
      <c r="BQ61" s="43">
        <f t="shared" si="16"/>
        <v>0</v>
      </c>
    </row>
    <row r="62" spans="3:69" ht="20.100000000000001" customHeight="1">
      <c r="C62" s="591">
        <v>0.75</v>
      </c>
      <c r="D62" s="592"/>
      <c r="E62" s="593" t="s">
        <v>25</v>
      </c>
      <c r="F62" s="594"/>
      <c r="G62" s="594"/>
      <c r="H62" s="594"/>
      <c r="I62" s="594"/>
      <c r="J62" s="595" t="s">
        <v>22</v>
      </c>
      <c r="K62" s="595"/>
      <c r="L62" s="596"/>
      <c r="M62" s="36" t="s">
        <v>10</v>
      </c>
      <c r="N62" s="251" t="s">
        <v>14</v>
      </c>
      <c r="O62" s="251" t="s">
        <v>32</v>
      </c>
      <c r="P62" s="39" t="s">
        <v>10</v>
      </c>
      <c r="Q62" s="39" t="s">
        <v>10</v>
      </c>
      <c r="R62" s="39" t="s">
        <v>10</v>
      </c>
      <c r="S62" s="251" t="s">
        <v>12</v>
      </c>
      <c r="T62" s="251" t="s">
        <v>16</v>
      </c>
      <c r="U62" s="251" t="s">
        <v>14</v>
      </c>
      <c r="V62" s="251" t="s">
        <v>10</v>
      </c>
      <c r="W62" s="39" t="s">
        <v>16</v>
      </c>
      <c r="X62" s="39" t="s">
        <v>10</v>
      </c>
      <c r="Y62" s="251" t="s">
        <v>10</v>
      </c>
      <c r="Z62" s="251" t="s">
        <v>16</v>
      </c>
      <c r="AA62" s="251" t="s">
        <v>16</v>
      </c>
      <c r="AB62" s="251" t="s">
        <v>14</v>
      </c>
      <c r="AC62" s="251" t="s">
        <v>10</v>
      </c>
      <c r="AD62" s="39" t="s">
        <v>16</v>
      </c>
      <c r="AE62" s="39" t="s">
        <v>23</v>
      </c>
      <c r="AF62" s="251" t="s">
        <v>10</v>
      </c>
      <c r="AG62" s="251" t="s">
        <v>10</v>
      </c>
      <c r="AH62" s="39" t="s">
        <v>10</v>
      </c>
      <c r="AI62" s="251" t="s">
        <v>10</v>
      </c>
      <c r="AJ62" s="251" t="s">
        <v>16</v>
      </c>
      <c r="AK62" s="39" t="s">
        <v>16</v>
      </c>
      <c r="AL62" s="39" t="s">
        <v>16</v>
      </c>
      <c r="AM62" s="251" t="s">
        <v>10</v>
      </c>
      <c r="AN62" s="251" t="s">
        <v>10</v>
      </c>
      <c r="AO62" s="251" t="s">
        <v>14</v>
      </c>
      <c r="AP62" s="251" t="s">
        <v>11</v>
      </c>
      <c r="AQ62" s="204"/>
      <c r="AS62" s="43">
        <f t="shared" si="17"/>
        <v>8</v>
      </c>
      <c r="AT62" s="43">
        <f t="shared" si="17"/>
        <v>4</v>
      </c>
      <c r="AU62" s="43">
        <f t="shared" si="17"/>
        <v>1</v>
      </c>
      <c r="AV62" s="43">
        <f t="shared" si="17"/>
        <v>0</v>
      </c>
      <c r="AW62" s="43">
        <f t="shared" si="17"/>
        <v>0</v>
      </c>
      <c r="AX62" s="43">
        <f t="shared" si="17"/>
        <v>0</v>
      </c>
      <c r="AY62" s="43">
        <f t="shared" si="17"/>
        <v>0</v>
      </c>
      <c r="AZ62" s="43">
        <f t="shared" si="17"/>
        <v>0</v>
      </c>
      <c r="BA62" s="43">
        <f t="shared" si="17"/>
        <v>1</v>
      </c>
      <c r="BB62" s="43">
        <f t="shared" si="17"/>
        <v>1</v>
      </c>
      <c r="BC62" s="43">
        <f t="shared" si="17"/>
        <v>0</v>
      </c>
      <c r="BD62" s="43">
        <f t="shared" si="17"/>
        <v>0</v>
      </c>
      <c r="BE62" s="43">
        <f t="shared" si="17"/>
        <v>0</v>
      </c>
      <c r="BF62" s="43">
        <f t="shared" si="17"/>
        <v>0</v>
      </c>
      <c r="BG62" s="43">
        <f t="shared" si="17"/>
        <v>0</v>
      </c>
      <c r="BH62" s="43">
        <f t="shared" si="17"/>
        <v>0</v>
      </c>
      <c r="BI62" s="43">
        <f t="shared" si="16"/>
        <v>0</v>
      </c>
      <c r="BJ62" s="43">
        <f t="shared" si="16"/>
        <v>0</v>
      </c>
      <c r="BK62" s="43">
        <f t="shared" si="16"/>
        <v>0</v>
      </c>
      <c r="BL62" s="43">
        <f t="shared" si="16"/>
        <v>0</v>
      </c>
      <c r="BM62" s="43">
        <f t="shared" si="16"/>
        <v>0</v>
      </c>
      <c r="BN62" s="43">
        <f t="shared" si="16"/>
        <v>14</v>
      </c>
      <c r="BO62" s="43">
        <f t="shared" si="16"/>
        <v>0</v>
      </c>
      <c r="BP62" s="43">
        <f t="shared" si="16"/>
        <v>0</v>
      </c>
      <c r="BQ62" s="43">
        <f t="shared" si="16"/>
        <v>0</v>
      </c>
    </row>
    <row r="63" spans="3:69" ht="20.100000000000001" customHeight="1">
      <c r="C63" s="591">
        <v>0.25</v>
      </c>
      <c r="D63" s="592"/>
      <c r="E63" s="593" t="s">
        <v>28</v>
      </c>
      <c r="F63" s="594"/>
      <c r="G63" s="594"/>
      <c r="H63" s="594"/>
      <c r="I63" s="594"/>
      <c r="J63" s="595" t="s">
        <v>22</v>
      </c>
      <c r="K63" s="595"/>
      <c r="L63" s="596"/>
      <c r="M63" s="36" t="s">
        <v>10</v>
      </c>
      <c r="N63" s="251" t="s">
        <v>17</v>
      </c>
      <c r="O63" s="251" t="s">
        <v>17</v>
      </c>
      <c r="P63" s="39" t="s">
        <v>10</v>
      </c>
      <c r="Q63" s="39" t="s">
        <v>10</v>
      </c>
      <c r="R63" s="39" t="s">
        <v>10</v>
      </c>
      <c r="S63" s="251" t="s">
        <v>10</v>
      </c>
      <c r="T63" s="251" t="s">
        <v>10</v>
      </c>
      <c r="U63" s="251" t="s">
        <v>10</v>
      </c>
      <c r="V63" s="251" t="s">
        <v>10</v>
      </c>
      <c r="W63" s="39" t="s">
        <v>10</v>
      </c>
      <c r="X63" s="39" t="s">
        <v>16</v>
      </c>
      <c r="Y63" s="251" t="s">
        <v>10</v>
      </c>
      <c r="Z63" s="251" t="s">
        <v>10</v>
      </c>
      <c r="AA63" s="251" t="s">
        <v>10</v>
      </c>
      <c r="AB63" s="251" t="s">
        <v>10</v>
      </c>
      <c r="AC63" s="251" t="s">
        <v>10</v>
      </c>
      <c r="AD63" s="39" t="s">
        <v>20</v>
      </c>
      <c r="AE63" s="39" t="s">
        <v>10</v>
      </c>
      <c r="AF63" s="251" t="s">
        <v>10</v>
      </c>
      <c r="AG63" s="251" t="s">
        <v>16</v>
      </c>
      <c r="AH63" s="39" t="s">
        <v>10</v>
      </c>
      <c r="AI63" s="251" t="s">
        <v>10</v>
      </c>
      <c r="AJ63" s="251" t="s">
        <v>10</v>
      </c>
      <c r="AK63" s="39" t="s">
        <v>14</v>
      </c>
      <c r="AL63" s="39" t="s">
        <v>14</v>
      </c>
      <c r="AM63" s="251" t="s">
        <v>10</v>
      </c>
      <c r="AN63" s="251" t="s">
        <v>10</v>
      </c>
      <c r="AO63" s="251" t="s">
        <v>10</v>
      </c>
      <c r="AP63" s="251" t="s">
        <v>10</v>
      </c>
      <c r="AQ63" s="204"/>
      <c r="AS63" s="43">
        <f t="shared" si="17"/>
        <v>2</v>
      </c>
      <c r="AT63" s="43">
        <f t="shared" si="17"/>
        <v>2</v>
      </c>
      <c r="AU63" s="43">
        <f t="shared" si="17"/>
        <v>0</v>
      </c>
      <c r="AV63" s="43">
        <f t="shared" si="17"/>
        <v>0</v>
      </c>
      <c r="AW63" s="43">
        <f t="shared" si="17"/>
        <v>1</v>
      </c>
      <c r="AX63" s="43">
        <f t="shared" si="17"/>
        <v>0</v>
      </c>
      <c r="AY63" s="43">
        <f t="shared" si="17"/>
        <v>0</v>
      </c>
      <c r="AZ63" s="43">
        <f t="shared" si="17"/>
        <v>0</v>
      </c>
      <c r="BA63" s="43">
        <f t="shared" si="17"/>
        <v>0</v>
      </c>
      <c r="BB63" s="43">
        <f t="shared" si="17"/>
        <v>0</v>
      </c>
      <c r="BC63" s="43">
        <f t="shared" si="17"/>
        <v>0</v>
      </c>
      <c r="BD63" s="43">
        <f t="shared" si="17"/>
        <v>0</v>
      </c>
      <c r="BE63" s="43">
        <f t="shared" si="17"/>
        <v>0</v>
      </c>
      <c r="BF63" s="43">
        <f t="shared" si="17"/>
        <v>0</v>
      </c>
      <c r="BG63" s="43">
        <f t="shared" si="17"/>
        <v>0</v>
      </c>
      <c r="BH63" s="43">
        <f t="shared" si="17"/>
        <v>0</v>
      </c>
      <c r="BI63" s="43">
        <f t="shared" si="16"/>
        <v>0</v>
      </c>
      <c r="BJ63" s="43">
        <f t="shared" si="16"/>
        <v>2</v>
      </c>
      <c r="BK63" s="43">
        <f t="shared" si="16"/>
        <v>0</v>
      </c>
      <c r="BL63" s="43">
        <f t="shared" si="16"/>
        <v>0</v>
      </c>
      <c r="BM63" s="43">
        <f t="shared" si="16"/>
        <v>0</v>
      </c>
      <c r="BN63" s="43">
        <f t="shared" si="16"/>
        <v>23</v>
      </c>
      <c r="BO63" s="43">
        <f t="shared" si="16"/>
        <v>2</v>
      </c>
      <c r="BP63" s="43">
        <f t="shared" si="16"/>
        <v>0</v>
      </c>
      <c r="BQ63" s="43">
        <f t="shared" si="16"/>
        <v>0</v>
      </c>
    </row>
    <row r="64" spans="3:69" ht="20.100000000000001" customHeight="1">
      <c r="C64" s="591">
        <v>0.5</v>
      </c>
      <c r="D64" s="592"/>
      <c r="E64" s="593" t="s">
        <v>30</v>
      </c>
      <c r="F64" s="594"/>
      <c r="G64" s="594"/>
      <c r="H64" s="594"/>
      <c r="I64" s="594"/>
      <c r="J64" s="595" t="s">
        <v>22</v>
      </c>
      <c r="K64" s="595"/>
      <c r="L64" s="596"/>
      <c r="M64" s="36" t="s">
        <v>16</v>
      </c>
      <c r="N64" s="251" t="s">
        <v>10</v>
      </c>
      <c r="O64" s="251" t="s">
        <v>10</v>
      </c>
      <c r="P64" s="39" t="s">
        <v>10</v>
      </c>
      <c r="Q64" s="39" t="s">
        <v>10</v>
      </c>
      <c r="R64" s="39" t="s">
        <v>10</v>
      </c>
      <c r="S64" s="251" t="s">
        <v>10</v>
      </c>
      <c r="T64" s="251" t="s">
        <v>10</v>
      </c>
      <c r="U64" s="251" t="s">
        <v>10</v>
      </c>
      <c r="V64" s="251" t="s">
        <v>10</v>
      </c>
      <c r="W64" s="39" t="s">
        <v>10</v>
      </c>
      <c r="X64" s="39" t="s">
        <v>10</v>
      </c>
      <c r="Y64" s="251" t="s">
        <v>10</v>
      </c>
      <c r="Z64" s="251" t="s">
        <v>109</v>
      </c>
      <c r="AA64" s="251" t="s">
        <v>12</v>
      </c>
      <c r="AB64" s="251" t="s">
        <v>16</v>
      </c>
      <c r="AC64" s="251" t="s">
        <v>10</v>
      </c>
      <c r="AD64" s="39" t="s">
        <v>10</v>
      </c>
      <c r="AE64" s="39" t="s">
        <v>10</v>
      </c>
      <c r="AF64" s="251" t="s">
        <v>108</v>
      </c>
      <c r="AG64" s="251" t="s">
        <v>108</v>
      </c>
      <c r="AH64" s="39" t="s">
        <v>16</v>
      </c>
      <c r="AI64" s="251" t="s">
        <v>16</v>
      </c>
      <c r="AJ64" s="251" t="s">
        <v>10</v>
      </c>
      <c r="AK64" s="39" t="s">
        <v>10</v>
      </c>
      <c r="AL64" s="39" t="s">
        <v>10</v>
      </c>
      <c r="AM64" s="251" t="s">
        <v>14</v>
      </c>
      <c r="AN64" s="251" t="s">
        <v>12</v>
      </c>
      <c r="AO64" s="251" t="s">
        <v>10</v>
      </c>
      <c r="AP64" s="251" t="s">
        <v>14</v>
      </c>
      <c r="AQ64" s="204"/>
      <c r="AS64" s="43">
        <f t="shared" si="17"/>
        <v>4</v>
      </c>
      <c r="AT64" s="43">
        <f t="shared" si="17"/>
        <v>2</v>
      </c>
      <c r="AU64" s="43">
        <f t="shared" si="17"/>
        <v>0</v>
      </c>
      <c r="AV64" s="43">
        <f t="shared" si="17"/>
        <v>0</v>
      </c>
      <c r="AW64" s="43">
        <f t="shared" si="17"/>
        <v>0</v>
      </c>
      <c r="AX64" s="43">
        <f t="shared" si="17"/>
        <v>0</v>
      </c>
      <c r="AY64" s="43">
        <f t="shared" si="17"/>
        <v>2</v>
      </c>
      <c r="AZ64" s="43">
        <f t="shared" si="17"/>
        <v>0</v>
      </c>
      <c r="BA64" s="43">
        <f t="shared" si="17"/>
        <v>2</v>
      </c>
      <c r="BB64" s="43">
        <f t="shared" si="17"/>
        <v>0</v>
      </c>
      <c r="BC64" s="43">
        <f t="shared" si="17"/>
        <v>0</v>
      </c>
      <c r="BD64" s="43">
        <f t="shared" si="17"/>
        <v>0</v>
      </c>
      <c r="BE64" s="43">
        <f t="shared" si="17"/>
        <v>0</v>
      </c>
      <c r="BF64" s="43">
        <f t="shared" si="17"/>
        <v>0</v>
      </c>
      <c r="BG64" s="43">
        <f t="shared" si="17"/>
        <v>0</v>
      </c>
      <c r="BH64" s="43">
        <f t="shared" si="17"/>
        <v>0</v>
      </c>
      <c r="BI64" s="43">
        <f t="shared" si="16"/>
        <v>0</v>
      </c>
      <c r="BJ64" s="43">
        <f t="shared" si="16"/>
        <v>0</v>
      </c>
      <c r="BK64" s="43">
        <f t="shared" si="16"/>
        <v>0</v>
      </c>
      <c r="BL64" s="43">
        <f t="shared" si="16"/>
        <v>0</v>
      </c>
      <c r="BM64" s="43">
        <f t="shared" si="16"/>
        <v>0</v>
      </c>
      <c r="BN64" s="43">
        <f t="shared" si="16"/>
        <v>19</v>
      </c>
      <c r="BO64" s="43">
        <f t="shared" si="16"/>
        <v>0</v>
      </c>
      <c r="BP64" s="43">
        <f t="shared" si="16"/>
        <v>0</v>
      </c>
      <c r="BQ64" s="43">
        <f t="shared" si="16"/>
        <v>0</v>
      </c>
    </row>
    <row r="65" spans="3:69" ht="20.100000000000001" customHeight="1">
      <c r="C65" s="591" t="s">
        <v>7</v>
      </c>
      <c r="D65" s="592"/>
      <c r="E65" s="593" t="s">
        <v>31</v>
      </c>
      <c r="F65" s="594"/>
      <c r="G65" s="594"/>
      <c r="H65" s="594"/>
      <c r="I65" s="594"/>
      <c r="J65" s="595" t="s">
        <v>22</v>
      </c>
      <c r="K65" s="595"/>
      <c r="L65" s="596"/>
      <c r="M65" s="36" t="s">
        <v>10</v>
      </c>
      <c r="N65" s="251" t="s">
        <v>12</v>
      </c>
      <c r="O65" s="251" t="s">
        <v>12</v>
      </c>
      <c r="P65" s="39" t="s">
        <v>16</v>
      </c>
      <c r="Q65" s="39" t="s">
        <v>10</v>
      </c>
      <c r="R65" s="39" t="s">
        <v>10</v>
      </c>
      <c r="S65" s="251" t="s">
        <v>16</v>
      </c>
      <c r="T65" s="251" t="s">
        <v>10</v>
      </c>
      <c r="U65" s="251" t="s">
        <v>12</v>
      </c>
      <c r="V65" s="251" t="s">
        <v>14</v>
      </c>
      <c r="W65" s="39" t="s">
        <v>14</v>
      </c>
      <c r="X65" s="39" t="s">
        <v>14</v>
      </c>
      <c r="Y65" s="251" t="s">
        <v>14</v>
      </c>
      <c r="Z65" s="251" t="s">
        <v>15</v>
      </c>
      <c r="AA65" s="251" t="s">
        <v>24</v>
      </c>
      <c r="AB65" s="251" t="s">
        <v>10</v>
      </c>
      <c r="AC65" s="251" t="s">
        <v>14</v>
      </c>
      <c r="AD65" s="39" t="s">
        <v>14</v>
      </c>
      <c r="AE65" s="39" t="s">
        <v>14</v>
      </c>
      <c r="AF65" s="251" t="s">
        <v>14</v>
      </c>
      <c r="AG65" s="251" t="s">
        <v>13</v>
      </c>
      <c r="AH65" s="39" t="s">
        <v>17</v>
      </c>
      <c r="AI65" s="251" t="s">
        <v>17</v>
      </c>
      <c r="AJ65" s="251" t="s">
        <v>17</v>
      </c>
      <c r="AK65" s="39" t="s">
        <v>10</v>
      </c>
      <c r="AL65" s="39" t="s">
        <v>10</v>
      </c>
      <c r="AM65" s="251" t="s">
        <v>10</v>
      </c>
      <c r="AN65" s="251" t="s">
        <v>14</v>
      </c>
      <c r="AO65" s="251" t="s">
        <v>108</v>
      </c>
      <c r="AP65" s="251" t="s">
        <v>10</v>
      </c>
      <c r="AQ65" s="204"/>
      <c r="AS65" s="43">
        <f t="shared" si="17"/>
        <v>2</v>
      </c>
      <c r="AT65" s="43">
        <f t="shared" si="17"/>
        <v>9</v>
      </c>
      <c r="AU65" s="43">
        <f t="shared" si="17"/>
        <v>0</v>
      </c>
      <c r="AV65" s="43">
        <f t="shared" si="17"/>
        <v>0</v>
      </c>
      <c r="AW65" s="43">
        <f t="shared" si="17"/>
        <v>0</v>
      </c>
      <c r="AX65" s="43">
        <f t="shared" si="17"/>
        <v>1</v>
      </c>
      <c r="AY65" s="43">
        <f t="shared" si="17"/>
        <v>1</v>
      </c>
      <c r="AZ65" s="43">
        <f t="shared" si="17"/>
        <v>1</v>
      </c>
      <c r="BA65" s="43">
        <f t="shared" si="17"/>
        <v>3</v>
      </c>
      <c r="BB65" s="43">
        <f t="shared" si="17"/>
        <v>0</v>
      </c>
      <c r="BC65" s="43">
        <f t="shared" si="17"/>
        <v>0</v>
      </c>
      <c r="BD65" s="43">
        <f t="shared" si="17"/>
        <v>0</v>
      </c>
      <c r="BE65" s="43">
        <f t="shared" si="17"/>
        <v>0</v>
      </c>
      <c r="BF65" s="43">
        <f t="shared" si="17"/>
        <v>0</v>
      </c>
      <c r="BG65" s="43">
        <f t="shared" si="17"/>
        <v>0</v>
      </c>
      <c r="BH65" s="43">
        <f t="shared" si="17"/>
        <v>0</v>
      </c>
      <c r="BI65" s="43">
        <f t="shared" si="16"/>
        <v>0</v>
      </c>
      <c r="BJ65" s="43">
        <f t="shared" si="16"/>
        <v>3</v>
      </c>
      <c r="BK65" s="43">
        <f t="shared" si="16"/>
        <v>0</v>
      </c>
      <c r="BL65" s="43">
        <f t="shared" si="16"/>
        <v>0</v>
      </c>
      <c r="BM65" s="43">
        <f t="shared" si="16"/>
        <v>0</v>
      </c>
      <c r="BN65" s="43">
        <f t="shared" si="16"/>
        <v>9</v>
      </c>
      <c r="BO65" s="43">
        <f t="shared" si="16"/>
        <v>3</v>
      </c>
      <c r="BP65" s="43">
        <f t="shared" si="16"/>
        <v>0</v>
      </c>
      <c r="BQ65" s="43">
        <f t="shared" si="16"/>
        <v>0</v>
      </c>
    </row>
    <row r="66" spans="3:69" ht="20.100000000000001" customHeight="1">
      <c r="C66" s="591"/>
      <c r="D66" s="592"/>
      <c r="E66" s="593" t="s">
        <v>110</v>
      </c>
      <c r="F66" s="594"/>
      <c r="G66" s="594"/>
      <c r="H66" s="594"/>
      <c r="I66" s="594"/>
      <c r="J66" s="595"/>
      <c r="K66" s="595"/>
      <c r="L66" s="596"/>
      <c r="M66" s="36"/>
      <c r="N66" s="251"/>
      <c r="O66" s="251"/>
      <c r="P66" s="39"/>
      <c r="Q66" s="39"/>
      <c r="R66" s="39"/>
      <c r="S66" s="251"/>
      <c r="T66" s="251" t="s">
        <v>16</v>
      </c>
      <c r="U66" s="251" t="s">
        <v>16</v>
      </c>
      <c r="V66" s="251" t="s">
        <v>16</v>
      </c>
      <c r="W66" s="39"/>
      <c r="X66" s="39"/>
      <c r="Y66" s="251" t="s">
        <v>13</v>
      </c>
      <c r="Z66" s="251" t="s">
        <v>16</v>
      </c>
      <c r="AA66" s="251" t="s">
        <v>16</v>
      </c>
      <c r="AB66" s="251" t="s">
        <v>14</v>
      </c>
      <c r="AC66" s="251" t="s">
        <v>13</v>
      </c>
      <c r="AD66" s="39"/>
      <c r="AE66" s="39"/>
      <c r="AF66" s="251" t="s">
        <v>13</v>
      </c>
      <c r="AG66" s="251" t="s">
        <v>14</v>
      </c>
      <c r="AH66" s="39" t="s">
        <v>13</v>
      </c>
      <c r="AI66" s="251" t="s">
        <v>16</v>
      </c>
      <c r="AJ66" s="251" t="s">
        <v>16</v>
      </c>
      <c r="AK66" s="39"/>
      <c r="AL66" s="39"/>
      <c r="AM66" s="251" t="s">
        <v>14</v>
      </c>
      <c r="AN66" s="251" t="s">
        <v>14</v>
      </c>
      <c r="AO66" s="251" t="s">
        <v>13</v>
      </c>
      <c r="AP66" s="251" t="s">
        <v>13</v>
      </c>
      <c r="AQ66" s="204"/>
      <c r="AS66" s="43">
        <f t="shared" si="17"/>
        <v>7</v>
      </c>
      <c r="AT66" s="43">
        <f t="shared" si="17"/>
        <v>4</v>
      </c>
      <c r="AU66" s="43">
        <f t="shared" si="17"/>
        <v>0</v>
      </c>
      <c r="AV66" s="43">
        <f t="shared" si="17"/>
        <v>0</v>
      </c>
      <c r="AW66" s="43">
        <f t="shared" si="17"/>
        <v>0</v>
      </c>
      <c r="AX66" s="43">
        <f t="shared" si="17"/>
        <v>0</v>
      </c>
      <c r="AY66" s="43">
        <f t="shared" si="17"/>
        <v>0</v>
      </c>
      <c r="AZ66" s="43">
        <f t="shared" si="17"/>
        <v>6</v>
      </c>
      <c r="BA66" s="43">
        <f t="shared" si="17"/>
        <v>0</v>
      </c>
      <c r="BB66" s="43">
        <f t="shared" si="17"/>
        <v>0</v>
      </c>
      <c r="BC66" s="43">
        <f t="shared" si="17"/>
        <v>0</v>
      </c>
      <c r="BD66" s="43">
        <f t="shared" si="17"/>
        <v>0</v>
      </c>
      <c r="BE66" s="43">
        <f t="shared" si="17"/>
        <v>0</v>
      </c>
      <c r="BF66" s="43">
        <f t="shared" si="17"/>
        <v>0</v>
      </c>
      <c r="BG66" s="43">
        <f t="shared" si="17"/>
        <v>0</v>
      </c>
      <c r="BH66" s="43">
        <f t="shared" si="17"/>
        <v>0</v>
      </c>
      <c r="BI66" s="43">
        <f t="shared" si="16"/>
        <v>0</v>
      </c>
      <c r="BJ66" s="43">
        <f t="shared" si="16"/>
        <v>0</v>
      </c>
      <c r="BK66" s="43">
        <f t="shared" si="16"/>
        <v>0</v>
      </c>
      <c r="BL66" s="43">
        <f t="shared" si="16"/>
        <v>0</v>
      </c>
      <c r="BM66" s="43">
        <f t="shared" si="16"/>
        <v>0</v>
      </c>
      <c r="BN66" s="43">
        <f t="shared" si="16"/>
        <v>0</v>
      </c>
      <c r="BO66" s="43">
        <f t="shared" si="16"/>
        <v>0</v>
      </c>
      <c r="BP66" s="43">
        <f t="shared" si="16"/>
        <v>0</v>
      </c>
      <c r="BQ66" s="43">
        <f t="shared" si="16"/>
        <v>0</v>
      </c>
    </row>
    <row r="67" spans="3:69" ht="20.100000000000001" customHeight="1">
      <c r="C67" s="591"/>
      <c r="D67" s="592"/>
      <c r="E67" s="593" t="s">
        <v>111</v>
      </c>
      <c r="F67" s="594"/>
      <c r="G67" s="594"/>
      <c r="H67" s="594"/>
      <c r="I67" s="594"/>
      <c r="J67" s="595"/>
      <c r="K67" s="595"/>
      <c r="L67" s="596"/>
      <c r="M67" s="36"/>
      <c r="N67" s="251"/>
      <c r="O67" s="251"/>
      <c r="P67" s="39"/>
      <c r="Q67" s="39"/>
      <c r="R67" s="39"/>
      <c r="S67" s="251"/>
      <c r="T67" s="251"/>
      <c r="U67" s="251"/>
      <c r="V67" s="251"/>
      <c r="W67" s="39"/>
      <c r="X67" s="39"/>
      <c r="Y67" s="251"/>
      <c r="Z67" s="251"/>
      <c r="AA67" s="251"/>
      <c r="AB67" s="251"/>
      <c r="AC67" s="251"/>
      <c r="AD67" s="39"/>
      <c r="AE67" s="39"/>
      <c r="AF67" s="251" t="s">
        <v>16</v>
      </c>
      <c r="AG67" s="251" t="s">
        <v>16</v>
      </c>
      <c r="AH67" s="39" t="s">
        <v>14</v>
      </c>
      <c r="AI67" s="251" t="s">
        <v>13</v>
      </c>
      <c r="AJ67" s="251" t="s">
        <v>13</v>
      </c>
      <c r="AK67" s="39" t="s">
        <v>10</v>
      </c>
      <c r="AL67" s="39" t="s">
        <v>10</v>
      </c>
      <c r="AM67" s="251" t="s">
        <v>10</v>
      </c>
      <c r="AN67" s="251" t="s">
        <v>10</v>
      </c>
      <c r="AO67" s="251" t="s">
        <v>16</v>
      </c>
      <c r="AP67" s="251" t="s">
        <v>16</v>
      </c>
      <c r="AQ67" s="204"/>
      <c r="AS67" s="43">
        <f t="shared" si="17"/>
        <v>4</v>
      </c>
      <c r="AT67" s="43">
        <f t="shared" si="17"/>
        <v>1</v>
      </c>
      <c r="AU67" s="43">
        <f t="shared" si="17"/>
        <v>0</v>
      </c>
      <c r="AV67" s="43">
        <f t="shared" si="17"/>
        <v>0</v>
      </c>
      <c r="AW67" s="43">
        <f t="shared" si="17"/>
        <v>0</v>
      </c>
      <c r="AX67" s="43">
        <f t="shared" si="17"/>
        <v>0</v>
      </c>
      <c r="AY67" s="43">
        <f t="shared" si="17"/>
        <v>0</v>
      </c>
      <c r="AZ67" s="43">
        <f t="shared" si="17"/>
        <v>2</v>
      </c>
      <c r="BA67" s="43">
        <f t="shared" si="17"/>
        <v>0</v>
      </c>
      <c r="BB67" s="43">
        <f t="shared" si="17"/>
        <v>0</v>
      </c>
      <c r="BC67" s="43">
        <f t="shared" si="17"/>
        <v>0</v>
      </c>
      <c r="BD67" s="43">
        <f t="shared" si="17"/>
        <v>0</v>
      </c>
      <c r="BE67" s="43">
        <f t="shared" si="17"/>
        <v>0</v>
      </c>
      <c r="BF67" s="43">
        <f t="shared" si="17"/>
        <v>0</v>
      </c>
      <c r="BG67" s="43">
        <f t="shared" si="17"/>
        <v>0</v>
      </c>
      <c r="BH67" s="43">
        <f t="shared" ref="BH67:BQ82" si="20">COUNTIFS($M67:$AQ67,BH$2)</f>
        <v>0</v>
      </c>
      <c r="BI67" s="43">
        <f t="shared" si="20"/>
        <v>0</v>
      </c>
      <c r="BJ67" s="43">
        <f t="shared" si="20"/>
        <v>0</v>
      </c>
      <c r="BK67" s="43">
        <f t="shared" si="20"/>
        <v>0</v>
      </c>
      <c r="BL67" s="43">
        <f t="shared" si="20"/>
        <v>0</v>
      </c>
      <c r="BM67" s="43">
        <f t="shared" si="20"/>
        <v>0</v>
      </c>
      <c r="BN67" s="43">
        <f t="shared" si="20"/>
        <v>4</v>
      </c>
      <c r="BO67" s="43">
        <f t="shared" si="20"/>
        <v>0</v>
      </c>
      <c r="BP67" s="43">
        <f t="shared" si="20"/>
        <v>0</v>
      </c>
      <c r="BQ67" s="43">
        <f t="shared" si="20"/>
        <v>0</v>
      </c>
    </row>
    <row r="68" spans="3:69" ht="20.100000000000001" customHeight="1">
      <c r="C68" s="591"/>
      <c r="D68" s="592"/>
      <c r="E68" s="593"/>
      <c r="F68" s="594"/>
      <c r="G68" s="594"/>
      <c r="H68" s="594"/>
      <c r="I68" s="594"/>
      <c r="J68" s="595"/>
      <c r="K68" s="595"/>
      <c r="L68" s="596"/>
      <c r="M68" s="36"/>
      <c r="N68" s="251"/>
      <c r="O68" s="251"/>
      <c r="P68" s="39"/>
      <c r="Q68" s="39"/>
      <c r="R68" s="39"/>
      <c r="S68" s="251"/>
      <c r="T68" s="251"/>
      <c r="U68" s="251"/>
      <c r="V68" s="251"/>
      <c r="W68" s="39"/>
      <c r="X68" s="39"/>
      <c r="Y68" s="251"/>
      <c r="Z68" s="251"/>
      <c r="AA68" s="251"/>
      <c r="AB68" s="251"/>
      <c r="AC68" s="251"/>
      <c r="AD68" s="39"/>
      <c r="AE68" s="39"/>
      <c r="AF68" s="251"/>
      <c r="AG68" s="251"/>
      <c r="AH68" s="39"/>
      <c r="AI68" s="251"/>
      <c r="AJ68" s="251"/>
      <c r="AK68" s="39"/>
      <c r="AL68" s="39"/>
      <c r="AM68" s="251"/>
      <c r="AN68" s="251"/>
      <c r="AO68" s="251"/>
      <c r="AP68" s="251"/>
      <c r="AQ68" s="204"/>
      <c r="AS68" s="43">
        <f t="shared" ref="AS68:BH83" si="21">COUNTIFS($M68:$AQ68,AS$2)</f>
        <v>0</v>
      </c>
      <c r="AT68" s="43">
        <f t="shared" si="21"/>
        <v>0</v>
      </c>
      <c r="AU68" s="43">
        <f t="shared" si="21"/>
        <v>0</v>
      </c>
      <c r="AV68" s="43">
        <f t="shared" si="21"/>
        <v>0</v>
      </c>
      <c r="AW68" s="43">
        <f t="shared" si="21"/>
        <v>0</v>
      </c>
      <c r="AX68" s="43">
        <f t="shared" si="21"/>
        <v>0</v>
      </c>
      <c r="AY68" s="43">
        <f t="shared" si="21"/>
        <v>0</v>
      </c>
      <c r="AZ68" s="43">
        <f t="shared" si="21"/>
        <v>0</v>
      </c>
      <c r="BA68" s="43">
        <f t="shared" si="21"/>
        <v>0</v>
      </c>
      <c r="BB68" s="43">
        <f t="shared" si="21"/>
        <v>0</v>
      </c>
      <c r="BC68" s="43">
        <f t="shared" si="21"/>
        <v>0</v>
      </c>
      <c r="BD68" s="43">
        <f t="shared" si="21"/>
        <v>0</v>
      </c>
      <c r="BE68" s="43">
        <f t="shared" si="21"/>
        <v>0</v>
      </c>
      <c r="BF68" s="43">
        <f t="shared" si="21"/>
        <v>0</v>
      </c>
      <c r="BG68" s="43">
        <f t="shared" si="21"/>
        <v>0</v>
      </c>
      <c r="BH68" s="43">
        <f t="shared" si="21"/>
        <v>0</v>
      </c>
      <c r="BI68" s="43">
        <f t="shared" si="20"/>
        <v>0</v>
      </c>
      <c r="BJ68" s="43">
        <f t="shared" si="20"/>
        <v>0</v>
      </c>
      <c r="BK68" s="43">
        <f t="shared" si="20"/>
        <v>0</v>
      </c>
      <c r="BL68" s="43">
        <f t="shared" si="20"/>
        <v>0</v>
      </c>
      <c r="BM68" s="43">
        <f t="shared" si="20"/>
        <v>0</v>
      </c>
      <c r="BN68" s="43">
        <f t="shared" si="20"/>
        <v>0</v>
      </c>
      <c r="BO68" s="43">
        <f t="shared" si="20"/>
        <v>0</v>
      </c>
      <c r="BP68" s="43">
        <f t="shared" si="20"/>
        <v>0</v>
      </c>
      <c r="BQ68" s="43">
        <f t="shared" si="20"/>
        <v>0</v>
      </c>
    </row>
    <row r="69" spans="3:69" ht="20.100000000000001" customHeight="1" thickBot="1">
      <c r="C69" s="597"/>
      <c r="D69" s="598"/>
      <c r="E69" s="599"/>
      <c r="F69" s="600"/>
      <c r="G69" s="600"/>
      <c r="H69" s="600"/>
      <c r="I69" s="600"/>
      <c r="J69" s="601"/>
      <c r="K69" s="601"/>
      <c r="L69" s="602"/>
      <c r="M69" s="37"/>
      <c r="N69" s="253"/>
      <c r="O69" s="253"/>
      <c r="P69" s="40"/>
      <c r="Q69" s="40"/>
      <c r="R69" s="40"/>
      <c r="S69" s="253"/>
      <c r="T69" s="253"/>
      <c r="U69" s="253"/>
      <c r="V69" s="253"/>
      <c r="W69" s="40"/>
      <c r="X69" s="40"/>
      <c r="Y69" s="253"/>
      <c r="Z69" s="253"/>
      <c r="AA69" s="253"/>
      <c r="AB69" s="253"/>
      <c r="AC69" s="253"/>
      <c r="AD69" s="40"/>
      <c r="AE69" s="40"/>
      <c r="AF69" s="253"/>
      <c r="AG69" s="253"/>
      <c r="AH69" s="40"/>
      <c r="AI69" s="253"/>
      <c r="AJ69" s="253"/>
      <c r="AK69" s="40"/>
      <c r="AL69" s="40"/>
      <c r="AM69" s="253"/>
      <c r="AN69" s="253"/>
      <c r="AO69" s="253"/>
      <c r="AP69" s="253"/>
      <c r="AQ69" s="205"/>
      <c r="AS69" s="43">
        <f t="shared" si="21"/>
        <v>0</v>
      </c>
      <c r="AT69" s="43">
        <f t="shared" si="21"/>
        <v>0</v>
      </c>
      <c r="AU69" s="43">
        <f t="shared" si="21"/>
        <v>0</v>
      </c>
      <c r="AV69" s="43">
        <f t="shared" si="21"/>
        <v>0</v>
      </c>
      <c r="AW69" s="43">
        <f t="shared" si="21"/>
        <v>0</v>
      </c>
      <c r="AX69" s="43">
        <f t="shared" si="21"/>
        <v>0</v>
      </c>
      <c r="AY69" s="43">
        <f t="shared" si="21"/>
        <v>0</v>
      </c>
      <c r="AZ69" s="43">
        <f t="shared" si="21"/>
        <v>0</v>
      </c>
      <c r="BA69" s="43">
        <f t="shared" si="21"/>
        <v>0</v>
      </c>
      <c r="BB69" s="43">
        <f t="shared" si="21"/>
        <v>0</v>
      </c>
      <c r="BC69" s="43">
        <f t="shared" si="21"/>
        <v>0</v>
      </c>
      <c r="BD69" s="43">
        <f t="shared" si="21"/>
        <v>0</v>
      </c>
      <c r="BE69" s="43">
        <f t="shared" si="21"/>
        <v>0</v>
      </c>
      <c r="BF69" s="43">
        <f t="shared" si="21"/>
        <v>0</v>
      </c>
      <c r="BG69" s="43">
        <f t="shared" si="21"/>
        <v>0</v>
      </c>
      <c r="BH69" s="43">
        <f t="shared" si="21"/>
        <v>0</v>
      </c>
      <c r="BI69" s="43">
        <f t="shared" si="20"/>
        <v>0</v>
      </c>
      <c r="BJ69" s="43">
        <f t="shared" si="20"/>
        <v>0</v>
      </c>
      <c r="BK69" s="43">
        <f t="shared" si="20"/>
        <v>0</v>
      </c>
      <c r="BL69" s="43">
        <f t="shared" si="20"/>
        <v>0</v>
      </c>
      <c r="BM69" s="43">
        <f t="shared" si="20"/>
        <v>0</v>
      </c>
      <c r="BN69" s="43">
        <f t="shared" si="20"/>
        <v>0</v>
      </c>
      <c r="BO69" s="43">
        <f t="shared" si="20"/>
        <v>0</v>
      </c>
      <c r="BP69" s="43">
        <f t="shared" si="20"/>
        <v>0</v>
      </c>
      <c r="BQ69" s="43">
        <f t="shared" si="20"/>
        <v>0</v>
      </c>
    </row>
    <row r="70" spans="3:69" ht="20.100000000000001" hidden="1" customHeight="1" thickBot="1">
      <c r="M70">
        <f>DTCHK(M56,YK!$J$3:$J$52)</f>
        <v>1</v>
      </c>
      <c r="N70">
        <f>DTCHK(N56,YK!$J$3:$J$52)</f>
        <v>0</v>
      </c>
      <c r="O70">
        <f>DTCHK(O56,YK!$J$3:$J$52)</f>
        <v>0</v>
      </c>
      <c r="P70">
        <f>DTCHK(P56,YK!$J$3:$J$52)</f>
        <v>1</v>
      </c>
      <c r="Q70">
        <f>DTCHK(Q56,YK!$J$3:$J$52)</f>
        <v>1</v>
      </c>
      <c r="R70">
        <f>DTCHK(R56,YK!$J$3:$J$52)</f>
        <v>1</v>
      </c>
      <c r="S70">
        <f>DTCHK(S56,YK!$J$3:$J$52)</f>
        <v>0</v>
      </c>
      <c r="T70">
        <f>DTCHK(T56,YK!$J$3:$J$52)</f>
        <v>0</v>
      </c>
      <c r="U70">
        <f>DTCHK(U56,YK!$J$3:$J$52)</f>
        <v>0</v>
      </c>
      <c r="V70">
        <f>DTCHK(V56,YK!$J$3:$J$52)</f>
        <v>0</v>
      </c>
      <c r="W70">
        <f>DTCHK(W56,YK!$J$3:$J$52)</f>
        <v>0</v>
      </c>
      <c r="X70">
        <f>DTCHK(X56,YK!$J$3:$J$52)</f>
        <v>1</v>
      </c>
      <c r="Y70">
        <f>DTCHK(Y56,YK!$J$3:$J$52)</f>
        <v>0</v>
      </c>
      <c r="Z70">
        <f>DTCHK(Z56,YK!$J$3:$J$52)</f>
        <v>0</v>
      </c>
      <c r="AA70">
        <f>DTCHK(AA56,YK!$J$3:$J$52)</f>
        <v>0</v>
      </c>
      <c r="AB70">
        <f>DTCHK(AB56,YK!$J$3:$J$52)</f>
        <v>0</v>
      </c>
      <c r="AC70">
        <f>DTCHK(AC56,YK!$J$3:$J$52)</f>
        <v>0</v>
      </c>
      <c r="AD70">
        <f>DTCHK(AD56,YK!$J$3:$J$52)</f>
        <v>0</v>
      </c>
      <c r="AE70">
        <f>DTCHK(AE56,YK!$J$3:$J$52)</f>
        <v>0</v>
      </c>
      <c r="AF70">
        <f>DTCHK(AF56,YK!$J$3:$J$52)</f>
        <v>0</v>
      </c>
      <c r="AG70">
        <f>DTCHK(AG56,YK!$J$3:$J$52)</f>
        <v>0</v>
      </c>
      <c r="AH70">
        <f>DTCHK(AH56,YK!$J$3:$J$52)</f>
        <v>1</v>
      </c>
      <c r="AI70">
        <f>DTCHK(AI56,YK!$J$3:$J$52)</f>
        <v>0</v>
      </c>
      <c r="AJ70">
        <f>DTCHK(AJ56,YK!$J$3:$J$52)</f>
        <v>0</v>
      </c>
      <c r="AK70">
        <f>DTCHK(AK56,YK!$J$3:$J$52)</f>
        <v>0</v>
      </c>
      <c r="AL70">
        <f>DTCHK(AL56,YK!$J$3:$J$52)</f>
        <v>0</v>
      </c>
      <c r="AM70">
        <f>DTCHK(AM56,YK!$J$3:$J$52)</f>
        <v>0</v>
      </c>
      <c r="AN70">
        <f>DTCHK(AN56,YK!$J$3:$J$52)</f>
        <v>0</v>
      </c>
      <c r="AO70">
        <f>DTCHK(AO56,YK!$J$3:$J$52)</f>
        <v>0</v>
      </c>
      <c r="AP70">
        <f>DTCHK(AP56,YK!$J$3:$J$52)</f>
        <v>0</v>
      </c>
      <c r="AQ70">
        <f>DTCHK(AQ56,YK!$J$3:$J$52)</f>
        <v>1</v>
      </c>
      <c r="AS70" s="43">
        <f t="shared" si="21"/>
        <v>0</v>
      </c>
      <c r="AT70" s="43">
        <f t="shared" si="21"/>
        <v>0</v>
      </c>
      <c r="AU70" s="43">
        <f t="shared" si="21"/>
        <v>0</v>
      </c>
      <c r="AV70" s="43">
        <f t="shared" si="21"/>
        <v>0</v>
      </c>
      <c r="AW70" s="43">
        <f t="shared" si="21"/>
        <v>0</v>
      </c>
      <c r="AX70" s="43">
        <f t="shared" si="21"/>
        <v>0</v>
      </c>
      <c r="AY70" s="43">
        <f t="shared" si="21"/>
        <v>0</v>
      </c>
      <c r="AZ70" s="43">
        <f t="shared" si="21"/>
        <v>0</v>
      </c>
      <c r="BA70" s="43">
        <f t="shared" si="21"/>
        <v>0</v>
      </c>
      <c r="BB70" s="43">
        <f t="shared" si="21"/>
        <v>0</v>
      </c>
      <c r="BC70" s="43">
        <f t="shared" si="21"/>
        <v>0</v>
      </c>
      <c r="BD70" s="43">
        <f t="shared" si="21"/>
        <v>0</v>
      </c>
      <c r="BE70" s="43">
        <f t="shared" si="21"/>
        <v>24</v>
      </c>
      <c r="BF70" s="43">
        <f t="shared" si="21"/>
        <v>24</v>
      </c>
      <c r="BG70" s="43">
        <f t="shared" si="21"/>
        <v>24</v>
      </c>
      <c r="BH70" s="43">
        <f t="shared" si="21"/>
        <v>24</v>
      </c>
      <c r="BI70" s="43">
        <f t="shared" si="20"/>
        <v>24</v>
      </c>
      <c r="BJ70" s="43">
        <f t="shared" si="20"/>
        <v>0</v>
      </c>
      <c r="BK70" s="43">
        <f t="shared" si="20"/>
        <v>24</v>
      </c>
      <c r="BL70" s="43">
        <f t="shared" si="20"/>
        <v>24</v>
      </c>
      <c r="BM70" s="43">
        <f t="shared" si="20"/>
        <v>24</v>
      </c>
      <c r="BN70" s="43">
        <f t="shared" si="20"/>
        <v>0</v>
      </c>
      <c r="BO70" s="43">
        <f t="shared" si="20"/>
        <v>0</v>
      </c>
      <c r="BP70" s="43">
        <f t="shared" si="20"/>
        <v>0</v>
      </c>
      <c r="BQ70" s="43">
        <f t="shared" si="20"/>
        <v>24</v>
      </c>
    </row>
    <row r="71" spans="3:69" ht="20.100000000000001" customHeight="1">
      <c r="C71" s="539" t="str">
        <f ca="1">Lists!F5</f>
        <v>Maj</v>
      </c>
      <c r="D71" s="540"/>
      <c r="E71" s="540"/>
      <c r="F71" s="540"/>
      <c r="G71" s="541"/>
    </row>
    <row r="72" spans="3:69" ht="20.100000000000001" customHeight="1" thickBot="1">
      <c r="C72" s="542"/>
      <c r="D72" s="543"/>
      <c r="E72" s="543"/>
      <c r="F72" s="543"/>
      <c r="G72" s="544"/>
    </row>
    <row r="73" spans="3:69" ht="20.100000000000001" hidden="1" customHeight="1">
      <c r="C73" s="31"/>
      <c r="D73" s="32"/>
      <c r="E73" s="32"/>
      <c r="F73" s="32"/>
      <c r="G73" s="32"/>
      <c r="M73" s="10">
        <f>M56+30</f>
        <v>46143</v>
      </c>
      <c r="N73" s="10">
        <f>M73+1</f>
        <v>46144</v>
      </c>
      <c r="O73" s="10">
        <f t="shared" ref="O73:AQ73" si="22">N73+1</f>
        <v>46145</v>
      </c>
      <c r="P73" s="10">
        <f t="shared" si="22"/>
        <v>46146</v>
      </c>
      <c r="Q73" s="10">
        <f t="shared" si="22"/>
        <v>46147</v>
      </c>
      <c r="R73" s="10">
        <f t="shared" si="22"/>
        <v>46148</v>
      </c>
      <c r="S73" s="10">
        <f t="shared" si="22"/>
        <v>46149</v>
      </c>
      <c r="T73" s="10">
        <f t="shared" si="22"/>
        <v>46150</v>
      </c>
      <c r="U73" s="10">
        <f t="shared" si="22"/>
        <v>46151</v>
      </c>
      <c r="V73" s="10">
        <f t="shared" si="22"/>
        <v>46152</v>
      </c>
      <c r="W73" s="10">
        <f t="shared" si="22"/>
        <v>46153</v>
      </c>
      <c r="X73" s="10">
        <f t="shared" si="22"/>
        <v>46154</v>
      </c>
      <c r="Y73" s="10">
        <f t="shared" si="22"/>
        <v>46155</v>
      </c>
      <c r="Z73" s="10">
        <f t="shared" si="22"/>
        <v>46156</v>
      </c>
      <c r="AA73" s="10">
        <f t="shared" si="22"/>
        <v>46157</v>
      </c>
      <c r="AB73" s="10">
        <f t="shared" si="22"/>
        <v>46158</v>
      </c>
      <c r="AC73" s="10">
        <f t="shared" si="22"/>
        <v>46159</v>
      </c>
      <c r="AD73" s="10">
        <f t="shared" si="22"/>
        <v>46160</v>
      </c>
      <c r="AE73" s="10">
        <f t="shared" si="22"/>
        <v>46161</v>
      </c>
      <c r="AF73" s="10">
        <f t="shared" si="22"/>
        <v>46162</v>
      </c>
      <c r="AG73" s="10">
        <f t="shared" si="22"/>
        <v>46163</v>
      </c>
      <c r="AH73" s="10">
        <f t="shared" si="22"/>
        <v>46164</v>
      </c>
      <c r="AI73" s="10">
        <f t="shared" si="22"/>
        <v>46165</v>
      </c>
      <c r="AJ73" s="10">
        <f t="shared" si="22"/>
        <v>46166</v>
      </c>
      <c r="AK73" s="10">
        <f t="shared" si="22"/>
        <v>46167</v>
      </c>
      <c r="AL73" s="10">
        <f t="shared" si="22"/>
        <v>46168</v>
      </c>
      <c r="AM73" s="10">
        <f t="shared" si="22"/>
        <v>46169</v>
      </c>
      <c r="AN73" s="10">
        <f t="shared" si="22"/>
        <v>46170</v>
      </c>
      <c r="AO73" s="10">
        <f t="shared" si="22"/>
        <v>46171</v>
      </c>
      <c r="AP73" s="10">
        <f t="shared" si="22"/>
        <v>46172</v>
      </c>
      <c r="AQ73" s="10">
        <f t="shared" si="22"/>
        <v>46173</v>
      </c>
    </row>
    <row r="74" spans="3:69" ht="20.100000000000001" hidden="1" customHeight="1" thickBot="1">
      <c r="C74" s="31"/>
      <c r="D74" s="32"/>
      <c r="E74" s="32"/>
      <c r="F74" s="32"/>
      <c r="G74" s="32"/>
      <c r="M74">
        <f>WEEKDAY(M73,2)</f>
        <v>5</v>
      </c>
      <c r="N74">
        <f t="shared" ref="N74:AQ74" si="23">WEEKDAY(N73,2)</f>
        <v>6</v>
      </c>
      <c r="O74">
        <f t="shared" si="23"/>
        <v>7</v>
      </c>
      <c r="P74">
        <f t="shared" si="23"/>
        <v>1</v>
      </c>
      <c r="Q74">
        <f t="shared" si="23"/>
        <v>2</v>
      </c>
      <c r="R74">
        <f t="shared" si="23"/>
        <v>3</v>
      </c>
      <c r="S74">
        <f t="shared" si="23"/>
        <v>4</v>
      </c>
      <c r="T74">
        <f t="shared" si="23"/>
        <v>5</v>
      </c>
      <c r="U74">
        <f t="shared" si="23"/>
        <v>6</v>
      </c>
      <c r="V74">
        <f t="shared" si="23"/>
        <v>7</v>
      </c>
      <c r="W74">
        <f t="shared" si="23"/>
        <v>1</v>
      </c>
      <c r="X74">
        <f t="shared" si="23"/>
        <v>2</v>
      </c>
      <c r="Y74">
        <f t="shared" si="23"/>
        <v>3</v>
      </c>
      <c r="Z74">
        <f t="shared" si="23"/>
        <v>4</v>
      </c>
      <c r="AA74">
        <f t="shared" si="23"/>
        <v>5</v>
      </c>
      <c r="AB74">
        <f t="shared" si="23"/>
        <v>6</v>
      </c>
      <c r="AC74">
        <f t="shared" si="23"/>
        <v>7</v>
      </c>
      <c r="AD74">
        <f t="shared" si="23"/>
        <v>1</v>
      </c>
      <c r="AE74">
        <f t="shared" si="23"/>
        <v>2</v>
      </c>
      <c r="AF74">
        <f t="shared" si="23"/>
        <v>3</v>
      </c>
      <c r="AG74">
        <f t="shared" si="23"/>
        <v>4</v>
      </c>
      <c r="AH74">
        <f t="shared" si="23"/>
        <v>5</v>
      </c>
      <c r="AI74">
        <f t="shared" si="23"/>
        <v>6</v>
      </c>
      <c r="AJ74">
        <f t="shared" si="23"/>
        <v>7</v>
      </c>
      <c r="AK74">
        <f t="shared" si="23"/>
        <v>1</v>
      </c>
      <c r="AL74">
        <f t="shared" si="23"/>
        <v>2</v>
      </c>
      <c r="AM74">
        <f t="shared" si="23"/>
        <v>3</v>
      </c>
      <c r="AN74">
        <f t="shared" si="23"/>
        <v>4</v>
      </c>
      <c r="AO74">
        <f t="shared" si="23"/>
        <v>5</v>
      </c>
      <c r="AP74">
        <f t="shared" si="23"/>
        <v>6</v>
      </c>
      <c r="AQ74">
        <f t="shared" si="23"/>
        <v>7</v>
      </c>
    </row>
    <row r="75" spans="3:69" ht="20.100000000000001" customHeight="1">
      <c r="C75" s="433" t="str">
        <f ca="1">INDIRECT("T!"&amp;T!A1&amp;"33")</f>
        <v>Etat</v>
      </c>
      <c r="D75" s="434"/>
      <c r="E75" s="427" t="s">
        <v>6</v>
      </c>
      <c r="F75" s="428"/>
      <c r="G75" s="428"/>
      <c r="H75" s="428"/>
      <c r="I75" s="428"/>
      <c r="J75" s="421" t="str">
        <f ca="1">INDIRECT("T!"&amp;T!A1&amp;"34")</f>
        <v>Pozycja</v>
      </c>
      <c r="K75" s="421"/>
      <c r="L75" s="549"/>
      <c r="M75" s="28">
        <v>1</v>
      </c>
      <c r="N75" s="28">
        <v>2</v>
      </c>
      <c r="O75" s="28">
        <v>3</v>
      </c>
      <c r="P75" s="28">
        <v>4</v>
      </c>
      <c r="Q75" s="28">
        <v>5</v>
      </c>
      <c r="R75" s="28">
        <v>6</v>
      </c>
      <c r="S75" s="28">
        <v>7</v>
      </c>
      <c r="T75" s="28">
        <v>8</v>
      </c>
      <c r="U75" s="28">
        <v>9</v>
      </c>
      <c r="V75" s="28">
        <v>10</v>
      </c>
      <c r="W75" s="28">
        <v>11</v>
      </c>
      <c r="X75" s="28">
        <v>12</v>
      </c>
      <c r="Y75" s="28">
        <v>13</v>
      </c>
      <c r="Z75" s="28">
        <v>14</v>
      </c>
      <c r="AA75" s="28">
        <v>15</v>
      </c>
      <c r="AB75" s="28">
        <v>16</v>
      </c>
      <c r="AC75" s="28">
        <v>17</v>
      </c>
      <c r="AD75" s="28">
        <v>18</v>
      </c>
      <c r="AE75" s="28">
        <v>19</v>
      </c>
      <c r="AF75" s="28">
        <v>20</v>
      </c>
      <c r="AG75" s="28">
        <v>21</v>
      </c>
      <c r="AH75" s="28">
        <v>22</v>
      </c>
      <c r="AI75" s="28">
        <v>23</v>
      </c>
      <c r="AJ75" s="28">
        <v>24</v>
      </c>
      <c r="AK75" s="28">
        <v>25</v>
      </c>
      <c r="AL75" s="28">
        <v>26</v>
      </c>
      <c r="AM75" s="28">
        <v>27</v>
      </c>
      <c r="AN75" s="28">
        <v>28</v>
      </c>
      <c r="AO75" s="28">
        <v>29</v>
      </c>
      <c r="AP75" s="28">
        <v>30</v>
      </c>
      <c r="AQ75" s="28">
        <v>31</v>
      </c>
    </row>
    <row r="76" spans="3:69" ht="20.100000000000001" customHeight="1" thickBot="1">
      <c r="C76" s="545"/>
      <c r="D76" s="546"/>
      <c r="E76" s="547"/>
      <c r="F76" s="548"/>
      <c r="G76" s="548"/>
      <c r="H76" s="548"/>
      <c r="I76" s="548"/>
      <c r="J76" s="424"/>
      <c r="K76" s="424"/>
      <c r="L76" s="550"/>
      <c r="M76" s="29" t="str">
        <f ca="1">IF(M74=1,INDIRECT("T!"&amp;T!$A$1&amp;"26"),IF(M74=2,INDIRECT("T!"&amp;T!$A$1&amp;"27"),IF(M74=3,INDIRECT("T!"&amp;T!$A$1&amp;"28"),IF(M74=4,INDIRECT("T!"&amp;T!$A$1&amp;"29"),IF(M74=5,INDIRECT("T!"&amp;T!$A$1&amp;"30"),IF(M74=6,INDIRECT("T!"&amp;T!$A$1&amp;"31"),IF(M74=7,INDIRECT("T!"&amp;T!$A$1&amp;"32"),0)))))))</f>
        <v>Pt</v>
      </c>
      <c r="N76" s="29" t="str">
        <f ca="1">IF(N74=1,INDIRECT("T!"&amp;T!$A$1&amp;"26"),IF(N74=2,INDIRECT("T!"&amp;T!$A$1&amp;"27"),IF(N74=3,INDIRECT("T!"&amp;T!$A$1&amp;"28"),IF(N74=4,INDIRECT("T!"&amp;T!$A$1&amp;"29"),IF(N74=5,INDIRECT("T!"&amp;T!$A$1&amp;"30"),IF(N74=6,INDIRECT("T!"&amp;T!$A$1&amp;"31"),IF(N74=7,INDIRECT("T!"&amp;T!$A$1&amp;"32"),0)))))))</f>
        <v>So</v>
      </c>
      <c r="O76" s="29" t="str">
        <f ca="1">IF(O74=1,INDIRECT("T!"&amp;T!$A$1&amp;"26"),IF(O74=2,INDIRECT("T!"&amp;T!$A$1&amp;"27"),IF(O74=3,INDIRECT("T!"&amp;T!$A$1&amp;"28"),IF(O74=4,INDIRECT("T!"&amp;T!$A$1&amp;"29"),IF(O74=5,INDIRECT("T!"&amp;T!$A$1&amp;"30"),IF(O74=6,INDIRECT("T!"&amp;T!$A$1&amp;"31"),IF(O74=7,INDIRECT("T!"&amp;T!$A$1&amp;"32"),0)))))))</f>
        <v>Nd</v>
      </c>
      <c r="P76" s="29" t="str">
        <f ca="1">IF(P74=1,INDIRECT("T!"&amp;T!$A$1&amp;"26"),IF(P74=2,INDIRECT("T!"&amp;T!$A$1&amp;"27"),IF(P74=3,INDIRECT("T!"&amp;T!$A$1&amp;"28"),IF(P74=4,INDIRECT("T!"&amp;T!$A$1&amp;"29"),IF(P74=5,INDIRECT("T!"&amp;T!$A$1&amp;"30"),IF(P74=6,INDIRECT("T!"&amp;T!$A$1&amp;"31"),IF(P74=7,INDIRECT("T!"&amp;T!$A$1&amp;"32"),0)))))))</f>
        <v>Pn</v>
      </c>
      <c r="Q76" s="29" t="str">
        <f ca="1">IF(Q74=1,INDIRECT("T!"&amp;T!$A$1&amp;"26"),IF(Q74=2,INDIRECT("T!"&amp;T!$A$1&amp;"27"),IF(Q74=3,INDIRECT("T!"&amp;T!$A$1&amp;"28"),IF(Q74=4,INDIRECT("T!"&amp;T!$A$1&amp;"29"),IF(Q74=5,INDIRECT("T!"&amp;T!$A$1&amp;"30"),IF(Q74=6,INDIRECT("T!"&amp;T!$A$1&amp;"31"),IF(Q74=7,INDIRECT("T!"&amp;T!$A$1&amp;"32"),0)))))))</f>
        <v>Wt</v>
      </c>
      <c r="R76" s="29" t="str">
        <f ca="1">IF(R74=1,INDIRECT("T!"&amp;T!$A$1&amp;"26"),IF(R74=2,INDIRECT("T!"&amp;T!$A$1&amp;"27"),IF(R74=3,INDIRECT("T!"&amp;T!$A$1&amp;"28"),IF(R74=4,INDIRECT("T!"&amp;T!$A$1&amp;"29"),IF(R74=5,INDIRECT("T!"&amp;T!$A$1&amp;"30"),IF(R74=6,INDIRECT("T!"&amp;T!$A$1&amp;"31"),IF(R74=7,INDIRECT("T!"&amp;T!$A$1&amp;"32"),0)))))))</f>
        <v>Śr</v>
      </c>
      <c r="S76" s="29" t="str">
        <f ca="1">IF(S74=1,INDIRECT("T!"&amp;T!$A$1&amp;"26"),IF(S74=2,INDIRECT("T!"&amp;T!$A$1&amp;"27"),IF(S74=3,INDIRECT("T!"&amp;T!$A$1&amp;"28"),IF(S74=4,INDIRECT("T!"&amp;T!$A$1&amp;"29"),IF(S74=5,INDIRECT("T!"&amp;T!$A$1&amp;"30"),IF(S74=6,INDIRECT("T!"&amp;T!$A$1&amp;"31"),IF(S74=7,INDIRECT("T!"&amp;T!$A$1&amp;"32"),0)))))))</f>
        <v>Cz</v>
      </c>
      <c r="T76" s="29" t="str">
        <f ca="1">IF(T74=1,INDIRECT("T!"&amp;T!$A$1&amp;"26"),IF(T74=2,INDIRECT("T!"&amp;T!$A$1&amp;"27"),IF(T74=3,INDIRECT("T!"&amp;T!$A$1&amp;"28"),IF(T74=4,INDIRECT("T!"&amp;T!$A$1&amp;"29"),IF(T74=5,INDIRECT("T!"&amp;T!$A$1&amp;"30"),IF(T74=6,INDIRECT("T!"&amp;T!$A$1&amp;"31"),IF(T74=7,INDIRECT("T!"&amp;T!$A$1&amp;"32"),0)))))))</f>
        <v>Pt</v>
      </c>
      <c r="U76" s="29" t="str">
        <f ca="1">IF(U74=1,INDIRECT("T!"&amp;T!$A$1&amp;"26"),IF(U74=2,INDIRECT("T!"&amp;T!$A$1&amp;"27"),IF(U74=3,INDIRECT("T!"&amp;T!$A$1&amp;"28"),IF(U74=4,INDIRECT("T!"&amp;T!$A$1&amp;"29"),IF(U74=5,INDIRECT("T!"&amp;T!$A$1&amp;"30"),IF(U74=6,INDIRECT("T!"&amp;T!$A$1&amp;"31"),IF(U74=7,INDIRECT("T!"&amp;T!$A$1&amp;"32"),0)))))))</f>
        <v>So</v>
      </c>
      <c r="V76" s="29" t="str">
        <f ca="1">IF(V74=1,INDIRECT("T!"&amp;T!$A$1&amp;"26"),IF(V74=2,INDIRECT("T!"&amp;T!$A$1&amp;"27"),IF(V74=3,INDIRECT("T!"&amp;T!$A$1&amp;"28"),IF(V74=4,INDIRECT("T!"&amp;T!$A$1&amp;"29"),IF(V74=5,INDIRECT("T!"&amp;T!$A$1&amp;"30"),IF(V74=6,INDIRECT("T!"&amp;T!$A$1&amp;"31"),IF(V74=7,INDIRECT("T!"&amp;T!$A$1&amp;"32"),0)))))))</f>
        <v>Nd</v>
      </c>
      <c r="W76" s="29" t="str">
        <f ca="1">IF(W74=1,INDIRECT("T!"&amp;T!$A$1&amp;"26"),IF(W74=2,INDIRECT("T!"&amp;T!$A$1&amp;"27"),IF(W74=3,INDIRECT("T!"&amp;T!$A$1&amp;"28"),IF(W74=4,INDIRECT("T!"&amp;T!$A$1&amp;"29"),IF(W74=5,INDIRECT("T!"&amp;T!$A$1&amp;"30"),IF(W74=6,INDIRECT("T!"&amp;T!$A$1&amp;"31"),IF(W74=7,INDIRECT("T!"&amp;T!$A$1&amp;"32"),0)))))))</f>
        <v>Pn</v>
      </c>
      <c r="X76" s="29" t="str">
        <f ca="1">IF(X74=1,INDIRECT("T!"&amp;T!$A$1&amp;"26"),IF(X74=2,INDIRECT("T!"&amp;T!$A$1&amp;"27"),IF(X74=3,INDIRECT("T!"&amp;T!$A$1&amp;"28"),IF(X74=4,INDIRECT("T!"&amp;T!$A$1&amp;"29"),IF(X74=5,INDIRECT("T!"&amp;T!$A$1&amp;"30"),IF(X74=6,INDIRECT("T!"&amp;T!$A$1&amp;"31"),IF(X74=7,INDIRECT("T!"&amp;T!$A$1&amp;"32"),0)))))))</f>
        <v>Wt</v>
      </c>
      <c r="Y76" s="29" t="str">
        <f ca="1">IF(Y74=1,INDIRECT("T!"&amp;T!$A$1&amp;"26"),IF(Y74=2,INDIRECT("T!"&amp;T!$A$1&amp;"27"),IF(Y74=3,INDIRECT("T!"&amp;T!$A$1&amp;"28"),IF(Y74=4,INDIRECT("T!"&amp;T!$A$1&amp;"29"),IF(Y74=5,INDIRECT("T!"&amp;T!$A$1&amp;"30"),IF(Y74=6,INDIRECT("T!"&amp;T!$A$1&amp;"31"),IF(Y74=7,INDIRECT("T!"&amp;T!$A$1&amp;"32"),0)))))))</f>
        <v>Śr</v>
      </c>
      <c r="Z76" s="29" t="str">
        <f ca="1">IF(Z74=1,INDIRECT("T!"&amp;T!$A$1&amp;"26"),IF(Z74=2,INDIRECT("T!"&amp;T!$A$1&amp;"27"),IF(Z74=3,INDIRECT("T!"&amp;T!$A$1&amp;"28"),IF(Z74=4,INDIRECT("T!"&amp;T!$A$1&amp;"29"),IF(Z74=5,INDIRECT("T!"&amp;T!$A$1&amp;"30"),IF(Z74=6,INDIRECT("T!"&amp;T!$A$1&amp;"31"),IF(Z74=7,INDIRECT("T!"&amp;T!$A$1&amp;"32"),0)))))))</f>
        <v>Cz</v>
      </c>
      <c r="AA76" s="29" t="str">
        <f ca="1">IF(AA74=1,INDIRECT("T!"&amp;T!$A$1&amp;"26"),IF(AA74=2,INDIRECT("T!"&amp;T!$A$1&amp;"27"),IF(AA74=3,INDIRECT("T!"&amp;T!$A$1&amp;"28"),IF(AA74=4,INDIRECT("T!"&amp;T!$A$1&amp;"29"),IF(AA74=5,INDIRECT("T!"&amp;T!$A$1&amp;"30"),IF(AA74=6,INDIRECT("T!"&amp;T!$A$1&amp;"31"),IF(AA74=7,INDIRECT("T!"&amp;T!$A$1&amp;"32"),0)))))))</f>
        <v>Pt</v>
      </c>
      <c r="AB76" s="29" t="str">
        <f ca="1">IF(AB74=1,INDIRECT("T!"&amp;T!$A$1&amp;"26"),IF(AB74=2,INDIRECT("T!"&amp;T!$A$1&amp;"27"),IF(AB74=3,INDIRECT("T!"&amp;T!$A$1&amp;"28"),IF(AB74=4,INDIRECT("T!"&amp;T!$A$1&amp;"29"),IF(AB74=5,INDIRECT("T!"&amp;T!$A$1&amp;"30"),IF(AB74=6,INDIRECT("T!"&amp;T!$A$1&amp;"31"),IF(AB74=7,INDIRECT("T!"&amp;T!$A$1&amp;"32"),0)))))))</f>
        <v>So</v>
      </c>
      <c r="AC76" s="29" t="str">
        <f ca="1">IF(AC74=1,INDIRECT("T!"&amp;T!$A$1&amp;"26"),IF(AC74=2,INDIRECT("T!"&amp;T!$A$1&amp;"27"),IF(AC74=3,INDIRECT("T!"&amp;T!$A$1&amp;"28"),IF(AC74=4,INDIRECT("T!"&amp;T!$A$1&amp;"29"),IF(AC74=5,INDIRECT("T!"&amp;T!$A$1&amp;"30"),IF(AC74=6,INDIRECT("T!"&amp;T!$A$1&amp;"31"),IF(AC74=7,INDIRECT("T!"&amp;T!$A$1&amp;"32"),0)))))))</f>
        <v>Nd</v>
      </c>
      <c r="AD76" s="29" t="str">
        <f ca="1">IF(AD74=1,INDIRECT("T!"&amp;T!$A$1&amp;"26"),IF(AD74=2,INDIRECT("T!"&amp;T!$A$1&amp;"27"),IF(AD74=3,INDIRECT("T!"&amp;T!$A$1&amp;"28"),IF(AD74=4,INDIRECT("T!"&amp;T!$A$1&amp;"29"),IF(AD74=5,INDIRECT("T!"&amp;T!$A$1&amp;"30"),IF(AD74=6,INDIRECT("T!"&amp;T!$A$1&amp;"31"),IF(AD74=7,INDIRECT("T!"&amp;T!$A$1&amp;"32"),0)))))))</f>
        <v>Pn</v>
      </c>
      <c r="AE76" s="29" t="str">
        <f ca="1">IF(AE74=1,INDIRECT("T!"&amp;T!$A$1&amp;"26"),IF(AE74=2,INDIRECT("T!"&amp;T!$A$1&amp;"27"),IF(AE74=3,INDIRECT("T!"&amp;T!$A$1&amp;"28"),IF(AE74=4,INDIRECT("T!"&amp;T!$A$1&amp;"29"),IF(AE74=5,INDIRECT("T!"&amp;T!$A$1&amp;"30"),IF(AE74=6,INDIRECT("T!"&amp;T!$A$1&amp;"31"),IF(AE74=7,INDIRECT("T!"&amp;T!$A$1&amp;"32"),0)))))))</f>
        <v>Wt</v>
      </c>
      <c r="AF76" s="29" t="str">
        <f ca="1">IF(AF74=1,INDIRECT("T!"&amp;T!$A$1&amp;"26"),IF(AF74=2,INDIRECT("T!"&amp;T!$A$1&amp;"27"),IF(AF74=3,INDIRECT("T!"&amp;T!$A$1&amp;"28"),IF(AF74=4,INDIRECT("T!"&amp;T!$A$1&amp;"29"),IF(AF74=5,INDIRECT("T!"&amp;T!$A$1&amp;"30"),IF(AF74=6,INDIRECT("T!"&amp;T!$A$1&amp;"31"),IF(AF74=7,INDIRECT("T!"&amp;T!$A$1&amp;"32"),0)))))))</f>
        <v>Śr</v>
      </c>
      <c r="AG76" s="29" t="str">
        <f ca="1">IF(AG74=1,INDIRECT("T!"&amp;T!$A$1&amp;"26"),IF(AG74=2,INDIRECT("T!"&amp;T!$A$1&amp;"27"),IF(AG74=3,INDIRECT("T!"&amp;T!$A$1&amp;"28"),IF(AG74=4,INDIRECT("T!"&amp;T!$A$1&amp;"29"),IF(AG74=5,INDIRECT("T!"&amp;T!$A$1&amp;"30"),IF(AG74=6,INDIRECT("T!"&amp;T!$A$1&amp;"31"),IF(AG74=7,INDIRECT("T!"&amp;T!$A$1&amp;"32"),0)))))))</f>
        <v>Cz</v>
      </c>
      <c r="AH76" s="29" t="str">
        <f ca="1">IF(AH74=1,INDIRECT("T!"&amp;T!$A$1&amp;"26"),IF(AH74=2,INDIRECT("T!"&amp;T!$A$1&amp;"27"),IF(AH74=3,INDIRECT("T!"&amp;T!$A$1&amp;"28"),IF(AH74=4,INDIRECT("T!"&amp;T!$A$1&amp;"29"),IF(AH74=5,INDIRECT("T!"&amp;T!$A$1&amp;"30"),IF(AH74=6,INDIRECT("T!"&amp;T!$A$1&amp;"31"),IF(AH74=7,INDIRECT("T!"&amp;T!$A$1&amp;"32"),0)))))))</f>
        <v>Pt</v>
      </c>
      <c r="AI76" s="29" t="str">
        <f ca="1">IF(AI74=1,INDIRECT("T!"&amp;T!$A$1&amp;"26"),IF(AI74=2,INDIRECT("T!"&amp;T!$A$1&amp;"27"),IF(AI74=3,INDIRECT("T!"&amp;T!$A$1&amp;"28"),IF(AI74=4,INDIRECT("T!"&amp;T!$A$1&amp;"29"),IF(AI74=5,INDIRECT("T!"&amp;T!$A$1&amp;"30"),IF(AI74=6,INDIRECT("T!"&amp;T!$A$1&amp;"31"),IF(AI74=7,INDIRECT("T!"&amp;T!$A$1&amp;"32"),0)))))))</f>
        <v>So</v>
      </c>
      <c r="AJ76" s="29" t="str">
        <f ca="1">IF(AJ74=1,INDIRECT("T!"&amp;T!$A$1&amp;"26"),IF(AJ74=2,INDIRECT("T!"&amp;T!$A$1&amp;"27"),IF(AJ74=3,INDIRECT("T!"&amp;T!$A$1&amp;"28"),IF(AJ74=4,INDIRECT("T!"&amp;T!$A$1&amp;"29"),IF(AJ74=5,INDIRECT("T!"&amp;T!$A$1&amp;"30"),IF(AJ74=6,INDIRECT("T!"&amp;T!$A$1&amp;"31"),IF(AJ74=7,INDIRECT("T!"&amp;T!$A$1&amp;"32"),0)))))))</f>
        <v>Nd</v>
      </c>
      <c r="AK76" s="29" t="str">
        <f ca="1">IF(AK74=1,INDIRECT("T!"&amp;T!$A$1&amp;"26"),IF(AK74=2,INDIRECT("T!"&amp;T!$A$1&amp;"27"),IF(AK74=3,INDIRECT("T!"&amp;T!$A$1&amp;"28"),IF(AK74=4,INDIRECT("T!"&amp;T!$A$1&amp;"29"),IF(AK74=5,INDIRECT("T!"&amp;T!$A$1&amp;"30"),IF(AK74=6,INDIRECT("T!"&amp;T!$A$1&amp;"31"),IF(AK74=7,INDIRECT("T!"&amp;T!$A$1&amp;"32"),0)))))))</f>
        <v>Pn</v>
      </c>
      <c r="AL76" s="29" t="str">
        <f ca="1">IF(AL74=1,INDIRECT("T!"&amp;T!$A$1&amp;"26"),IF(AL74=2,INDIRECT("T!"&amp;T!$A$1&amp;"27"),IF(AL74=3,INDIRECT("T!"&amp;T!$A$1&amp;"28"),IF(AL74=4,INDIRECT("T!"&amp;T!$A$1&amp;"29"),IF(AL74=5,INDIRECT("T!"&amp;T!$A$1&amp;"30"),IF(AL74=6,INDIRECT("T!"&amp;T!$A$1&amp;"31"),IF(AL74=7,INDIRECT("T!"&amp;T!$A$1&amp;"32"),0)))))))</f>
        <v>Wt</v>
      </c>
      <c r="AM76" s="29" t="str">
        <f ca="1">IF(AM74=1,INDIRECT("T!"&amp;T!$A$1&amp;"26"),IF(AM74=2,INDIRECT("T!"&amp;T!$A$1&amp;"27"),IF(AM74=3,INDIRECT("T!"&amp;T!$A$1&amp;"28"),IF(AM74=4,INDIRECT("T!"&amp;T!$A$1&amp;"29"),IF(AM74=5,INDIRECT("T!"&amp;T!$A$1&amp;"30"),IF(AM74=6,INDIRECT("T!"&amp;T!$A$1&amp;"31"),IF(AM74=7,INDIRECT("T!"&amp;T!$A$1&amp;"32"),0)))))))</f>
        <v>Śr</v>
      </c>
      <c r="AN76" s="29" t="str">
        <f ca="1">IF(AN74=1,INDIRECT("T!"&amp;T!$A$1&amp;"26"),IF(AN74=2,INDIRECT("T!"&amp;T!$A$1&amp;"27"),IF(AN74=3,INDIRECT("T!"&amp;T!$A$1&amp;"28"),IF(AN74=4,INDIRECT("T!"&amp;T!$A$1&amp;"29"),IF(AN74=5,INDIRECT("T!"&amp;T!$A$1&amp;"30"),IF(AN74=6,INDIRECT("T!"&amp;T!$A$1&amp;"31"),IF(AN74=7,INDIRECT("T!"&amp;T!$A$1&amp;"32"),0)))))))</f>
        <v>Cz</v>
      </c>
      <c r="AO76" s="29" t="str">
        <f ca="1">IF(AO74=1,INDIRECT("T!"&amp;T!$A$1&amp;"26"),IF(AO74=2,INDIRECT("T!"&amp;T!$A$1&amp;"27"),IF(AO74=3,INDIRECT("T!"&amp;T!$A$1&amp;"28"),IF(AO74=4,INDIRECT("T!"&amp;T!$A$1&amp;"29"),IF(AO74=5,INDIRECT("T!"&amp;T!$A$1&amp;"30"),IF(AO74=6,INDIRECT("T!"&amp;T!$A$1&amp;"31"),IF(AO74=7,INDIRECT("T!"&amp;T!$A$1&amp;"32"),0)))))))</f>
        <v>Pt</v>
      </c>
      <c r="AP76" s="29" t="str">
        <f ca="1">IF(AP74=1,INDIRECT("T!"&amp;T!$A$1&amp;"26"),IF(AP74=2,INDIRECT("T!"&amp;T!$A$1&amp;"27"),IF(AP74=3,INDIRECT("T!"&amp;T!$A$1&amp;"28"),IF(AP74=4,INDIRECT("T!"&amp;T!$A$1&amp;"29"),IF(AP74=5,INDIRECT("T!"&amp;T!$A$1&amp;"30"),IF(AP74=6,INDIRECT("T!"&amp;T!$A$1&amp;"31"),IF(AP74=7,INDIRECT("T!"&amp;T!$A$1&amp;"32"),0)))))))</f>
        <v>So</v>
      </c>
      <c r="AQ76" s="29" t="str">
        <f ca="1">IF(AQ74=1,INDIRECT("T!"&amp;T!$A$1&amp;"26"),IF(AQ74=2,INDIRECT("T!"&amp;T!$A$1&amp;"27"),IF(AQ74=3,INDIRECT("T!"&amp;T!$A$1&amp;"28"),IF(AQ74=4,INDIRECT("T!"&amp;T!$A$1&amp;"29"),IF(AQ74=5,INDIRECT("T!"&amp;T!$A$1&amp;"30"),IF(AQ74=6,INDIRECT("T!"&amp;T!$A$1&amp;"31"),IF(AQ74=7,INDIRECT("T!"&amp;T!$A$1&amp;"32"),0)))))))</f>
        <v>Nd</v>
      </c>
    </row>
    <row r="77" spans="3:69" ht="20.100000000000001" customHeight="1">
      <c r="C77" s="523" t="s">
        <v>7</v>
      </c>
      <c r="D77" s="524"/>
      <c r="E77" s="535" t="s">
        <v>8</v>
      </c>
      <c r="F77" s="536"/>
      <c r="G77" s="536"/>
      <c r="H77" s="536"/>
      <c r="I77" s="536"/>
      <c r="J77" s="537" t="s">
        <v>9</v>
      </c>
      <c r="K77" s="537"/>
      <c r="L77" s="538"/>
      <c r="M77" s="84" t="s">
        <v>16</v>
      </c>
      <c r="N77" s="85" t="s">
        <v>10</v>
      </c>
      <c r="O77" s="85" t="s">
        <v>10</v>
      </c>
      <c r="P77" s="257" t="s">
        <v>11</v>
      </c>
      <c r="Q77" s="257" t="s">
        <v>11</v>
      </c>
      <c r="R77" s="257" t="s">
        <v>16</v>
      </c>
      <c r="S77" s="257" t="s">
        <v>13</v>
      </c>
      <c r="T77" s="257" t="s">
        <v>11</v>
      </c>
      <c r="U77" s="85" t="s">
        <v>10</v>
      </c>
      <c r="V77" s="85" t="s">
        <v>10</v>
      </c>
      <c r="W77" s="257" t="s">
        <v>11</v>
      </c>
      <c r="X77" s="257" t="s">
        <v>11</v>
      </c>
      <c r="Y77" s="257" t="s">
        <v>11</v>
      </c>
      <c r="Z77" s="257" t="s">
        <v>11</v>
      </c>
      <c r="AA77" s="257" t="s">
        <v>11</v>
      </c>
      <c r="AB77" s="85" t="s">
        <v>10</v>
      </c>
      <c r="AC77" s="85" t="s">
        <v>10</v>
      </c>
      <c r="AD77" s="257" t="s">
        <v>11</v>
      </c>
      <c r="AE77" s="257" t="s">
        <v>11</v>
      </c>
      <c r="AF77" s="257" t="s">
        <v>13</v>
      </c>
      <c r="AG77" s="257" t="s">
        <v>17</v>
      </c>
      <c r="AH77" s="257" t="s">
        <v>17</v>
      </c>
      <c r="AI77" s="85" t="s">
        <v>10</v>
      </c>
      <c r="AJ77" s="85" t="s">
        <v>10</v>
      </c>
      <c r="AK77" s="257" t="s">
        <v>11</v>
      </c>
      <c r="AL77" s="85" t="s">
        <v>11</v>
      </c>
      <c r="AM77" s="257" t="s">
        <v>10</v>
      </c>
      <c r="AN77" s="257" t="s">
        <v>11</v>
      </c>
      <c r="AO77" s="257" t="s">
        <v>11</v>
      </c>
      <c r="AP77" s="85" t="s">
        <v>16</v>
      </c>
      <c r="AQ77" s="89" t="s">
        <v>10</v>
      </c>
      <c r="AS77" s="43">
        <f t="shared" si="21"/>
        <v>3</v>
      </c>
      <c r="AT77" s="43">
        <f t="shared" si="21"/>
        <v>0</v>
      </c>
      <c r="AU77" s="43">
        <f t="shared" si="21"/>
        <v>0</v>
      </c>
      <c r="AV77" s="43">
        <f t="shared" si="21"/>
        <v>0</v>
      </c>
      <c r="AW77" s="43">
        <f t="shared" si="21"/>
        <v>0</v>
      </c>
      <c r="AX77" s="43">
        <f t="shared" si="21"/>
        <v>0</v>
      </c>
      <c r="AY77" s="43">
        <f t="shared" si="21"/>
        <v>0</v>
      </c>
      <c r="AZ77" s="43">
        <f t="shared" si="21"/>
        <v>2</v>
      </c>
      <c r="BA77" s="43">
        <f t="shared" si="21"/>
        <v>0</v>
      </c>
      <c r="BB77" s="43">
        <f t="shared" si="21"/>
        <v>0</v>
      </c>
      <c r="BC77" s="43">
        <f t="shared" si="21"/>
        <v>0</v>
      </c>
      <c r="BD77" s="43">
        <f t="shared" si="21"/>
        <v>0</v>
      </c>
      <c r="BE77" s="43">
        <f t="shared" si="21"/>
        <v>0</v>
      </c>
      <c r="BF77" s="43">
        <f t="shared" si="21"/>
        <v>0</v>
      </c>
      <c r="BG77" s="43">
        <f t="shared" si="21"/>
        <v>0</v>
      </c>
      <c r="BH77" s="43">
        <f t="shared" si="21"/>
        <v>0</v>
      </c>
      <c r="BI77" s="43">
        <f t="shared" si="20"/>
        <v>0</v>
      </c>
      <c r="BJ77" s="43">
        <f t="shared" si="20"/>
        <v>2</v>
      </c>
      <c r="BK77" s="43">
        <f t="shared" si="20"/>
        <v>0</v>
      </c>
      <c r="BL77" s="43">
        <f t="shared" si="20"/>
        <v>0</v>
      </c>
      <c r="BM77" s="43">
        <f t="shared" si="20"/>
        <v>0</v>
      </c>
      <c r="BN77" s="43">
        <f t="shared" si="20"/>
        <v>10</v>
      </c>
      <c r="BO77" s="43">
        <f t="shared" si="20"/>
        <v>2</v>
      </c>
      <c r="BP77" s="43">
        <f t="shared" si="20"/>
        <v>0</v>
      </c>
      <c r="BQ77" s="43">
        <f t="shared" si="20"/>
        <v>0</v>
      </c>
    </row>
    <row r="78" spans="3:69" ht="20.100000000000001" customHeight="1">
      <c r="C78" s="523" t="s">
        <v>7</v>
      </c>
      <c r="D78" s="524"/>
      <c r="E78" s="525" t="s">
        <v>21</v>
      </c>
      <c r="F78" s="526"/>
      <c r="G78" s="526"/>
      <c r="H78" s="526"/>
      <c r="I78" s="526"/>
      <c r="J78" s="527" t="s">
        <v>22</v>
      </c>
      <c r="K78" s="527"/>
      <c r="L78" s="528"/>
      <c r="M78" s="86" t="s">
        <v>10</v>
      </c>
      <c r="N78" s="87" t="s">
        <v>16</v>
      </c>
      <c r="O78" s="87" t="s">
        <v>10</v>
      </c>
      <c r="P78" s="255" t="s">
        <v>16</v>
      </c>
      <c r="Q78" s="255" t="s">
        <v>14</v>
      </c>
      <c r="R78" s="255" t="s">
        <v>10</v>
      </c>
      <c r="S78" s="255" t="s">
        <v>16</v>
      </c>
      <c r="T78" s="255" t="s">
        <v>16</v>
      </c>
      <c r="U78" s="87" t="s">
        <v>16</v>
      </c>
      <c r="V78" s="87" t="s">
        <v>16</v>
      </c>
      <c r="W78" s="255" t="s">
        <v>14</v>
      </c>
      <c r="X78" s="255" t="s">
        <v>10</v>
      </c>
      <c r="Y78" s="255" t="s">
        <v>14</v>
      </c>
      <c r="Z78" s="255" t="s">
        <v>13</v>
      </c>
      <c r="AA78" s="255" t="s">
        <v>16</v>
      </c>
      <c r="AB78" s="87" t="s">
        <v>10</v>
      </c>
      <c r="AC78" s="87" t="s">
        <v>10</v>
      </c>
      <c r="AD78" s="255" t="s">
        <v>16</v>
      </c>
      <c r="AE78" s="255" t="s">
        <v>14</v>
      </c>
      <c r="AF78" s="255" t="s">
        <v>14</v>
      </c>
      <c r="AG78" s="255" t="s">
        <v>14</v>
      </c>
      <c r="AH78" s="255" t="s">
        <v>13</v>
      </c>
      <c r="AI78" s="87" t="s">
        <v>10</v>
      </c>
      <c r="AJ78" s="87" t="s">
        <v>10</v>
      </c>
      <c r="AK78" s="255" t="s">
        <v>24</v>
      </c>
      <c r="AL78" s="87" t="s">
        <v>14</v>
      </c>
      <c r="AM78" s="255" t="s">
        <v>24</v>
      </c>
      <c r="AN78" s="255" t="s">
        <v>13</v>
      </c>
      <c r="AO78" s="255" t="s">
        <v>16</v>
      </c>
      <c r="AP78" s="87" t="s">
        <v>10</v>
      </c>
      <c r="AQ78" s="90" t="s">
        <v>10</v>
      </c>
      <c r="AS78" s="43">
        <f t="shared" si="21"/>
        <v>9</v>
      </c>
      <c r="AT78" s="43">
        <f t="shared" si="21"/>
        <v>7</v>
      </c>
      <c r="AU78" s="43">
        <f t="shared" si="21"/>
        <v>0</v>
      </c>
      <c r="AV78" s="43">
        <f t="shared" si="21"/>
        <v>0</v>
      </c>
      <c r="AW78" s="43">
        <f t="shared" si="21"/>
        <v>0</v>
      </c>
      <c r="AX78" s="43">
        <f t="shared" si="21"/>
        <v>2</v>
      </c>
      <c r="AY78" s="43">
        <f t="shared" si="21"/>
        <v>0</v>
      </c>
      <c r="AZ78" s="43">
        <f t="shared" si="21"/>
        <v>3</v>
      </c>
      <c r="BA78" s="43">
        <f t="shared" si="21"/>
        <v>0</v>
      </c>
      <c r="BB78" s="43">
        <f t="shared" si="21"/>
        <v>0</v>
      </c>
      <c r="BC78" s="43">
        <f t="shared" si="21"/>
        <v>0</v>
      </c>
      <c r="BD78" s="43">
        <f t="shared" si="21"/>
        <v>0</v>
      </c>
      <c r="BE78" s="43">
        <f t="shared" si="21"/>
        <v>0</v>
      </c>
      <c r="BF78" s="43">
        <f t="shared" si="21"/>
        <v>0</v>
      </c>
      <c r="BG78" s="43">
        <f t="shared" si="21"/>
        <v>0</v>
      </c>
      <c r="BH78" s="43">
        <f t="shared" si="21"/>
        <v>0</v>
      </c>
      <c r="BI78" s="43">
        <f t="shared" si="20"/>
        <v>0</v>
      </c>
      <c r="BJ78" s="43">
        <f t="shared" si="20"/>
        <v>0</v>
      </c>
      <c r="BK78" s="43">
        <f t="shared" si="20"/>
        <v>0</v>
      </c>
      <c r="BL78" s="43">
        <f t="shared" si="20"/>
        <v>0</v>
      </c>
      <c r="BM78" s="43">
        <f t="shared" si="20"/>
        <v>0</v>
      </c>
      <c r="BN78" s="43">
        <f t="shared" si="20"/>
        <v>10</v>
      </c>
      <c r="BO78" s="43">
        <f t="shared" si="20"/>
        <v>0</v>
      </c>
      <c r="BP78" s="43">
        <f t="shared" si="20"/>
        <v>0</v>
      </c>
      <c r="BQ78" s="43">
        <f t="shared" si="20"/>
        <v>0</v>
      </c>
    </row>
    <row r="79" spans="3:69" ht="20.100000000000001" customHeight="1">
      <c r="C79" s="523">
        <v>0.75</v>
      </c>
      <c r="D79" s="524"/>
      <c r="E79" s="525" t="s">
        <v>25</v>
      </c>
      <c r="F79" s="526"/>
      <c r="G79" s="526"/>
      <c r="H79" s="526"/>
      <c r="I79" s="526"/>
      <c r="J79" s="527" t="s">
        <v>22</v>
      </c>
      <c r="K79" s="527"/>
      <c r="L79" s="528"/>
      <c r="M79" s="86" t="s">
        <v>10</v>
      </c>
      <c r="N79" s="87" t="s">
        <v>10</v>
      </c>
      <c r="O79" s="87" t="s">
        <v>16</v>
      </c>
      <c r="P79" s="255" t="s">
        <v>17</v>
      </c>
      <c r="Q79" s="255" t="s">
        <v>17</v>
      </c>
      <c r="R79" s="255" t="s">
        <v>17</v>
      </c>
      <c r="S79" s="255" t="s">
        <v>17</v>
      </c>
      <c r="T79" s="255" t="s">
        <v>17</v>
      </c>
      <c r="U79" s="87" t="s">
        <v>10</v>
      </c>
      <c r="V79" s="87" t="s">
        <v>10</v>
      </c>
      <c r="W79" s="255" t="s">
        <v>17</v>
      </c>
      <c r="X79" s="255" t="s">
        <v>17</v>
      </c>
      <c r="Y79" s="255" t="s">
        <v>17</v>
      </c>
      <c r="Z79" s="255" t="s">
        <v>17</v>
      </c>
      <c r="AA79" s="255" t="s">
        <v>17</v>
      </c>
      <c r="AB79" s="87" t="s">
        <v>10</v>
      </c>
      <c r="AC79" s="87" t="s">
        <v>10</v>
      </c>
      <c r="AD79" s="255" t="s">
        <v>17</v>
      </c>
      <c r="AE79" s="255" t="s">
        <v>10</v>
      </c>
      <c r="AF79" s="255" t="s">
        <v>10</v>
      </c>
      <c r="AG79" s="255" t="s">
        <v>10</v>
      </c>
      <c r="AH79" s="255" t="s">
        <v>14</v>
      </c>
      <c r="AI79" s="87" t="s">
        <v>10</v>
      </c>
      <c r="AJ79" s="87" t="s">
        <v>10</v>
      </c>
      <c r="AK79" s="255" t="s">
        <v>11</v>
      </c>
      <c r="AL79" s="87" t="s">
        <v>16</v>
      </c>
      <c r="AM79" s="255" t="s">
        <v>10</v>
      </c>
      <c r="AN79" s="255" t="s">
        <v>16</v>
      </c>
      <c r="AO79" s="255" t="s">
        <v>24</v>
      </c>
      <c r="AP79" s="87" t="s">
        <v>14</v>
      </c>
      <c r="AQ79" s="90" t="s">
        <v>11</v>
      </c>
      <c r="AS79" s="43">
        <f t="shared" si="21"/>
        <v>3</v>
      </c>
      <c r="AT79" s="43">
        <f t="shared" si="21"/>
        <v>2</v>
      </c>
      <c r="AU79" s="43">
        <f t="shared" si="21"/>
        <v>0</v>
      </c>
      <c r="AV79" s="43">
        <f t="shared" si="21"/>
        <v>0</v>
      </c>
      <c r="AW79" s="43">
        <f t="shared" si="21"/>
        <v>0</v>
      </c>
      <c r="AX79" s="43">
        <f t="shared" si="21"/>
        <v>1</v>
      </c>
      <c r="AY79" s="43">
        <f t="shared" si="21"/>
        <v>0</v>
      </c>
      <c r="AZ79" s="43">
        <f t="shared" si="21"/>
        <v>0</v>
      </c>
      <c r="BA79" s="43">
        <f t="shared" si="21"/>
        <v>0</v>
      </c>
      <c r="BB79" s="43">
        <f t="shared" si="21"/>
        <v>0</v>
      </c>
      <c r="BC79" s="43">
        <f t="shared" si="21"/>
        <v>0</v>
      </c>
      <c r="BD79" s="43">
        <f t="shared" si="21"/>
        <v>0</v>
      </c>
      <c r="BE79" s="43">
        <f t="shared" si="21"/>
        <v>0</v>
      </c>
      <c r="BF79" s="43">
        <f t="shared" si="21"/>
        <v>0</v>
      </c>
      <c r="BG79" s="43">
        <f t="shared" si="21"/>
        <v>0</v>
      </c>
      <c r="BH79" s="43">
        <f t="shared" si="21"/>
        <v>0</v>
      </c>
      <c r="BI79" s="43">
        <f t="shared" si="20"/>
        <v>0</v>
      </c>
      <c r="BJ79" s="43">
        <f t="shared" si="20"/>
        <v>11</v>
      </c>
      <c r="BK79" s="43">
        <f t="shared" si="20"/>
        <v>0</v>
      </c>
      <c r="BL79" s="43">
        <f t="shared" si="20"/>
        <v>0</v>
      </c>
      <c r="BM79" s="43">
        <f t="shared" si="20"/>
        <v>0</v>
      </c>
      <c r="BN79" s="43">
        <f t="shared" si="20"/>
        <v>12</v>
      </c>
      <c r="BO79" s="43">
        <f t="shared" si="20"/>
        <v>11</v>
      </c>
      <c r="BP79" s="43">
        <f t="shared" si="20"/>
        <v>0</v>
      </c>
      <c r="BQ79" s="43">
        <f t="shared" si="20"/>
        <v>0</v>
      </c>
    </row>
    <row r="80" spans="3:69" ht="20.100000000000001" customHeight="1">
      <c r="C80" s="523">
        <v>0.25</v>
      </c>
      <c r="D80" s="524"/>
      <c r="E80" s="525" t="s">
        <v>28</v>
      </c>
      <c r="F80" s="526"/>
      <c r="G80" s="526"/>
      <c r="H80" s="526"/>
      <c r="I80" s="526"/>
      <c r="J80" s="527" t="s">
        <v>22</v>
      </c>
      <c r="K80" s="527"/>
      <c r="L80" s="528"/>
      <c r="M80" s="86" t="s">
        <v>10</v>
      </c>
      <c r="N80" s="87" t="s">
        <v>14</v>
      </c>
      <c r="O80" s="87" t="s">
        <v>10</v>
      </c>
      <c r="P80" s="255" t="s">
        <v>10</v>
      </c>
      <c r="Q80" s="255" t="s">
        <v>10</v>
      </c>
      <c r="R80" s="255" t="s">
        <v>10</v>
      </c>
      <c r="S80" s="255" t="s">
        <v>10</v>
      </c>
      <c r="T80" s="255" t="s">
        <v>10</v>
      </c>
      <c r="U80" s="87" t="s">
        <v>14</v>
      </c>
      <c r="V80" s="87" t="s">
        <v>10</v>
      </c>
      <c r="W80" s="255" t="s">
        <v>10</v>
      </c>
      <c r="X80" s="255" t="s">
        <v>16</v>
      </c>
      <c r="Y80" s="255" t="s">
        <v>10</v>
      </c>
      <c r="Z80" s="255" t="s">
        <v>10</v>
      </c>
      <c r="AA80" s="255" t="s">
        <v>10</v>
      </c>
      <c r="AB80" s="87" t="s">
        <v>16</v>
      </c>
      <c r="AC80" s="87" t="s">
        <v>16</v>
      </c>
      <c r="AD80" s="255" t="s">
        <v>10</v>
      </c>
      <c r="AE80" s="255" t="s">
        <v>10</v>
      </c>
      <c r="AF80" s="255" t="s">
        <v>10</v>
      </c>
      <c r="AG80" s="255" t="s">
        <v>10</v>
      </c>
      <c r="AH80" s="255" t="s">
        <v>10</v>
      </c>
      <c r="AI80" s="87" t="s">
        <v>10</v>
      </c>
      <c r="AJ80" s="87" t="s">
        <v>16</v>
      </c>
      <c r="AK80" s="255" t="s">
        <v>10</v>
      </c>
      <c r="AL80" s="87" t="s">
        <v>10</v>
      </c>
      <c r="AM80" s="255" t="s">
        <v>10</v>
      </c>
      <c r="AN80" s="255" t="s">
        <v>10</v>
      </c>
      <c r="AO80" s="255" t="s">
        <v>10</v>
      </c>
      <c r="AP80" s="87" t="s">
        <v>10</v>
      </c>
      <c r="AQ80" s="90" t="s">
        <v>24</v>
      </c>
      <c r="AS80" s="43">
        <f t="shared" si="21"/>
        <v>4</v>
      </c>
      <c r="AT80" s="43">
        <f t="shared" si="21"/>
        <v>2</v>
      </c>
      <c r="AU80" s="43">
        <f t="shared" si="21"/>
        <v>0</v>
      </c>
      <c r="AV80" s="43">
        <f t="shared" si="21"/>
        <v>0</v>
      </c>
      <c r="AW80" s="43">
        <f t="shared" si="21"/>
        <v>0</v>
      </c>
      <c r="AX80" s="43">
        <f t="shared" si="21"/>
        <v>1</v>
      </c>
      <c r="AY80" s="43">
        <f t="shared" si="21"/>
        <v>0</v>
      </c>
      <c r="AZ80" s="43">
        <f t="shared" si="21"/>
        <v>0</v>
      </c>
      <c r="BA80" s="43">
        <f t="shared" si="21"/>
        <v>0</v>
      </c>
      <c r="BB80" s="43">
        <f t="shared" si="21"/>
        <v>0</v>
      </c>
      <c r="BC80" s="43">
        <f t="shared" si="21"/>
        <v>0</v>
      </c>
      <c r="BD80" s="43">
        <f t="shared" si="21"/>
        <v>0</v>
      </c>
      <c r="BE80" s="43">
        <f t="shared" si="21"/>
        <v>0</v>
      </c>
      <c r="BF80" s="43">
        <f t="shared" si="21"/>
        <v>0</v>
      </c>
      <c r="BG80" s="43">
        <f t="shared" si="21"/>
        <v>0</v>
      </c>
      <c r="BH80" s="43">
        <f t="shared" si="21"/>
        <v>0</v>
      </c>
      <c r="BI80" s="43">
        <f t="shared" si="20"/>
        <v>0</v>
      </c>
      <c r="BJ80" s="43">
        <f t="shared" si="20"/>
        <v>0</v>
      </c>
      <c r="BK80" s="43">
        <f t="shared" si="20"/>
        <v>0</v>
      </c>
      <c r="BL80" s="43">
        <f t="shared" si="20"/>
        <v>0</v>
      </c>
      <c r="BM80" s="43">
        <f t="shared" si="20"/>
        <v>0</v>
      </c>
      <c r="BN80" s="43">
        <f t="shared" si="20"/>
        <v>24</v>
      </c>
      <c r="BO80" s="43">
        <f t="shared" si="20"/>
        <v>0</v>
      </c>
      <c r="BP80" s="43">
        <f t="shared" si="20"/>
        <v>0</v>
      </c>
      <c r="BQ80" s="43">
        <f t="shared" si="20"/>
        <v>0</v>
      </c>
    </row>
    <row r="81" spans="3:69" ht="20.100000000000001" customHeight="1">
      <c r="C81" s="523">
        <v>0.5</v>
      </c>
      <c r="D81" s="524"/>
      <c r="E81" s="525" t="s">
        <v>30</v>
      </c>
      <c r="F81" s="526"/>
      <c r="G81" s="526"/>
      <c r="H81" s="526"/>
      <c r="I81" s="526"/>
      <c r="J81" s="527" t="s">
        <v>22</v>
      </c>
      <c r="K81" s="527"/>
      <c r="L81" s="528"/>
      <c r="M81" s="86" t="s">
        <v>10</v>
      </c>
      <c r="N81" s="87" t="s">
        <v>10</v>
      </c>
      <c r="O81" s="87" t="s">
        <v>14</v>
      </c>
      <c r="P81" s="255" t="s">
        <v>14</v>
      </c>
      <c r="Q81" s="255" t="s">
        <v>10</v>
      </c>
      <c r="R81" s="255" t="s">
        <v>14</v>
      </c>
      <c r="S81" s="255" t="s">
        <v>10</v>
      </c>
      <c r="T81" s="255" t="s">
        <v>10</v>
      </c>
      <c r="U81" s="87" t="s">
        <v>10</v>
      </c>
      <c r="V81" s="87" t="s">
        <v>14</v>
      </c>
      <c r="W81" s="255" t="s">
        <v>10</v>
      </c>
      <c r="X81" s="255" t="s">
        <v>10</v>
      </c>
      <c r="Y81" s="255" t="s">
        <v>16</v>
      </c>
      <c r="Z81" s="255" t="s">
        <v>16</v>
      </c>
      <c r="AA81" s="255" t="s">
        <v>10</v>
      </c>
      <c r="AB81" s="87" t="s">
        <v>10</v>
      </c>
      <c r="AC81" s="87" t="s">
        <v>10</v>
      </c>
      <c r="AD81" s="255" t="s">
        <v>14</v>
      </c>
      <c r="AE81" s="255" t="s">
        <v>10</v>
      </c>
      <c r="AF81" s="255" t="s">
        <v>10</v>
      </c>
      <c r="AG81" s="255" t="s">
        <v>16</v>
      </c>
      <c r="AH81" s="255" t="s">
        <v>10</v>
      </c>
      <c r="AI81" s="87" t="s">
        <v>16</v>
      </c>
      <c r="AJ81" s="87" t="s">
        <v>10</v>
      </c>
      <c r="AK81" s="255" t="s">
        <v>10</v>
      </c>
      <c r="AL81" s="87" t="s">
        <v>10</v>
      </c>
      <c r="AM81" s="255" t="s">
        <v>10</v>
      </c>
      <c r="AN81" s="255" t="s">
        <v>10</v>
      </c>
      <c r="AO81" s="255" t="s">
        <v>10</v>
      </c>
      <c r="AP81" s="87" t="s">
        <v>10</v>
      </c>
      <c r="AQ81" s="90" t="s">
        <v>16</v>
      </c>
      <c r="AS81" s="43">
        <f t="shared" si="21"/>
        <v>5</v>
      </c>
      <c r="AT81" s="43">
        <f t="shared" si="21"/>
        <v>5</v>
      </c>
      <c r="AU81" s="43">
        <f t="shared" si="21"/>
        <v>0</v>
      </c>
      <c r="AV81" s="43">
        <f t="shared" si="21"/>
        <v>0</v>
      </c>
      <c r="AW81" s="43">
        <f t="shared" si="21"/>
        <v>0</v>
      </c>
      <c r="AX81" s="43">
        <f t="shared" si="21"/>
        <v>0</v>
      </c>
      <c r="AY81" s="43">
        <f t="shared" si="21"/>
        <v>0</v>
      </c>
      <c r="AZ81" s="43">
        <f t="shared" si="21"/>
        <v>0</v>
      </c>
      <c r="BA81" s="43">
        <f t="shared" si="21"/>
        <v>0</v>
      </c>
      <c r="BB81" s="43">
        <f t="shared" si="21"/>
        <v>0</v>
      </c>
      <c r="BC81" s="43">
        <f t="shared" si="21"/>
        <v>0</v>
      </c>
      <c r="BD81" s="43">
        <f t="shared" si="21"/>
        <v>0</v>
      </c>
      <c r="BE81" s="43">
        <f t="shared" si="21"/>
        <v>0</v>
      </c>
      <c r="BF81" s="43">
        <f t="shared" si="21"/>
        <v>0</v>
      </c>
      <c r="BG81" s="43">
        <f t="shared" si="21"/>
        <v>0</v>
      </c>
      <c r="BH81" s="43">
        <f t="shared" si="21"/>
        <v>0</v>
      </c>
      <c r="BI81" s="43">
        <f t="shared" si="20"/>
        <v>0</v>
      </c>
      <c r="BJ81" s="43">
        <f t="shared" si="20"/>
        <v>0</v>
      </c>
      <c r="BK81" s="43">
        <f t="shared" si="20"/>
        <v>0</v>
      </c>
      <c r="BL81" s="43">
        <f t="shared" si="20"/>
        <v>0</v>
      </c>
      <c r="BM81" s="43">
        <f t="shared" si="20"/>
        <v>0</v>
      </c>
      <c r="BN81" s="43">
        <f t="shared" si="20"/>
        <v>21</v>
      </c>
      <c r="BO81" s="43">
        <f t="shared" si="20"/>
        <v>0</v>
      </c>
      <c r="BP81" s="43">
        <f t="shared" si="20"/>
        <v>0</v>
      </c>
      <c r="BQ81" s="43">
        <f t="shared" si="20"/>
        <v>0</v>
      </c>
    </row>
    <row r="82" spans="3:69" ht="20.100000000000001" customHeight="1">
      <c r="C82" s="523" t="s">
        <v>7</v>
      </c>
      <c r="D82" s="524"/>
      <c r="E82" s="525" t="s">
        <v>31</v>
      </c>
      <c r="F82" s="526"/>
      <c r="G82" s="526"/>
      <c r="H82" s="526"/>
      <c r="I82" s="526"/>
      <c r="J82" s="527" t="s">
        <v>22</v>
      </c>
      <c r="K82" s="527"/>
      <c r="L82" s="528"/>
      <c r="M82" s="86" t="s">
        <v>14</v>
      </c>
      <c r="N82" s="87" t="s">
        <v>10</v>
      </c>
      <c r="O82" s="87" t="s">
        <v>10</v>
      </c>
      <c r="P82" s="255" t="s">
        <v>20</v>
      </c>
      <c r="Q82" s="255" t="s">
        <v>16</v>
      </c>
      <c r="R82" s="255" t="s">
        <v>13</v>
      </c>
      <c r="S82" s="255" t="s">
        <v>14</v>
      </c>
      <c r="T82" s="255" t="s">
        <v>14</v>
      </c>
      <c r="U82" s="87" t="s">
        <v>10</v>
      </c>
      <c r="V82" s="87" t="s">
        <v>10</v>
      </c>
      <c r="W82" s="255" t="s">
        <v>16</v>
      </c>
      <c r="X82" s="255" t="s">
        <v>14</v>
      </c>
      <c r="Y82" s="255" t="s">
        <v>10</v>
      </c>
      <c r="Z82" s="255" t="s">
        <v>14</v>
      </c>
      <c r="AA82" s="255" t="s">
        <v>14</v>
      </c>
      <c r="AB82" s="87" t="s">
        <v>14</v>
      </c>
      <c r="AC82" s="87" t="s">
        <v>14</v>
      </c>
      <c r="AD82" s="255" t="s">
        <v>10</v>
      </c>
      <c r="AE82" s="255" t="s">
        <v>16</v>
      </c>
      <c r="AF82" s="255" t="s">
        <v>16</v>
      </c>
      <c r="AG82" s="255" t="s">
        <v>10</v>
      </c>
      <c r="AH82" s="255" t="s">
        <v>16</v>
      </c>
      <c r="AI82" s="87" t="s">
        <v>14</v>
      </c>
      <c r="AJ82" s="87" t="s">
        <v>14</v>
      </c>
      <c r="AK82" s="255" t="s">
        <v>14</v>
      </c>
      <c r="AL82" s="87" t="s">
        <v>10</v>
      </c>
      <c r="AM82" s="255" t="s">
        <v>16</v>
      </c>
      <c r="AN82" s="255" t="s">
        <v>14</v>
      </c>
      <c r="AO82" s="255" t="s">
        <v>14</v>
      </c>
      <c r="AP82" s="87" t="s">
        <v>10</v>
      </c>
      <c r="AQ82" s="90" t="s">
        <v>10</v>
      </c>
      <c r="AS82" s="43">
        <f t="shared" si="21"/>
        <v>6</v>
      </c>
      <c r="AT82" s="43">
        <f t="shared" si="21"/>
        <v>13</v>
      </c>
      <c r="AU82" s="43">
        <f t="shared" si="21"/>
        <v>0</v>
      </c>
      <c r="AV82" s="43">
        <f t="shared" si="21"/>
        <v>0</v>
      </c>
      <c r="AW82" s="43">
        <f t="shared" si="21"/>
        <v>1</v>
      </c>
      <c r="AX82" s="43">
        <f t="shared" si="21"/>
        <v>0</v>
      </c>
      <c r="AY82" s="43">
        <f t="shared" si="21"/>
        <v>0</v>
      </c>
      <c r="AZ82" s="43">
        <f t="shared" si="21"/>
        <v>1</v>
      </c>
      <c r="BA82" s="43">
        <f t="shared" si="21"/>
        <v>0</v>
      </c>
      <c r="BB82" s="43">
        <f t="shared" si="21"/>
        <v>0</v>
      </c>
      <c r="BC82" s="43">
        <f t="shared" si="21"/>
        <v>0</v>
      </c>
      <c r="BD82" s="43">
        <f t="shared" si="21"/>
        <v>0</v>
      </c>
      <c r="BE82" s="43">
        <f t="shared" si="21"/>
        <v>0</v>
      </c>
      <c r="BF82" s="43">
        <f t="shared" si="21"/>
        <v>0</v>
      </c>
      <c r="BG82" s="43">
        <f t="shared" si="21"/>
        <v>0</v>
      </c>
      <c r="BH82" s="43">
        <f t="shared" si="21"/>
        <v>0</v>
      </c>
      <c r="BI82" s="43">
        <f t="shared" si="20"/>
        <v>0</v>
      </c>
      <c r="BJ82" s="43">
        <f t="shared" si="20"/>
        <v>0</v>
      </c>
      <c r="BK82" s="43">
        <f t="shared" si="20"/>
        <v>0</v>
      </c>
      <c r="BL82" s="43">
        <f t="shared" si="20"/>
        <v>0</v>
      </c>
      <c r="BM82" s="43">
        <f t="shared" si="20"/>
        <v>0</v>
      </c>
      <c r="BN82" s="43">
        <f t="shared" si="20"/>
        <v>10</v>
      </c>
      <c r="BO82" s="43">
        <f t="shared" si="20"/>
        <v>0</v>
      </c>
      <c r="BP82" s="43">
        <f t="shared" si="20"/>
        <v>0</v>
      </c>
      <c r="BQ82" s="43">
        <f t="shared" si="20"/>
        <v>0</v>
      </c>
    </row>
    <row r="83" spans="3:69" ht="20.100000000000001" customHeight="1">
      <c r="C83" s="523" t="s">
        <v>7</v>
      </c>
      <c r="D83" s="524"/>
      <c r="E83" s="525" t="s">
        <v>110</v>
      </c>
      <c r="F83" s="526"/>
      <c r="G83" s="526"/>
      <c r="H83" s="526"/>
      <c r="I83" s="526"/>
      <c r="J83" s="527" t="s">
        <v>104</v>
      </c>
      <c r="K83" s="527"/>
      <c r="L83" s="528"/>
      <c r="M83" s="86" t="s">
        <v>10</v>
      </c>
      <c r="N83" s="87" t="s">
        <v>10</v>
      </c>
      <c r="O83" s="87" t="s">
        <v>10</v>
      </c>
      <c r="P83" s="255" t="s">
        <v>16</v>
      </c>
      <c r="Q83" s="255" t="s">
        <v>14</v>
      </c>
      <c r="R83" s="255" t="s">
        <v>10</v>
      </c>
      <c r="S83" s="255" t="s">
        <v>10</v>
      </c>
      <c r="T83" s="255" t="s">
        <v>16</v>
      </c>
      <c r="U83" s="87" t="s">
        <v>16</v>
      </c>
      <c r="V83" s="87" t="s">
        <v>16</v>
      </c>
      <c r="W83" s="255" t="s">
        <v>112</v>
      </c>
      <c r="X83" s="255" t="s">
        <v>10</v>
      </c>
      <c r="Y83" s="255" t="s">
        <v>16</v>
      </c>
      <c r="Z83" s="255" t="s">
        <v>112</v>
      </c>
      <c r="AA83" s="255" t="s">
        <v>16</v>
      </c>
      <c r="AB83" s="87" t="s">
        <v>10</v>
      </c>
      <c r="AC83" s="87" t="s">
        <v>10</v>
      </c>
      <c r="AD83" s="255" t="s">
        <v>16</v>
      </c>
      <c r="AE83" s="255" t="s">
        <v>16</v>
      </c>
      <c r="AF83" s="255" t="s">
        <v>14</v>
      </c>
      <c r="AG83" s="255" t="s">
        <v>14</v>
      </c>
      <c r="AH83" s="255" t="s">
        <v>14</v>
      </c>
      <c r="AI83" s="87" t="s">
        <v>10</v>
      </c>
      <c r="AJ83" s="87" t="s">
        <v>10</v>
      </c>
      <c r="AK83" s="255" t="s">
        <v>112</v>
      </c>
      <c r="AL83" s="87" t="s">
        <v>112</v>
      </c>
      <c r="AM83" s="255" t="s">
        <v>14</v>
      </c>
      <c r="AN83" s="255" t="s">
        <v>112</v>
      </c>
      <c r="AO83" s="255" t="s">
        <v>112</v>
      </c>
      <c r="AP83" s="87" t="s">
        <v>10</v>
      </c>
      <c r="AQ83" s="90" t="s">
        <v>112</v>
      </c>
      <c r="AS83" s="43">
        <f t="shared" si="21"/>
        <v>8</v>
      </c>
      <c r="AT83" s="43">
        <f t="shared" si="21"/>
        <v>5</v>
      </c>
      <c r="AU83" s="43">
        <f t="shared" si="21"/>
        <v>0</v>
      </c>
      <c r="AV83" s="43">
        <f t="shared" si="21"/>
        <v>0</v>
      </c>
      <c r="AW83" s="43">
        <f t="shared" si="21"/>
        <v>0</v>
      </c>
      <c r="AX83" s="43">
        <f t="shared" si="21"/>
        <v>0</v>
      </c>
      <c r="AY83" s="43">
        <f t="shared" si="21"/>
        <v>0</v>
      </c>
      <c r="AZ83" s="43">
        <f t="shared" si="21"/>
        <v>0</v>
      </c>
      <c r="BA83" s="43">
        <f t="shared" si="21"/>
        <v>0</v>
      </c>
      <c r="BB83" s="43">
        <f t="shared" si="21"/>
        <v>0</v>
      </c>
      <c r="BC83" s="43">
        <f t="shared" si="21"/>
        <v>7</v>
      </c>
      <c r="BD83" s="43">
        <f t="shared" si="21"/>
        <v>0</v>
      </c>
      <c r="BE83" s="43">
        <f t="shared" si="21"/>
        <v>0</v>
      </c>
      <c r="BF83" s="43">
        <f t="shared" si="21"/>
        <v>0</v>
      </c>
      <c r="BG83" s="43">
        <f t="shared" si="21"/>
        <v>0</v>
      </c>
      <c r="BH83" s="43">
        <f t="shared" ref="BH83:BQ98" si="24">COUNTIFS($M83:$AQ83,BH$2)</f>
        <v>0</v>
      </c>
      <c r="BI83" s="43">
        <f t="shared" si="24"/>
        <v>0</v>
      </c>
      <c r="BJ83" s="43">
        <f t="shared" si="24"/>
        <v>0</v>
      </c>
      <c r="BK83" s="43">
        <f t="shared" si="24"/>
        <v>0</v>
      </c>
      <c r="BL83" s="43">
        <f t="shared" si="24"/>
        <v>0</v>
      </c>
      <c r="BM83" s="43">
        <f t="shared" si="24"/>
        <v>0</v>
      </c>
      <c r="BN83" s="43">
        <f t="shared" si="24"/>
        <v>11</v>
      </c>
      <c r="BO83" s="43">
        <f t="shared" si="24"/>
        <v>0</v>
      </c>
      <c r="BP83" s="43">
        <f t="shared" si="24"/>
        <v>0</v>
      </c>
      <c r="BQ83" s="43">
        <f t="shared" si="24"/>
        <v>0</v>
      </c>
    </row>
    <row r="84" spans="3:69" ht="20.100000000000001" customHeight="1">
      <c r="C84" s="523" t="s">
        <v>7</v>
      </c>
      <c r="D84" s="524"/>
      <c r="E84" s="525" t="s">
        <v>111</v>
      </c>
      <c r="F84" s="526"/>
      <c r="G84" s="526"/>
      <c r="H84" s="526"/>
      <c r="I84" s="526"/>
      <c r="J84" s="527" t="s">
        <v>104</v>
      </c>
      <c r="K84" s="527"/>
      <c r="L84" s="528"/>
      <c r="M84" s="86" t="s">
        <v>16</v>
      </c>
      <c r="N84" s="87" t="s">
        <v>16</v>
      </c>
      <c r="O84" s="87" t="s">
        <v>10</v>
      </c>
      <c r="P84" s="255" t="s">
        <v>10</v>
      </c>
      <c r="Q84" s="255" t="s">
        <v>16</v>
      </c>
      <c r="R84" s="255" t="s">
        <v>16</v>
      </c>
      <c r="S84" s="255" t="s">
        <v>14</v>
      </c>
      <c r="T84" s="255" t="s">
        <v>112</v>
      </c>
      <c r="U84" s="87" t="s">
        <v>10</v>
      </c>
      <c r="V84" s="87" t="s">
        <v>10</v>
      </c>
      <c r="W84" s="255" t="s">
        <v>14</v>
      </c>
      <c r="X84" s="255" t="s">
        <v>14</v>
      </c>
      <c r="Y84" s="255" t="s">
        <v>14</v>
      </c>
      <c r="Z84" s="255" t="s">
        <v>112</v>
      </c>
      <c r="AA84" s="255" t="s">
        <v>14</v>
      </c>
      <c r="AB84" s="87" t="s">
        <v>10</v>
      </c>
      <c r="AC84" s="87" t="s">
        <v>10</v>
      </c>
      <c r="AD84" s="255" t="s">
        <v>14</v>
      </c>
      <c r="AE84" s="255" t="s">
        <v>14</v>
      </c>
      <c r="AF84" s="255" t="s">
        <v>14</v>
      </c>
      <c r="AG84" s="255" t="s">
        <v>10</v>
      </c>
      <c r="AH84" s="255" t="s">
        <v>10</v>
      </c>
      <c r="AI84" s="87" t="s">
        <v>16</v>
      </c>
      <c r="AJ84" s="87" t="s">
        <v>16</v>
      </c>
      <c r="AK84" s="255" t="s">
        <v>16</v>
      </c>
      <c r="AL84" s="87" t="s">
        <v>10</v>
      </c>
      <c r="AM84" s="255" t="s">
        <v>14</v>
      </c>
      <c r="AN84" s="255" t="s">
        <v>112</v>
      </c>
      <c r="AO84" s="255" t="s">
        <v>112</v>
      </c>
      <c r="AP84" s="87" t="s">
        <v>10</v>
      </c>
      <c r="AQ84" s="90" t="s">
        <v>10</v>
      </c>
      <c r="AS84" s="43">
        <f t="shared" ref="AS84:BH99" si="25">COUNTIFS($M84:$AQ84,AS$2)</f>
        <v>7</v>
      </c>
      <c r="AT84" s="43">
        <f t="shared" si="25"/>
        <v>9</v>
      </c>
      <c r="AU84" s="43">
        <f t="shared" si="25"/>
        <v>0</v>
      </c>
      <c r="AV84" s="43">
        <f t="shared" si="25"/>
        <v>0</v>
      </c>
      <c r="AW84" s="43">
        <f t="shared" si="25"/>
        <v>0</v>
      </c>
      <c r="AX84" s="43">
        <f t="shared" si="25"/>
        <v>0</v>
      </c>
      <c r="AY84" s="43">
        <f t="shared" si="25"/>
        <v>0</v>
      </c>
      <c r="AZ84" s="43">
        <f t="shared" si="25"/>
        <v>0</v>
      </c>
      <c r="BA84" s="43">
        <f t="shared" si="25"/>
        <v>0</v>
      </c>
      <c r="BB84" s="43">
        <f t="shared" si="25"/>
        <v>0</v>
      </c>
      <c r="BC84" s="43">
        <f t="shared" si="25"/>
        <v>4</v>
      </c>
      <c r="BD84" s="43">
        <f t="shared" si="25"/>
        <v>0</v>
      </c>
      <c r="BE84" s="43">
        <f t="shared" si="25"/>
        <v>0</v>
      </c>
      <c r="BF84" s="43">
        <f t="shared" si="25"/>
        <v>0</v>
      </c>
      <c r="BG84" s="43">
        <f t="shared" si="25"/>
        <v>0</v>
      </c>
      <c r="BH84" s="43">
        <f t="shared" si="25"/>
        <v>0</v>
      </c>
      <c r="BI84" s="43">
        <f t="shared" si="24"/>
        <v>0</v>
      </c>
      <c r="BJ84" s="43">
        <f t="shared" si="24"/>
        <v>0</v>
      </c>
      <c r="BK84" s="43">
        <f t="shared" si="24"/>
        <v>0</v>
      </c>
      <c r="BL84" s="43">
        <f t="shared" si="24"/>
        <v>0</v>
      </c>
      <c r="BM84" s="43">
        <f t="shared" si="24"/>
        <v>0</v>
      </c>
      <c r="BN84" s="43">
        <f t="shared" si="24"/>
        <v>11</v>
      </c>
      <c r="BO84" s="43">
        <f t="shared" si="24"/>
        <v>0</v>
      </c>
      <c r="BP84" s="43">
        <f t="shared" si="24"/>
        <v>0</v>
      </c>
      <c r="BQ84" s="43">
        <f t="shared" si="24"/>
        <v>0</v>
      </c>
    </row>
    <row r="85" spans="3:69" ht="20.100000000000001" customHeight="1">
      <c r="C85" s="523">
        <v>0.75</v>
      </c>
      <c r="D85" s="524"/>
      <c r="E85" s="525" t="s">
        <v>33</v>
      </c>
      <c r="F85" s="526"/>
      <c r="G85" s="526"/>
      <c r="H85" s="526"/>
      <c r="I85" s="526"/>
      <c r="J85" s="527" t="s">
        <v>104</v>
      </c>
      <c r="K85" s="527"/>
      <c r="L85" s="528"/>
      <c r="M85" s="86"/>
      <c r="N85" s="87"/>
      <c r="O85" s="87"/>
      <c r="P85" s="255"/>
      <c r="Q85" s="255"/>
      <c r="R85" s="255"/>
      <c r="S85" s="255"/>
      <c r="T85" s="255"/>
      <c r="U85" s="87"/>
      <c r="V85" s="87"/>
      <c r="W85" s="255"/>
      <c r="X85" s="255"/>
      <c r="Y85" s="255"/>
      <c r="Z85" s="255"/>
      <c r="AA85" s="255"/>
      <c r="AB85" s="87"/>
      <c r="AC85" s="87"/>
      <c r="AD85" s="255"/>
      <c r="AE85" s="255"/>
      <c r="AF85" s="255"/>
      <c r="AG85" s="255"/>
      <c r="AH85" s="255"/>
      <c r="AI85" s="87"/>
      <c r="AJ85" s="87"/>
      <c r="AK85" s="255"/>
      <c r="AL85" s="87"/>
      <c r="AM85" s="255"/>
      <c r="AN85" s="255"/>
      <c r="AO85" s="255"/>
      <c r="AP85" s="87"/>
      <c r="AQ85" s="90"/>
      <c r="AS85" s="43">
        <f t="shared" si="25"/>
        <v>0</v>
      </c>
      <c r="AT85" s="43">
        <f t="shared" si="25"/>
        <v>0</v>
      </c>
      <c r="AU85" s="43">
        <f t="shared" si="25"/>
        <v>0</v>
      </c>
      <c r="AV85" s="43">
        <f t="shared" si="25"/>
        <v>0</v>
      </c>
      <c r="AW85" s="43">
        <f t="shared" si="25"/>
        <v>0</v>
      </c>
      <c r="AX85" s="43">
        <f t="shared" si="25"/>
        <v>0</v>
      </c>
      <c r="AY85" s="43">
        <f t="shared" si="25"/>
        <v>0</v>
      </c>
      <c r="AZ85" s="43">
        <f t="shared" si="25"/>
        <v>0</v>
      </c>
      <c r="BA85" s="43">
        <f t="shared" si="25"/>
        <v>0</v>
      </c>
      <c r="BB85" s="43">
        <f t="shared" si="25"/>
        <v>0</v>
      </c>
      <c r="BC85" s="43">
        <f t="shared" si="25"/>
        <v>0</v>
      </c>
      <c r="BD85" s="43">
        <f t="shared" si="25"/>
        <v>0</v>
      </c>
      <c r="BE85" s="43">
        <f t="shared" si="25"/>
        <v>0</v>
      </c>
      <c r="BF85" s="43">
        <f t="shared" si="25"/>
        <v>0</v>
      </c>
      <c r="BG85" s="43">
        <f t="shared" si="25"/>
        <v>0</v>
      </c>
      <c r="BH85" s="43">
        <f t="shared" si="25"/>
        <v>0</v>
      </c>
      <c r="BI85" s="43">
        <f t="shared" si="24"/>
        <v>0</v>
      </c>
      <c r="BJ85" s="43">
        <f t="shared" si="24"/>
        <v>0</v>
      </c>
      <c r="BK85" s="43">
        <f t="shared" si="24"/>
        <v>0</v>
      </c>
      <c r="BL85" s="43">
        <f t="shared" si="24"/>
        <v>0</v>
      </c>
      <c r="BM85" s="43">
        <f t="shared" si="24"/>
        <v>0</v>
      </c>
      <c r="BN85" s="43">
        <f t="shared" si="24"/>
        <v>0</v>
      </c>
      <c r="BO85" s="43">
        <f t="shared" si="24"/>
        <v>0</v>
      </c>
      <c r="BP85" s="43">
        <f t="shared" si="24"/>
        <v>0</v>
      </c>
      <c r="BQ85" s="43">
        <f t="shared" si="24"/>
        <v>0</v>
      </c>
    </row>
    <row r="86" spans="3:69" ht="20.100000000000001" customHeight="1" thickBot="1">
      <c r="C86" s="529"/>
      <c r="D86" s="530"/>
      <c r="E86" s="531"/>
      <c r="F86" s="532"/>
      <c r="G86" s="532"/>
      <c r="H86" s="532"/>
      <c r="I86" s="532"/>
      <c r="J86" s="533"/>
      <c r="K86" s="533"/>
      <c r="L86" s="534"/>
      <c r="M86" s="88"/>
      <c r="N86" s="77"/>
      <c r="O86" s="77"/>
      <c r="P86" s="259"/>
      <c r="Q86" s="259"/>
      <c r="R86" s="259"/>
      <c r="S86" s="259"/>
      <c r="T86" s="259"/>
      <c r="U86" s="77"/>
      <c r="V86" s="77"/>
      <c r="W86" s="259"/>
      <c r="X86" s="259"/>
      <c r="Y86" s="259"/>
      <c r="Z86" s="259"/>
      <c r="AA86" s="259"/>
      <c r="AB86" s="77"/>
      <c r="AC86" s="77"/>
      <c r="AD86" s="259"/>
      <c r="AE86" s="259"/>
      <c r="AF86" s="259"/>
      <c r="AG86" s="259"/>
      <c r="AH86" s="259"/>
      <c r="AI86" s="77"/>
      <c r="AJ86" s="77"/>
      <c r="AK86" s="259"/>
      <c r="AL86" s="77"/>
      <c r="AM86" s="259"/>
      <c r="AN86" s="259"/>
      <c r="AO86" s="259"/>
      <c r="AP86" s="77"/>
      <c r="AQ86" s="78"/>
      <c r="AS86" s="43">
        <f t="shared" si="25"/>
        <v>0</v>
      </c>
      <c r="AT86" s="43">
        <f t="shared" si="25"/>
        <v>0</v>
      </c>
      <c r="AU86" s="43">
        <f t="shared" si="25"/>
        <v>0</v>
      </c>
      <c r="AV86" s="43">
        <f t="shared" si="25"/>
        <v>0</v>
      </c>
      <c r="AW86" s="43">
        <f t="shared" si="25"/>
        <v>0</v>
      </c>
      <c r="AX86" s="43">
        <f t="shared" si="25"/>
        <v>0</v>
      </c>
      <c r="AY86" s="43">
        <f t="shared" si="25"/>
        <v>0</v>
      </c>
      <c r="AZ86" s="43">
        <f t="shared" si="25"/>
        <v>0</v>
      </c>
      <c r="BA86" s="43">
        <f t="shared" si="25"/>
        <v>0</v>
      </c>
      <c r="BB86" s="43">
        <f t="shared" si="25"/>
        <v>0</v>
      </c>
      <c r="BC86" s="43">
        <f t="shared" si="25"/>
        <v>0</v>
      </c>
      <c r="BD86" s="43">
        <f t="shared" si="25"/>
        <v>0</v>
      </c>
      <c r="BE86" s="43">
        <f t="shared" si="25"/>
        <v>0</v>
      </c>
      <c r="BF86" s="43">
        <f t="shared" si="25"/>
        <v>0</v>
      </c>
      <c r="BG86" s="43">
        <f t="shared" si="25"/>
        <v>0</v>
      </c>
      <c r="BH86" s="43">
        <f t="shared" si="25"/>
        <v>0</v>
      </c>
      <c r="BI86" s="43">
        <f t="shared" si="24"/>
        <v>0</v>
      </c>
      <c r="BJ86" s="43">
        <f t="shared" si="24"/>
        <v>0</v>
      </c>
      <c r="BK86" s="43">
        <f t="shared" si="24"/>
        <v>0</v>
      </c>
      <c r="BL86" s="43">
        <f t="shared" si="24"/>
        <v>0</v>
      </c>
      <c r="BM86" s="43">
        <f t="shared" si="24"/>
        <v>0</v>
      </c>
      <c r="BN86" s="43">
        <f t="shared" si="24"/>
        <v>0</v>
      </c>
      <c r="BO86" s="43">
        <f t="shared" si="24"/>
        <v>0</v>
      </c>
      <c r="BP86" s="43">
        <f t="shared" si="24"/>
        <v>0</v>
      </c>
      <c r="BQ86" s="43">
        <f t="shared" si="24"/>
        <v>0</v>
      </c>
    </row>
    <row r="87" spans="3:69" ht="20.100000000000001" hidden="1" customHeight="1" thickBot="1">
      <c r="M87">
        <f>DTCHK(M73,YK!$J$3:$J$52)</f>
        <v>1</v>
      </c>
      <c r="N87">
        <f>DTCHK(N73,YK!$J$3:$J$52)</f>
        <v>1</v>
      </c>
      <c r="O87">
        <f>DTCHK(O73,YK!$J$3:$J$52)</f>
        <v>1</v>
      </c>
      <c r="P87">
        <f>DTCHK(P73,YK!$J$3:$J$52)</f>
        <v>0</v>
      </c>
      <c r="Q87">
        <f>DTCHK(Q73,YK!$J$3:$J$52)</f>
        <v>0</v>
      </c>
      <c r="R87">
        <f>DTCHK(R73,YK!$J$3:$J$52)</f>
        <v>0</v>
      </c>
      <c r="S87">
        <f>DTCHK(S73,YK!$J$3:$J$52)</f>
        <v>0</v>
      </c>
      <c r="T87">
        <f>DTCHK(T73,YK!$J$3:$J$52)</f>
        <v>0</v>
      </c>
      <c r="U87">
        <f>DTCHK(U73,YK!$J$3:$J$52)</f>
        <v>0</v>
      </c>
      <c r="V87">
        <f>DTCHK(V73,YK!$J$3:$J$52)</f>
        <v>0</v>
      </c>
      <c r="W87">
        <f>DTCHK(W73,YK!$J$3:$J$52)</f>
        <v>0</v>
      </c>
      <c r="X87">
        <f>DTCHK(X73,YK!$J$3:$J$52)</f>
        <v>0</v>
      </c>
      <c r="Y87">
        <f>DTCHK(Y73,YK!$J$3:$J$52)</f>
        <v>0</v>
      </c>
      <c r="Z87">
        <f>DTCHK(Z73,YK!$J$3:$J$52)</f>
        <v>0</v>
      </c>
      <c r="AA87">
        <f>DTCHK(AA73,YK!$J$3:$J$52)</f>
        <v>0</v>
      </c>
      <c r="AB87">
        <f>DTCHK(AB73,YK!$J$3:$J$52)</f>
        <v>0</v>
      </c>
      <c r="AC87">
        <f>DTCHK(AC73,YK!$J$3:$J$52)</f>
        <v>1</v>
      </c>
      <c r="AD87">
        <f>DTCHK(AD73,YK!$J$3:$J$52)</f>
        <v>0</v>
      </c>
      <c r="AE87">
        <f>DTCHK(AE73,YK!$J$3:$J$52)</f>
        <v>0</v>
      </c>
      <c r="AF87">
        <f>DTCHK(AF73,YK!$J$3:$J$52)</f>
        <v>0</v>
      </c>
      <c r="AG87">
        <f>DTCHK(AG73,YK!$J$3:$J$52)</f>
        <v>0</v>
      </c>
      <c r="AH87">
        <f>DTCHK(AH73,YK!$J$3:$J$52)</f>
        <v>0</v>
      </c>
      <c r="AI87">
        <f>DTCHK(AI73,YK!$J$3:$J$52)</f>
        <v>0</v>
      </c>
      <c r="AJ87">
        <f>DTCHK(AJ73,YK!$J$3:$J$52)</f>
        <v>1</v>
      </c>
      <c r="AK87">
        <f>DTCHK(AK73,YK!$J$3:$J$52)</f>
        <v>0</v>
      </c>
      <c r="AL87">
        <f>DTCHK(AL73,YK!$J$3:$J$52)</f>
        <v>1</v>
      </c>
      <c r="AM87">
        <f>DTCHK(AM73,YK!$J$3:$J$52)</f>
        <v>0</v>
      </c>
      <c r="AN87">
        <f>DTCHK(AN73,YK!$J$3:$J$52)</f>
        <v>0</v>
      </c>
      <c r="AO87">
        <f>DTCHK(AO73,YK!$J$3:$J$52)</f>
        <v>0</v>
      </c>
      <c r="AP87">
        <f>DTCHK(AP73,YK!$J$3:$J$52)</f>
        <v>0</v>
      </c>
      <c r="AQ87">
        <f>DTCHK(AQ73,YK!$J$3:$J$52)</f>
        <v>0</v>
      </c>
      <c r="AS87" s="43">
        <f t="shared" si="25"/>
        <v>0</v>
      </c>
      <c r="AT87" s="43">
        <f t="shared" si="25"/>
        <v>0</v>
      </c>
      <c r="AU87" s="43">
        <f t="shared" si="25"/>
        <v>0</v>
      </c>
      <c r="AV87" s="43">
        <f t="shared" si="25"/>
        <v>0</v>
      </c>
      <c r="AW87" s="43">
        <f t="shared" si="25"/>
        <v>0</v>
      </c>
      <c r="AX87" s="43">
        <f t="shared" si="25"/>
        <v>0</v>
      </c>
      <c r="AY87" s="43">
        <f t="shared" si="25"/>
        <v>0</v>
      </c>
      <c r="AZ87" s="43">
        <f t="shared" si="25"/>
        <v>0</v>
      </c>
      <c r="BA87" s="43">
        <f t="shared" si="25"/>
        <v>0</v>
      </c>
      <c r="BB87" s="43">
        <f t="shared" si="25"/>
        <v>0</v>
      </c>
      <c r="BC87" s="43">
        <f t="shared" si="25"/>
        <v>0</v>
      </c>
      <c r="BD87" s="43">
        <f t="shared" si="25"/>
        <v>0</v>
      </c>
      <c r="BE87" s="43">
        <f t="shared" si="25"/>
        <v>25</v>
      </c>
      <c r="BF87" s="43">
        <f t="shared" si="25"/>
        <v>25</v>
      </c>
      <c r="BG87" s="43">
        <f t="shared" si="25"/>
        <v>25</v>
      </c>
      <c r="BH87" s="43">
        <f t="shared" si="25"/>
        <v>25</v>
      </c>
      <c r="BI87" s="43">
        <f t="shared" si="24"/>
        <v>25</v>
      </c>
      <c r="BJ87" s="43">
        <f t="shared" si="24"/>
        <v>0</v>
      </c>
      <c r="BK87" s="43">
        <f t="shared" si="24"/>
        <v>25</v>
      </c>
      <c r="BL87" s="43">
        <f t="shared" si="24"/>
        <v>25</v>
      </c>
      <c r="BM87" s="43">
        <f t="shared" si="24"/>
        <v>25</v>
      </c>
      <c r="BN87" s="43">
        <f t="shared" si="24"/>
        <v>0</v>
      </c>
      <c r="BO87" s="43">
        <f t="shared" si="24"/>
        <v>0</v>
      </c>
      <c r="BP87" s="43">
        <f t="shared" si="24"/>
        <v>0</v>
      </c>
      <c r="BQ87" s="43">
        <f t="shared" si="24"/>
        <v>25</v>
      </c>
    </row>
    <row r="88" spans="3:69" ht="20.100000000000001" customHeight="1">
      <c r="C88" s="539" t="str">
        <f ca="1">Lists!F6</f>
        <v>Czerwiec</v>
      </c>
      <c r="D88" s="540"/>
      <c r="E88" s="540"/>
      <c r="F88" s="540"/>
      <c r="G88" s="541"/>
    </row>
    <row r="89" spans="3:69" ht="20.100000000000001" customHeight="1" thickBot="1">
      <c r="C89" s="542"/>
      <c r="D89" s="543"/>
      <c r="E89" s="543"/>
      <c r="F89" s="543"/>
      <c r="G89" s="544"/>
    </row>
    <row r="90" spans="3:69" ht="20.100000000000001" hidden="1" customHeight="1">
      <c r="C90" s="31"/>
      <c r="D90" s="32"/>
      <c r="E90" s="32"/>
      <c r="F90" s="32"/>
      <c r="G90" s="32"/>
      <c r="M90" s="10">
        <f>M73+31</f>
        <v>46174</v>
      </c>
      <c r="N90" s="10">
        <f>M90+1</f>
        <v>46175</v>
      </c>
      <c r="O90" s="10">
        <f t="shared" ref="O90:AQ90" si="26">N90+1</f>
        <v>46176</v>
      </c>
      <c r="P90" s="10">
        <f t="shared" si="26"/>
        <v>46177</v>
      </c>
      <c r="Q90" s="10">
        <f t="shared" si="26"/>
        <v>46178</v>
      </c>
      <c r="R90" s="10">
        <f t="shared" si="26"/>
        <v>46179</v>
      </c>
      <c r="S90" s="10">
        <f t="shared" si="26"/>
        <v>46180</v>
      </c>
      <c r="T90" s="10">
        <f t="shared" si="26"/>
        <v>46181</v>
      </c>
      <c r="U90" s="10">
        <f t="shared" si="26"/>
        <v>46182</v>
      </c>
      <c r="V90" s="10">
        <f t="shared" si="26"/>
        <v>46183</v>
      </c>
      <c r="W90" s="10">
        <f t="shared" si="26"/>
        <v>46184</v>
      </c>
      <c r="X90" s="10">
        <f t="shared" si="26"/>
        <v>46185</v>
      </c>
      <c r="Y90" s="10">
        <f t="shared" si="26"/>
        <v>46186</v>
      </c>
      <c r="Z90" s="10">
        <f t="shared" si="26"/>
        <v>46187</v>
      </c>
      <c r="AA90" s="10">
        <f t="shared" si="26"/>
        <v>46188</v>
      </c>
      <c r="AB90" s="10">
        <f t="shared" si="26"/>
        <v>46189</v>
      </c>
      <c r="AC90" s="10">
        <f t="shared" si="26"/>
        <v>46190</v>
      </c>
      <c r="AD90" s="10">
        <f t="shared" si="26"/>
        <v>46191</v>
      </c>
      <c r="AE90" s="10">
        <f t="shared" si="26"/>
        <v>46192</v>
      </c>
      <c r="AF90" s="10">
        <f t="shared" si="26"/>
        <v>46193</v>
      </c>
      <c r="AG90" s="10">
        <f t="shared" si="26"/>
        <v>46194</v>
      </c>
      <c r="AH90" s="10">
        <f t="shared" si="26"/>
        <v>46195</v>
      </c>
      <c r="AI90" s="10">
        <f t="shared" si="26"/>
        <v>46196</v>
      </c>
      <c r="AJ90" s="10">
        <f t="shared" si="26"/>
        <v>46197</v>
      </c>
      <c r="AK90" s="10">
        <f t="shared" si="26"/>
        <v>46198</v>
      </c>
      <c r="AL90" s="10">
        <f t="shared" si="26"/>
        <v>46199</v>
      </c>
      <c r="AM90" s="10">
        <f t="shared" si="26"/>
        <v>46200</v>
      </c>
      <c r="AN90" s="10">
        <f t="shared" si="26"/>
        <v>46201</v>
      </c>
      <c r="AO90" s="10">
        <f t="shared" si="26"/>
        <v>46202</v>
      </c>
      <c r="AP90" s="10">
        <f t="shared" si="26"/>
        <v>46203</v>
      </c>
      <c r="AQ90" s="10">
        <f t="shared" si="26"/>
        <v>46204</v>
      </c>
    </row>
    <row r="91" spans="3:69" ht="20.100000000000001" hidden="1" customHeight="1" thickBot="1">
      <c r="C91" s="31"/>
      <c r="D91" s="32"/>
      <c r="E91" s="32"/>
      <c r="F91" s="32"/>
      <c r="G91" s="32"/>
      <c r="M91">
        <f>WEEKDAY(M90,2)</f>
        <v>1</v>
      </c>
      <c r="N91">
        <f t="shared" ref="N91:AQ91" si="27">WEEKDAY(N90,2)</f>
        <v>2</v>
      </c>
      <c r="O91">
        <f t="shared" si="27"/>
        <v>3</v>
      </c>
      <c r="P91">
        <f t="shared" si="27"/>
        <v>4</v>
      </c>
      <c r="Q91">
        <f t="shared" si="27"/>
        <v>5</v>
      </c>
      <c r="R91">
        <f t="shared" si="27"/>
        <v>6</v>
      </c>
      <c r="S91">
        <f t="shared" si="27"/>
        <v>7</v>
      </c>
      <c r="T91">
        <f t="shared" si="27"/>
        <v>1</v>
      </c>
      <c r="U91">
        <f t="shared" si="27"/>
        <v>2</v>
      </c>
      <c r="V91">
        <f t="shared" si="27"/>
        <v>3</v>
      </c>
      <c r="W91">
        <f t="shared" si="27"/>
        <v>4</v>
      </c>
      <c r="X91">
        <f t="shared" si="27"/>
        <v>5</v>
      </c>
      <c r="Y91">
        <f t="shared" si="27"/>
        <v>6</v>
      </c>
      <c r="Z91">
        <f t="shared" si="27"/>
        <v>7</v>
      </c>
      <c r="AA91">
        <f t="shared" si="27"/>
        <v>1</v>
      </c>
      <c r="AB91">
        <f t="shared" si="27"/>
        <v>2</v>
      </c>
      <c r="AC91">
        <f t="shared" si="27"/>
        <v>3</v>
      </c>
      <c r="AD91">
        <f t="shared" si="27"/>
        <v>4</v>
      </c>
      <c r="AE91">
        <f t="shared" si="27"/>
        <v>5</v>
      </c>
      <c r="AF91">
        <f t="shared" si="27"/>
        <v>6</v>
      </c>
      <c r="AG91">
        <f t="shared" si="27"/>
        <v>7</v>
      </c>
      <c r="AH91">
        <f t="shared" si="27"/>
        <v>1</v>
      </c>
      <c r="AI91">
        <f t="shared" si="27"/>
        <v>2</v>
      </c>
      <c r="AJ91">
        <f t="shared" si="27"/>
        <v>3</v>
      </c>
      <c r="AK91">
        <f t="shared" si="27"/>
        <v>4</v>
      </c>
      <c r="AL91">
        <f t="shared" si="27"/>
        <v>5</v>
      </c>
      <c r="AM91">
        <f t="shared" si="27"/>
        <v>6</v>
      </c>
      <c r="AN91">
        <f t="shared" si="27"/>
        <v>7</v>
      </c>
      <c r="AO91">
        <f t="shared" si="27"/>
        <v>1</v>
      </c>
      <c r="AP91">
        <f t="shared" si="27"/>
        <v>2</v>
      </c>
      <c r="AQ91">
        <f t="shared" si="27"/>
        <v>3</v>
      </c>
    </row>
    <row r="92" spans="3:69" ht="20.100000000000001" customHeight="1">
      <c r="C92" s="433" t="str">
        <f ca="1">INDIRECT("T!"&amp;T!A1&amp;"33")</f>
        <v>Etat</v>
      </c>
      <c r="D92" s="434"/>
      <c r="E92" s="427" t="s">
        <v>6</v>
      </c>
      <c r="F92" s="428"/>
      <c r="G92" s="428"/>
      <c r="H92" s="428"/>
      <c r="I92" s="428"/>
      <c r="J92" s="421" t="str">
        <f ca="1">INDIRECT("T!"&amp;T!A1&amp;"34")</f>
        <v>Pozycja</v>
      </c>
      <c r="K92" s="421"/>
      <c r="L92" s="549"/>
      <c r="M92" s="28">
        <v>1</v>
      </c>
      <c r="N92" s="28">
        <v>2</v>
      </c>
      <c r="O92" s="28">
        <v>3</v>
      </c>
      <c r="P92" s="28">
        <v>4</v>
      </c>
      <c r="Q92" s="28">
        <v>5</v>
      </c>
      <c r="R92" s="28">
        <v>6</v>
      </c>
      <c r="S92" s="28">
        <v>7</v>
      </c>
      <c r="T92" s="28">
        <v>8</v>
      </c>
      <c r="U92" s="28">
        <v>9</v>
      </c>
      <c r="V92" s="28">
        <v>10</v>
      </c>
      <c r="W92" s="28">
        <v>11</v>
      </c>
      <c r="X92" s="28">
        <v>12</v>
      </c>
      <c r="Y92" s="28">
        <v>13</v>
      </c>
      <c r="Z92" s="28">
        <v>14</v>
      </c>
      <c r="AA92" s="28">
        <v>15</v>
      </c>
      <c r="AB92" s="28">
        <v>16</v>
      </c>
      <c r="AC92" s="28">
        <v>17</v>
      </c>
      <c r="AD92" s="28">
        <v>18</v>
      </c>
      <c r="AE92" s="28">
        <v>19</v>
      </c>
      <c r="AF92" s="28">
        <v>20</v>
      </c>
      <c r="AG92" s="28">
        <v>21</v>
      </c>
      <c r="AH92" s="28">
        <v>22</v>
      </c>
      <c r="AI92" s="28">
        <v>23</v>
      </c>
      <c r="AJ92" s="28">
        <v>24</v>
      </c>
      <c r="AK92" s="28">
        <v>25</v>
      </c>
      <c r="AL92" s="28">
        <v>26</v>
      </c>
      <c r="AM92" s="28">
        <v>27</v>
      </c>
      <c r="AN92" s="28">
        <v>28</v>
      </c>
      <c r="AO92" s="28">
        <v>29</v>
      </c>
      <c r="AP92" s="28">
        <v>30</v>
      </c>
      <c r="AQ92" s="28">
        <v>31</v>
      </c>
    </row>
    <row r="93" spans="3:69" ht="20.100000000000001" customHeight="1" thickBot="1">
      <c r="C93" s="545"/>
      <c r="D93" s="546"/>
      <c r="E93" s="547"/>
      <c r="F93" s="548"/>
      <c r="G93" s="548"/>
      <c r="H93" s="548"/>
      <c r="I93" s="548"/>
      <c r="J93" s="424"/>
      <c r="K93" s="424"/>
      <c r="L93" s="550"/>
      <c r="M93" s="29" t="str">
        <f ca="1">IF(M91=1,INDIRECT("T!"&amp;T!$A$1&amp;"26"),IF(M91=2,INDIRECT("T!"&amp;T!$A$1&amp;"27"),IF(M91=3,INDIRECT("T!"&amp;T!$A$1&amp;"28"),IF(M91=4,INDIRECT("T!"&amp;T!$A$1&amp;"29"),IF(M91=5,INDIRECT("T!"&amp;T!$A$1&amp;"30"),IF(M91=6,INDIRECT("T!"&amp;T!$A$1&amp;"31"),IF(M91=7,INDIRECT("T!"&amp;T!$A$1&amp;"32"),0)))))))</f>
        <v>Pn</v>
      </c>
      <c r="N93" s="29" t="str">
        <f ca="1">IF(N91=1,INDIRECT("T!"&amp;T!$A$1&amp;"26"),IF(N91=2,INDIRECT("T!"&amp;T!$A$1&amp;"27"),IF(N91=3,INDIRECT("T!"&amp;T!$A$1&amp;"28"),IF(N91=4,INDIRECT("T!"&amp;T!$A$1&amp;"29"),IF(N91=5,INDIRECT("T!"&amp;T!$A$1&amp;"30"),IF(N91=6,INDIRECT("T!"&amp;T!$A$1&amp;"31"),IF(N91=7,INDIRECT("T!"&amp;T!$A$1&amp;"32"),0)))))))</f>
        <v>Wt</v>
      </c>
      <c r="O93" s="29" t="str">
        <f ca="1">IF(O91=1,INDIRECT("T!"&amp;T!$A$1&amp;"26"),IF(O91=2,INDIRECT("T!"&amp;T!$A$1&amp;"27"),IF(O91=3,INDIRECT("T!"&amp;T!$A$1&amp;"28"),IF(O91=4,INDIRECT("T!"&amp;T!$A$1&amp;"29"),IF(O91=5,INDIRECT("T!"&amp;T!$A$1&amp;"30"),IF(O91=6,INDIRECT("T!"&amp;T!$A$1&amp;"31"),IF(O91=7,INDIRECT("T!"&amp;T!$A$1&amp;"32"),0)))))))</f>
        <v>Śr</v>
      </c>
      <c r="P93" s="29" t="str">
        <f ca="1">IF(P91=1,INDIRECT("T!"&amp;T!$A$1&amp;"26"),IF(P91=2,INDIRECT("T!"&amp;T!$A$1&amp;"27"),IF(P91=3,INDIRECT("T!"&amp;T!$A$1&amp;"28"),IF(P91=4,INDIRECT("T!"&amp;T!$A$1&amp;"29"),IF(P91=5,INDIRECT("T!"&amp;T!$A$1&amp;"30"),IF(P91=6,INDIRECT("T!"&amp;T!$A$1&amp;"31"),IF(P91=7,INDIRECT("T!"&amp;T!$A$1&amp;"32"),0)))))))</f>
        <v>Cz</v>
      </c>
      <c r="Q93" s="29" t="str">
        <f ca="1">IF(Q91=1,INDIRECT("T!"&amp;T!$A$1&amp;"26"),IF(Q91=2,INDIRECT("T!"&amp;T!$A$1&amp;"27"),IF(Q91=3,INDIRECT("T!"&amp;T!$A$1&amp;"28"),IF(Q91=4,INDIRECT("T!"&amp;T!$A$1&amp;"29"),IF(Q91=5,INDIRECT("T!"&amp;T!$A$1&amp;"30"),IF(Q91=6,INDIRECT("T!"&amp;T!$A$1&amp;"31"),IF(Q91=7,INDIRECT("T!"&amp;T!$A$1&amp;"32"),0)))))))</f>
        <v>Pt</v>
      </c>
      <c r="R93" s="29" t="str">
        <f ca="1">IF(R91=1,INDIRECT("T!"&amp;T!$A$1&amp;"26"),IF(R91=2,INDIRECT("T!"&amp;T!$A$1&amp;"27"),IF(R91=3,INDIRECT("T!"&amp;T!$A$1&amp;"28"),IF(R91=4,INDIRECT("T!"&amp;T!$A$1&amp;"29"),IF(R91=5,INDIRECT("T!"&amp;T!$A$1&amp;"30"),IF(R91=6,INDIRECT("T!"&amp;T!$A$1&amp;"31"),IF(R91=7,INDIRECT("T!"&amp;T!$A$1&amp;"32"),0)))))))</f>
        <v>So</v>
      </c>
      <c r="S93" s="29" t="str">
        <f ca="1">IF(S91=1,INDIRECT("T!"&amp;T!$A$1&amp;"26"),IF(S91=2,INDIRECT("T!"&amp;T!$A$1&amp;"27"),IF(S91=3,INDIRECT("T!"&amp;T!$A$1&amp;"28"),IF(S91=4,INDIRECT("T!"&amp;T!$A$1&amp;"29"),IF(S91=5,INDIRECT("T!"&amp;T!$A$1&amp;"30"),IF(S91=6,INDIRECT("T!"&amp;T!$A$1&amp;"31"),IF(S91=7,INDIRECT("T!"&amp;T!$A$1&amp;"32"),0)))))))</f>
        <v>Nd</v>
      </c>
      <c r="T93" s="29" t="str">
        <f ca="1">IF(T91=1,INDIRECT("T!"&amp;T!$A$1&amp;"26"),IF(T91=2,INDIRECT("T!"&amp;T!$A$1&amp;"27"),IF(T91=3,INDIRECT("T!"&amp;T!$A$1&amp;"28"),IF(T91=4,INDIRECT("T!"&amp;T!$A$1&amp;"29"),IF(T91=5,INDIRECT("T!"&amp;T!$A$1&amp;"30"),IF(T91=6,INDIRECT("T!"&amp;T!$A$1&amp;"31"),IF(T91=7,INDIRECT("T!"&amp;T!$A$1&amp;"32"),0)))))))</f>
        <v>Pn</v>
      </c>
      <c r="U93" s="29" t="str">
        <f ca="1">IF(U91=1,INDIRECT("T!"&amp;T!$A$1&amp;"26"),IF(U91=2,INDIRECT("T!"&amp;T!$A$1&amp;"27"),IF(U91=3,INDIRECT("T!"&amp;T!$A$1&amp;"28"),IF(U91=4,INDIRECT("T!"&amp;T!$A$1&amp;"29"),IF(U91=5,INDIRECT("T!"&amp;T!$A$1&amp;"30"),IF(U91=6,INDIRECT("T!"&amp;T!$A$1&amp;"31"),IF(U91=7,INDIRECT("T!"&amp;T!$A$1&amp;"32"),0)))))))</f>
        <v>Wt</v>
      </c>
      <c r="V93" s="29" t="str">
        <f ca="1">IF(V91=1,INDIRECT("T!"&amp;T!$A$1&amp;"26"),IF(V91=2,INDIRECT("T!"&amp;T!$A$1&amp;"27"),IF(V91=3,INDIRECT("T!"&amp;T!$A$1&amp;"28"),IF(V91=4,INDIRECT("T!"&amp;T!$A$1&amp;"29"),IF(V91=5,INDIRECT("T!"&amp;T!$A$1&amp;"30"),IF(V91=6,INDIRECT("T!"&amp;T!$A$1&amp;"31"),IF(V91=7,INDIRECT("T!"&amp;T!$A$1&amp;"32"),0)))))))</f>
        <v>Śr</v>
      </c>
      <c r="W93" s="29" t="str">
        <f ca="1">IF(W91=1,INDIRECT("T!"&amp;T!$A$1&amp;"26"),IF(W91=2,INDIRECT("T!"&amp;T!$A$1&amp;"27"),IF(W91=3,INDIRECT("T!"&amp;T!$A$1&amp;"28"),IF(W91=4,INDIRECT("T!"&amp;T!$A$1&amp;"29"),IF(W91=5,INDIRECT("T!"&amp;T!$A$1&amp;"30"),IF(W91=6,INDIRECT("T!"&amp;T!$A$1&amp;"31"),IF(W91=7,INDIRECT("T!"&amp;T!$A$1&amp;"32"),0)))))))</f>
        <v>Cz</v>
      </c>
      <c r="X93" s="29" t="str">
        <f ca="1">IF(X91=1,INDIRECT("T!"&amp;T!$A$1&amp;"26"),IF(X91=2,INDIRECT("T!"&amp;T!$A$1&amp;"27"),IF(X91=3,INDIRECT("T!"&amp;T!$A$1&amp;"28"),IF(X91=4,INDIRECT("T!"&amp;T!$A$1&amp;"29"),IF(X91=5,INDIRECT("T!"&amp;T!$A$1&amp;"30"),IF(X91=6,INDIRECT("T!"&amp;T!$A$1&amp;"31"),IF(X91=7,INDIRECT("T!"&amp;T!$A$1&amp;"32"),0)))))))</f>
        <v>Pt</v>
      </c>
      <c r="Y93" s="29" t="str">
        <f ca="1">IF(Y91=1,INDIRECT("T!"&amp;T!$A$1&amp;"26"),IF(Y91=2,INDIRECT("T!"&amp;T!$A$1&amp;"27"),IF(Y91=3,INDIRECT("T!"&amp;T!$A$1&amp;"28"),IF(Y91=4,INDIRECT("T!"&amp;T!$A$1&amp;"29"),IF(Y91=5,INDIRECT("T!"&amp;T!$A$1&amp;"30"),IF(Y91=6,INDIRECT("T!"&amp;T!$A$1&amp;"31"),IF(Y91=7,INDIRECT("T!"&amp;T!$A$1&amp;"32"),0)))))))</f>
        <v>So</v>
      </c>
      <c r="Z93" s="29" t="str">
        <f ca="1">IF(Z91=1,INDIRECT("T!"&amp;T!$A$1&amp;"26"),IF(Z91=2,INDIRECT("T!"&amp;T!$A$1&amp;"27"),IF(Z91=3,INDIRECT("T!"&amp;T!$A$1&amp;"28"),IF(Z91=4,INDIRECT("T!"&amp;T!$A$1&amp;"29"),IF(Z91=5,INDIRECT("T!"&amp;T!$A$1&amp;"30"),IF(Z91=6,INDIRECT("T!"&amp;T!$A$1&amp;"31"),IF(Z91=7,INDIRECT("T!"&amp;T!$A$1&amp;"32"),0)))))))</f>
        <v>Nd</v>
      </c>
      <c r="AA93" s="29" t="str">
        <f ca="1">IF(AA91=1,INDIRECT("T!"&amp;T!$A$1&amp;"26"),IF(AA91=2,INDIRECT("T!"&amp;T!$A$1&amp;"27"),IF(AA91=3,INDIRECT("T!"&amp;T!$A$1&amp;"28"),IF(AA91=4,INDIRECT("T!"&amp;T!$A$1&amp;"29"),IF(AA91=5,INDIRECT("T!"&amp;T!$A$1&amp;"30"),IF(AA91=6,INDIRECT("T!"&amp;T!$A$1&amp;"31"),IF(AA91=7,INDIRECT("T!"&amp;T!$A$1&amp;"32"),0)))))))</f>
        <v>Pn</v>
      </c>
      <c r="AB93" s="29" t="str">
        <f ca="1">IF(AB91=1,INDIRECT("T!"&amp;T!$A$1&amp;"26"),IF(AB91=2,INDIRECT("T!"&amp;T!$A$1&amp;"27"),IF(AB91=3,INDIRECT("T!"&amp;T!$A$1&amp;"28"),IF(AB91=4,INDIRECT("T!"&amp;T!$A$1&amp;"29"),IF(AB91=5,INDIRECT("T!"&amp;T!$A$1&amp;"30"),IF(AB91=6,INDIRECT("T!"&amp;T!$A$1&amp;"31"),IF(AB91=7,INDIRECT("T!"&amp;T!$A$1&amp;"32"),0)))))))</f>
        <v>Wt</v>
      </c>
      <c r="AC93" s="29" t="str">
        <f ca="1">IF(AC91=1,INDIRECT("T!"&amp;T!$A$1&amp;"26"),IF(AC91=2,INDIRECT("T!"&amp;T!$A$1&amp;"27"),IF(AC91=3,INDIRECT("T!"&amp;T!$A$1&amp;"28"),IF(AC91=4,INDIRECT("T!"&amp;T!$A$1&amp;"29"),IF(AC91=5,INDIRECT("T!"&amp;T!$A$1&amp;"30"),IF(AC91=6,INDIRECT("T!"&amp;T!$A$1&amp;"31"),IF(AC91=7,INDIRECT("T!"&amp;T!$A$1&amp;"32"),0)))))))</f>
        <v>Śr</v>
      </c>
      <c r="AD93" s="29" t="str">
        <f ca="1">IF(AD91=1,INDIRECT("T!"&amp;T!$A$1&amp;"26"),IF(AD91=2,INDIRECT("T!"&amp;T!$A$1&amp;"27"),IF(AD91=3,INDIRECT("T!"&amp;T!$A$1&amp;"28"),IF(AD91=4,INDIRECT("T!"&amp;T!$A$1&amp;"29"),IF(AD91=5,INDIRECT("T!"&amp;T!$A$1&amp;"30"),IF(AD91=6,INDIRECT("T!"&amp;T!$A$1&amp;"31"),IF(AD91=7,INDIRECT("T!"&amp;T!$A$1&amp;"32"),0)))))))</f>
        <v>Cz</v>
      </c>
      <c r="AE93" s="29" t="str">
        <f ca="1">IF(AE91=1,INDIRECT("T!"&amp;T!$A$1&amp;"26"),IF(AE91=2,INDIRECT("T!"&amp;T!$A$1&amp;"27"),IF(AE91=3,INDIRECT("T!"&amp;T!$A$1&amp;"28"),IF(AE91=4,INDIRECT("T!"&amp;T!$A$1&amp;"29"),IF(AE91=5,INDIRECT("T!"&amp;T!$A$1&amp;"30"),IF(AE91=6,INDIRECT("T!"&amp;T!$A$1&amp;"31"),IF(AE91=7,INDIRECT("T!"&amp;T!$A$1&amp;"32"),0)))))))</f>
        <v>Pt</v>
      </c>
      <c r="AF93" s="29" t="str">
        <f ca="1">IF(AF91=1,INDIRECT("T!"&amp;T!$A$1&amp;"26"),IF(AF91=2,INDIRECT("T!"&amp;T!$A$1&amp;"27"),IF(AF91=3,INDIRECT("T!"&amp;T!$A$1&amp;"28"),IF(AF91=4,INDIRECT("T!"&amp;T!$A$1&amp;"29"),IF(AF91=5,INDIRECT("T!"&amp;T!$A$1&amp;"30"),IF(AF91=6,INDIRECT("T!"&amp;T!$A$1&amp;"31"),IF(AF91=7,INDIRECT("T!"&amp;T!$A$1&amp;"32"),0)))))))</f>
        <v>So</v>
      </c>
      <c r="AG93" s="29" t="str">
        <f ca="1">IF(AG91=1,INDIRECT("T!"&amp;T!$A$1&amp;"26"),IF(AG91=2,INDIRECT("T!"&amp;T!$A$1&amp;"27"),IF(AG91=3,INDIRECT("T!"&amp;T!$A$1&amp;"28"),IF(AG91=4,INDIRECT("T!"&amp;T!$A$1&amp;"29"),IF(AG91=5,INDIRECT("T!"&amp;T!$A$1&amp;"30"),IF(AG91=6,INDIRECT("T!"&amp;T!$A$1&amp;"31"),IF(AG91=7,INDIRECT("T!"&amp;T!$A$1&amp;"32"),0)))))))</f>
        <v>Nd</v>
      </c>
      <c r="AH93" s="29" t="str">
        <f ca="1">IF(AH91=1,INDIRECT("T!"&amp;T!$A$1&amp;"26"),IF(AH91=2,INDIRECT("T!"&amp;T!$A$1&amp;"27"),IF(AH91=3,INDIRECT("T!"&amp;T!$A$1&amp;"28"),IF(AH91=4,INDIRECT("T!"&amp;T!$A$1&amp;"29"),IF(AH91=5,INDIRECT("T!"&amp;T!$A$1&amp;"30"),IF(AH91=6,INDIRECT("T!"&amp;T!$A$1&amp;"31"),IF(AH91=7,INDIRECT("T!"&amp;T!$A$1&amp;"32"),0)))))))</f>
        <v>Pn</v>
      </c>
      <c r="AI93" s="29" t="str">
        <f ca="1">IF(AI91=1,INDIRECT("T!"&amp;T!$A$1&amp;"26"),IF(AI91=2,INDIRECT("T!"&amp;T!$A$1&amp;"27"),IF(AI91=3,INDIRECT("T!"&amp;T!$A$1&amp;"28"),IF(AI91=4,INDIRECT("T!"&amp;T!$A$1&amp;"29"),IF(AI91=5,INDIRECT("T!"&amp;T!$A$1&amp;"30"),IF(AI91=6,INDIRECT("T!"&amp;T!$A$1&amp;"31"),IF(AI91=7,INDIRECT("T!"&amp;T!$A$1&amp;"32"),0)))))))</f>
        <v>Wt</v>
      </c>
      <c r="AJ93" s="29" t="str">
        <f ca="1">IF(AJ91=1,INDIRECT("T!"&amp;T!$A$1&amp;"26"),IF(AJ91=2,INDIRECT("T!"&amp;T!$A$1&amp;"27"),IF(AJ91=3,INDIRECT("T!"&amp;T!$A$1&amp;"28"),IF(AJ91=4,INDIRECT("T!"&amp;T!$A$1&amp;"29"),IF(AJ91=5,INDIRECT("T!"&amp;T!$A$1&amp;"30"),IF(AJ91=6,INDIRECT("T!"&amp;T!$A$1&amp;"31"),IF(AJ91=7,INDIRECT("T!"&amp;T!$A$1&amp;"32"),0)))))))</f>
        <v>Śr</v>
      </c>
      <c r="AK93" s="29" t="str">
        <f ca="1">IF(AK91=1,INDIRECT("T!"&amp;T!$A$1&amp;"26"),IF(AK91=2,INDIRECT("T!"&amp;T!$A$1&amp;"27"),IF(AK91=3,INDIRECT("T!"&amp;T!$A$1&amp;"28"),IF(AK91=4,INDIRECT("T!"&amp;T!$A$1&amp;"29"),IF(AK91=5,INDIRECT("T!"&amp;T!$A$1&amp;"30"),IF(AK91=6,INDIRECT("T!"&amp;T!$A$1&amp;"31"),IF(AK91=7,INDIRECT("T!"&amp;T!$A$1&amp;"32"),0)))))))</f>
        <v>Cz</v>
      </c>
      <c r="AL93" s="29" t="str">
        <f ca="1">IF(AL91=1,INDIRECT("T!"&amp;T!$A$1&amp;"26"),IF(AL91=2,INDIRECT("T!"&amp;T!$A$1&amp;"27"),IF(AL91=3,INDIRECT("T!"&amp;T!$A$1&amp;"28"),IF(AL91=4,INDIRECT("T!"&amp;T!$A$1&amp;"29"),IF(AL91=5,INDIRECT("T!"&amp;T!$A$1&amp;"30"),IF(AL91=6,INDIRECT("T!"&amp;T!$A$1&amp;"31"),IF(AL91=7,INDIRECT("T!"&amp;T!$A$1&amp;"32"),0)))))))</f>
        <v>Pt</v>
      </c>
      <c r="AM93" s="29" t="str">
        <f ca="1">IF(AM91=1,INDIRECT("T!"&amp;T!$A$1&amp;"26"),IF(AM91=2,INDIRECT("T!"&amp;T!$A$1&amp;"27"),IF(AM91=3,INDIRECT("T!"&amp;T!$A$1&amp;"28"),IF(AM91=4,INDIRECT("T!"&amp;T!$A$1&amp;"29"),IF(AM91=5,INDIRECT("T!"&amp;T!$A$1&amp;"30"),IF(AM91=6,INDIRECT("T!"&amp;T!$A$1&amp;"31"),IF(AM91=7,INDIRECT("T!"&amp;T!$A$1&amp;"32"),0)))))))</f>
        <v>So</v>
      </c>
      <c r="AN93" s="29" t="str">
        <f ca="1">IF(AN91=1,INDIRECT("T!"&amp;T!$A$1&amp;"26"),IF(AN91=2,INDIRECT("T!"&amp;T!$A$1&amp;"27"),IF(AN91=3,INDIRECT("T!"&amp;T!$A$1&amp;"28"),IF(AN91=4,INDIRECT("T!"&amp;T!$A$1&amp;"29"),IF(AN91=5,INDIRECT("T!"&amp;T!$A$1&amp;"30"),IF(AN91=6,INDIRECT("T!"&amp;T!$A$1&amp;"31"),IF(AN91=7,INDIRECT("T!"&amp;T!$A$1&amp;"32"),0)))))))</f>
        <v>Nd</v>
      </c>
      <c r="AO93" s="29" t="str">
        <f ca="1">IF(AO91=1,INDIRECT("T!"&amp;T!$A$1&amp;"26"),IF(AO91=2,INDIRECT("T!"&amp;T!$A$1&amp;"27"),IF(AO91=3,INDIRECT("T!"&amp;T!$A$1&amp;"28"),IF(AO91=4,INDIRECT("T!"&amp;T!$A$1&amp;"29"),IF(AO91=5,INDIRECT("T!"&amp;T!$A$1&amp;"30"),IF(AO91=6,INDIRECT("T!"&amp;T!$A$1&amp;"31"),IF(AO91=7,INDIRECT("T!"&amp;T!$A$1&amp;"32"),0)))))))</f>
        <v>Pn</v>
      </c>
      <c r="AP93" s="29" t="str">
        <f ca="1">IF(AP91=1,INDIRECT("T!"&amp;T!$A$1&amp;"26"),IF(AP91=2,INDIRECT("T!"&amp;T!$A$1&amp;"27"),IF(AP91=3,INDIRECT("T!"&amp;T!$A$1&amp;"28"),IF(AP91=4,INDIRECT("T!"&amp;T!$A$1&amp;"29"),IF(AP91=5,INDIRECT("T!"&amp;T!$A$1&amp;"30"),IF(AP91=6,INDIRECT("T!"&amp;T!$A$1&amp;"31"),IF(AP91=7,INDIRECT("T!"&amp;T!$A$1&amp;"32"),0)))))))</f>
        <v>Wt</v>
      </c>
      <c r="AQ93" s="29" t="str">
        <f ca="1">IF(AQ91=1,INDIRECT("T!"&amp;T!$A$1&amp;"26"),IF(AQ91=2,INDIRECT("T!"&amp;T!$A$1&amp;"27"),IF(AQ91=3,INDIRECT("T!"&amp;T!$A$1&amp;"28"),IF(AQ91=4,INDIRECT("T!"&amp;T!$A$1&amp;"29"),IF(AQ91=5,INDIRECT("T!"&amp;T!$A$1&amp;"30"),IF(AQ91=6,INDIRECT("T!"&amp;T!$A$1&amp;"31"),IF(AQ91=7,INDIRECT("T!"&amp;T!$A$1&amp;"32"),0)))))))</f>
        <v>Śr</v>
      </c>
    </row>
    <row r="94" spans="3:69" ht="20.100000000000001" customHeight="1">
      <c r="C94" s="523" t="s">
        <v>7</v>
      </c>
      <c r="D94" s="524"/>
      <c r="E94" s="535" t="s">
        <v>8</v>
      </c>
      <c r="F94" s="536"/>
      <c r="G94" s="536"/>
      <c r="H94" s="536"/>
      <c r="I94" s="536"/>
      <c r="J94" s="537" t="s">
        <v>9</v>
      </c>
      <c r="K94" s="537"/>
      <c r="L94" s="538"/>
      <c r="M94" s="84" t="s">
        <v>11</v>
      </c>
      <c r="N94" s="257" t="s">
        <v>11</v>
      </c>
      <c r="O94" s="257" t="s">
        <v>11</v>
      </c>
      <c r="P94" s="85" t="s">
        <v>10</v>
      </c>
      <c r="Q94" s="257" t="s">
        <v>11</v>
      </c>
      <c r="R94" s="85" t="s">
        <v>10</v>
      </c>
      <c r="S94" s="85" t="s">
        <v>10</v>
      </c>
      <c r="T94" s="257" t="s">
        <v>11</v>
      </c>
      <c r="U94" s="257" t="s">
        <v>11</v>
      </c>
      <c r="V94" s="257" t="s">
        <v>17</v>
      </c>
      <c r="W94" s="257" t="s">
        <v>17</v>
      </c>
      <c r="X94" s="257" t="s">
        <v>17</v>
      </c>
      <c r="Y94" s="85" t="s">
        <v>10</v>
      </c>
      <c r="Z94" s="85" t="s">
        <v>10</v>
      </c>
      <c r="AA94" s="257" t="s">
        <v>17</v>
      </c>
      <c r="AB94" s="257" t="s">
        <v>11</v>
      </c>
      <c r="AC94" s="257" t="s">
        <v>10</v>
      </c>
      <c r="AD94" s="257" t="s">
        <v>14</v>
      </c>
      <c r="AE94" s="257" t="s">
        <v>10</v>
      </c>
      <c r="AF94" s="85" t="s">
        <v>14</v>
      </c>
      <c r="AG94" s="85" t="s">
        <v>10</v>
      </c>
      <c r="AH94" s="257" t="s">
        <v>11</v>
      </c>
      <c r="AI94" s="85" t="s">
        <v>11</v>
      </c>
      <c r="AJ94" s="257" t="s">
        <v>11</v>
      </c>
      <c r="AK94" s="257" t="s">
        <v>11</v>
      </c>
      <c r="AL94" s="257" t="s">
        <v>11</v>
      </c>
      <c r="AM94" s="85" t="s">
        <v>10</v>
      </c>
      <c r="AN94" s="85" t="s">
        <v>10</v>
      </c>
      <c r="AO94" s="257" t="s">
        <v>11</v>
      </c>
      <c r="AP94" s="257" t="s">
        <v>11</v>
      </c>
      <c r="AQ94" s="183"/>
      <c r="AS94" s="43">
        <f t="shared" si="25"/>
        <v>0</v>
      </c>
      <c r="AT94" s="43">
        <f t="shared" si="25"/>
        <v>2</v>
      </c>
      <c r="AU94" s="43">
        <f t="shared" si="25"/>
        <v>0</v>
      </c>
      <c r="AV94" s="43">
        <f t="shared" si="25"/>
        <v>0</v>
      </c>
      <c r="AW94" s="43">
        <f t="shared" si="25"/>
        <v>0</v>
      </c>
      <c r="AX94" s="43">
        <f t="shared" si="25"/>
        <v>0</v>
      </c>
      <c r="AY94" s="43">
        <f t="shared" si="25"/>
        <v>0</v>
      </c>
      <c r="AZ94" s="43">
        <f t="shared" si="25"/>
        <v>0</v>
      </c>
      <c r="BA94" s="43">
        <f t="shared" si="25"/>
        <v>0</v>
      </c>
      <c r="BB94" s="43">
        <f t="shared" si="25"/>
        <v>0</v>
      </c>
      <c r="BC94" s="43">
        <f t="shared" si="25"/>
        <v>0</v>
      </c>
      <c r="BD94" s="43">
        <f t="shared" si="25"/>
        <v>0</v>
      </c>
      <c r="BE94" s="43">
        <f t="shared" si="25"/>
        <v>0</v>
      </c>
      <c r="BF94" s="43">
        <f t="shared" si="25"/>
        <v>0</v>
      </c>
      <c r="BG94" s="43">
        <f t="shared" si="25"/>
        <v>0</v>
      </c>
      <c r="BH94" s="43">
        <f t="shared" si="25"/>
        <v>0</v>
      </c>
      <c r="BI94" s="43">
        <f t="shared" si="24"/>
        <v>0</v>
      </c>
      <c r="BJ94" s="43">
        <f t="shared" si="24"/>
        <v>4</v>
      </c>
      <c r="BK94" s="43">
        <f t="shared" si="24"/>
        <v>0</v>
      </c>
      <c r="BL94" s="43">
        <f t="shared" si="24"/>
        <v>0</v>
      </c>
      <c r="BM94" s="43">
        <f t="shared" si="24"/>
        <v>0</v>
      </c>
      <c r="BN94" s="43">
        <f t="shared" si="24"/>
        <v>10</v>
      </c>
      <c r="BO94" s="43">
        <f t="shared" si="24"/>
        <v>4</v>
      </c>
      <c r="BP94" s="43">
        <f t="shared" si="24"/>
        <v>0</v>
      </c>
      <c r="BQ94" s="43">
        <f t="shared" si="24"/>
        <v>0</v>
      </c>
    </row>
    <row r="95" spans="3:69" ht="20.100000000000001" customHeight="1">
      <c r="C95" s="523" t="s">
        <v>7</v>
      </c>
      <c r="D95" s="524"/>
      <c r="E95" s="525" t="s">
        <v>21</v>
      </c>
      <c r="F95" s="526"/>
      <c r="G95" s="526"/>
      <c r="H95" s="526"/>
      <c r="I95" s="526"/>
      <c r="J95" s="527" t="s">
        <v>22</v>
      </c>
      <c r="K95" s="527"/>
      <c r="L95" s="528"/>
      <c r="M95" s="86" t="s">
        <v>14</v>
      </c>
      <c r="N95" s="255" t="s">
        <v>24</v>
      </c>
      <c r="O95" s="255" t="s">
        <v>14</v>
      </c>
      <c r="P95" s="87" t="s">
        <v>10</v>
      </c>
      <c r="Q95" s="255" t="s">
        <v>16</v>
      </c>
      <c r="R95" s="87" t="s">
        <v>10</v>
      </c>
      <c r="S95" s="87" t="s">
        <v>10</v>
      </c>
      <c r="T95" s="255" t="s">
        <v>10</v>
      </c>
      <c r="U95" s="255" t="s">
        <v>14</v>
      </c>
      <c r="V95" s="255" t="s">
        <v>13</v>
      </c>
      <c r="W95" s="255" t="s">
        <v>20</v>
      </c>
      <c r="X95" s="255" t="s">
        <v>16</v>
      </c>
      <c r="Y95" s="87" t="s">
        <v>10</v>
      </c>
      <c r="Z95" s="87" t="s">
        <v>14</v>
      </c>
      <c r="AA95" s="255" t="s">
        <v>10</v>
      </c>
      <c r="AB95" s="255" t="s">
        <v>16</v>
      </c>
      <c r="AC95" s="255" t="s">
        <v>11</v>
      </c>
      <c r="AD95" s="255" t="s">
        <v>24</v>
      </c>
      <c r="AE95" s="255" t="s">
        <v>10</v>
      </c>
      <c r="AF95" s="87" t="s">
        <v>24</v>
      </c>
      <c r="AG95" s="87" t="s">
        <v>24</v>
      </c>
      <c r="AH95" s="255" t="s">
        <v>10</v>
      </c>
      <c r="AI95" s="87" t="s">
        <v>16</v>
      </c>
      <c r="AJ95" s="255" t="s">
        <v>16</v>
      </c>
      <c r="AK95" s="255" t="s">
        <v>16</v>
      </c>
      <c r="AL95" s="255" t="s">
        <v>14</v>
      </c>
      <c r="AM95" s="87" t="s">
        <v>10</v>
      </c>
      <c r="AN95" s="87" t="s">
        <v>10</v>
      </c>
      <c r="AO95" s="255" t="s">
        <v>17</v>
      </c>
      <c r="AP95" s="255" t="s">
        <v>20</v>
      </c>
      <c r="AQ95" s="184"/>
      <c r="AS95" s="43">
        <f t="shared" si="25"/>
        <v>6</v>
      </c>
      <c r="AT95" s="43">
        <f t="shared" si="25"/>
        <v>5</v>
      </c>
      <c r="AU95" s="43">
        <f t="shared" si="25"/>
        <v>0</v>
      </c>
      <c r="AV95" s="43">
        <f t="shared" si="25"/>
        <v>0</v>
      </c>
      <c r="AW95" s="43">
        <f t="shared" si="25"/>
        <v>2</v>
      </c>
      <c r="AX95" s="43">
        <f t="shared" si="25"/>
        <v>4</v>
      </c>
      <c r="AY95" s="43">
        <f t="shared" si="25"/>
        <v>0</v>
      </c>
      <c r="AZ95" s="43">
        <f t="shared" si="25"/>
        <v>1</v>
      </c>
      <c r="BA95" s="43">
        <f t="shared" si="25"/>
        <v>0</v>
      </c>
      <c r="BB95" s="43">
        <f t="shared" si="25"/>
        <v>0</v>
      </c>
      <c r="BC95" s="43">
        <f t="shared" si="25"/>
        <v>0</v>
      </c>
      <c r="BD95" s="43">
        <f t="shared" si="25"/>
        <v>0</v>
      </c>
      <c r="BE95" s="43">
        <f t="shared" si="25"/>
        <v>0</v>
      </c>
      <c r="BF95" s="43">
        <f t="shared" si="25"/>
        <v>0</v>
      </c>
      <c r="BG95" s="43">
        <f t="shared" si="25"/>
        <v>0</v>
      </c>
      <c r="BH95" s="43">
        <f t="shared" si="25"/>
        <v>0</v>
      </c>
      <c r="BI95" s="43">
        <f t="shared" si="24"/>
        <v>0</v>
      </c>
      <c r="BJ95" s="43">
        <f t="shared" si="24"/>
        <v>1</v>
      </c>
      <c r="BK95" s="43">
        <f t="shared" si="24"/>
        <v>0</v>
      </c>
      <c r="BL95" s="43">
        <f t="shared" si="24"/>
        <v>0</v>
      </c>
      <c r="BM95" s="43">
        <f t="shared" si="24"/>
        <v>0</v>
      </c>
      <c r="BN95" s="43">
        <f t="shared" si="24"/>
        <v>10</v>
      </c>
      <c r="BO95" s="43">
        <f t="shared" si="24"/>
        <v>1</v>
      </c>
      <c r="BP95" s="43">
        <f t="shared" si="24"/>
        <v>0</v>
      </c>
      <c r="BQ95" s="43">
        <f t="shared" si="24"/>
        <v>0</v>
      </c>
    </row>
    <row r="96" spans="3:69" ht="20.100000000000001" customHeight="1">
      <c r="C96" s="523">
        <v>0.75</v>
      </c>
      <c r="D96" s="524"/>
      <c r="E96" s="525" t="s">
        <v>25</v>
      </c>
      <c r="F96" s="526"/>
      <c r="G96" s="526"/>
      <c r="H96" s="526"/>
      <c r="I96" s="526"/>
      <c r="J96" s="527" t="s">
        <v>22</v>
      </c>
      <c r="K96" s="527"/>
      <c r="L96" s="528"/>
      <c r="M96" s="86" t="s">
        <v>10</v>
      </c>
      <c r="N96" s="255" t="s">
        <v>10</v>
      </c>
      <c r="O96" s="255" t="s">
        <v>15</v>
      </c>
      <c r="P96" s="87" t="s">
        <v>10</v>
      </c>
      <c r="Q96" s="255" t="s">
        <v>20</v>
      </c>
      <c r="R96" s="87" t="s">
        <v>12</v>
      </c>
      <c r="S96" s="87" t="s">
        <v>26</v>
      </c>
      <c r="T96" s="255" t="s">
        <v>14</v>
      </c>
      <c r="U96" s="255" t="s">
        <v>10</v>
      </c>
      <c r="V96" s="255" t="s">
        <v>10</v>
      </c>
      <c r="W96" s="255" t="s">
        <v>10</v>
      </c>
      <c r="X96" s="255" t="s">
        <v>24</v>
      </c>
      <c r="Y96" s="87" t="s">
        <v>10</v>
      </c>
      <c r="Z96" s="87" t="s">
        <v>10</v>
      </c>
      <c r="AA96" s="255" t="s">
        <v>17</v>
      </c>
      <c r="AB96" s="255" t="s">
        <v>17</v>
      </c>
      <c r="AC96" s="255" t="s">
        <v>17</v>
      </c>
      <c r="AD96" s="255" t="s">
        <v>17</v>
      </c>
      <c r="AE96" s="255" t="s">
        <v>10</v>
      </c>
      <c r="AF96" s="87" t="s">
        <v>10</v>
      </c>
      <c r="AG96" s="87" t="s">
        <v>14</v>
      </c>
      <c r="AH96" s="255" t="s">
        <v>24</v>
      </c>
      <c r="AI96" s="87" t="s">
        <v>10</v>
      </c>
      <c r="AJ96" s="255" t="s">
        <v>14</v>
      </c>
      <c r="AK96" s="255" t="s">
        <v>14</v>
      </c>
      <c r="AL96" s="255" t="s">
        <v>10</v>
      </c>
      <c r="AM96" s="87" t="s">
        <v>16</v>
      </c>
      <c r="AN96" s="87" t="s">
        <v>16</v>
      </c>
      <c r="AO96" s="255" t="s">
        <v>20</v>
      </c>
      <c r="AP96" s="255" t="s">
        <v>11</v>
      </c>
      <c r="AQ96" s="184"/>
      <c r="AS96" s="43">
        <f t="shared" si="25"/>
        <v>2</v>
      </c>
      <c r="AT96" s="43">
        <f t="shared" si="25"/>
        <v>4</v>
      </c>
      <c r="AU96" s="43">
        <f t="shared" si="25"/>
        <v>0</v>
      </c>
      <c r="AV96" s="43">
        <f t="shared" si="25"/>
        <v>1</v>
      </c>
      <c r="AW96" s="43">
        <f t="shared" si="25"/>
        <v>2</v>
      </c>
      <c r="AX96" s="43">
        <f t="shared" si="25"/>
        <v>2</v>
      </c>
      <c r="AY96" s="43">
        <f t="shared" si="25"/>
        <v>0</v>
      </c>
      <c r="AZ96" s="43">
        <f t="shared" si="25"/>
        <v>0</v>
      </c>
      <c r="BA96" s="43">
        <f t="shared" si="25"/>
        <v>1</v>
      </c>
      <c r="BB96" s="43">
        <f t="shared" si="25"/>
        <v>0</v>
      </c>
      <c r="BC96" s="43">
        <f t="shared" si="25"/>
        <v>0</v>
      </c>
      <c r="BD96" s="43">
        <f t="shared" si="25"/>
        <v>0</v>
      </c>
      <c r="BE96" s="43">
        <f t="shared" si="25"/>
        <v>0</v>
      </c>
      <c r="BF96" s="43">
        <f t="shared" si="25"/>
        <v>0</v>
      </c>
      <c r="BG96" s="43">
        <f t="shared" si="25"/>
        <v>0</v>
      </c>
      <c r="BH96" s="43">
        <f t="shared" si="25"/>
        <v>0</v>
      </c>
      <c r="BI96" s="43">
        <f t="shared" si="24"/>
        <v>0</v>
      </c>
      <c r="BJ96" s="43">
        <f t="shared" si="24"/>
        <v>4</v>
      </c>
      <c r="BK96" s="43">
        <f t="shared" si="24"/>
        <v>0</v>
      </c>
      <c r="BL96" s="43">
        <f t="shared" si="24"/>
        <v>0</v>
      </c>
      <c r="BM96" s="43">
        <f t="shared" si="24"/>
        <v>0</v>
      </c>
      <c r="BN96" s="43">
        <f t="shared" si="24"/>
        <v>12</v>
      </c>
      <c r="BO96" s="43">
        <f t="shared" si="24"/>
        <v>4</v>
      </c>
      <c r="BP96" s="43">
        <f t="shared" si="24"/>
        <v>0</v>
      </c>
      <c r="BQ96" s="43">
        <f t="shared" si="24"/>
        <v>0</v>
      </c>
    </row>
    <row r="97" spans="3:69" ht="20.100000000000001" customHeight="1">
      <c r="C97" s="523">
        <v>0.25</v>
      </c>
      <c r="D97" s="524"/>
      <c r="E97" s="525" t="s">
        <v>28</v>
      </c>
      <c r="F97" s="526"/>
      <c r="G97" s="526"/>
      <c r="H97" s="526"/>
      <c r="I97" s="526"/>
      <c r="J97" s="527" t="s">
        <v>22</v>
      </c>
      <c r="K97" s="527"/>
      <c r="L97" s="528"/>
      <c r="M97" s="86" t="s">
        <v>10</v>
      </c>
      <c r="N97" s="255" t="s">
        <v>10</v>
      </c>
      <c r="O97" s="255" t="s">
        <v>10</v>
      </c>
      <c r="P97" s="87" t="s">
        <v>10</v>
      </c>
      <c r="Q97" s="255" t="s">
        <v>10</v>
      </c>
      <c r="R97" s="87" t="s">
        <v>10</v>
      </c>
      <c r="S97" s="87" t="s">
        <v>10</v>
      </c>
      <c r="T97" s="255" t="s">
        <v>10</v>
      </c>
      <c r="U97" s="255" t="s">
        <v>10</v>
      </c>
      <c r="V97" s="255" t="s">
        <v>10</v>
      </c>
      <c r="W97" s="255" t="s">
        <v>10</v>
      </c>
      <c r="X97" s="255" t="s">
        <v>15</v>
      </c>
      <c r="Y97" s="87" t="s">
        <v>16</v>
      </c>
      <c r="Z97" s="87" t="s">
        <v>16</v>
      </c>
      <c r="AA97" s="255" t="s">
        <v>10</v>
      </c>
      <c r="AB97" s="255" t="s">
        <v>15</v>
      </c>
      <c r="AC97" s="255" t="s">
        <v>10</v>
      </c>
      <c r="AD97" s="255" t="s">
        <v>10</v>
      </c>
      <c r="AE97" s="255" t="s">
        <v>10</v>
      </c>
      <c r="AF97" s="87" t="s">
        <v>10</v>
      </c>
      <c r="AG97" s="87" t="s">
        <v>10</v>
      </c>
      <c r="AH97" s="255" t="s">
        <v>10</v>
      </c>
      <c r="AI97" s="87" t="s">
        <v>10</v>
      </c>
      <c r="AJ97" s="255" t="s">
        <v>10</v>
      </c>
      <c r="AK97" s="255" t="s">
        <v>10</v>
      </c>
      <c r="AL97" s="255" t="s">
        <v>10</v>
      </c>
      <c r="AM97" s="87" t="s">
        <v>14</v>
      </c>
      <c r="AN97" s="87" t="s">
        <v>10</v>
      </c>
      <c r="AO97" s="255" t="s">
        <v>10</v>
      </c>
      <c r="AP97" s="255" t="s">
        <v>10</v>
      </c>
      <c r="AQ97" s="184"/>
      <c r="AS97" s="43">
        <f t="shared" si="25"/>
        <v>2</v>
      </c>
      <c r="AT97" s="43">
        <f t="shared" si="25"/>
        <v>1</v>
      </c>
      <c r="AU97" s="43">
        <f t="shared" si="25"/>
        <v>0</v>
      </c>
      <c r="AV97" s="43">
        <f t="shared" si="25"/>
        <v>0</v>
      </c>
      <c r="AW97" s="43">
        <f t="shared" si="25"/>
        <v>0</v>
      </c>
      <c r="AX97" s="43">
        <f t="shared" si="25"/>
        <v>0</v>
      </c>
      <c r="AY97" s="43">
        <f t="shared" si="25"/>
        <v>0</v>
      </c>
      <c r="AZ97" s="43">
        <f t="shared" si="25"/>
        <v>0</v>
      </c>
      <c r="BA97" s="43">
        <f t="shared" si="25"/>
        <v>0</v>
      </c>
      <c r="BB97" s="43">
        <f t="shared" si="25"/>
        <v>0</v>
      </c>
      <c r="BC97" s="43">
        <f t="shared" si="25"/>
        <v>0</v>
      </c>
      <c r="BD97" s="43">
        <f t="shared" si="25"/>
        <v>0</v>
      </c>
      <c r="BE97" s="43">
        <f t="shared" si="25"/>
        <v>0</v>
      </c>
      <c r="BF97" s="43">
        <f t="shared" si="25"/>
        <v>0</v>
      </c>
      <c r="BG97" s="43">
        <f t="shared" si="25"/>
        <v>0</v>
      </c>
      <c r="BH97" s="43">
        <f t="shared" si="25"/>
        <v>0</v>
      </c>
      <c r="BI97" s="43">
        <f t="shared" si="24"/>
        <v>0</v>
      </c>
      <c r="BJ97" s="43">
        <f t="shared" si="24"/>
        <v>0</v>
      </c>
      <c r="BK97" s="43">
        <f t="shared" si="24"/>
        <v>0</v>
      </c>
      <c r="BL97" s="43">
        <f t="shared" si="24"/>
        <v>0</v>
      </c>
      <c r="BM97" s="43">
        <f t="shared" si="24"/>
        <v>0</v>
      </c>
      <c r="BN97" s="43">
        <f t="shared" si="24"/>
        <v>25</v>
      </c>
      <c r="BO97" s="43">
        <f t="shared" si="24"/>
        <v>0</v>
      </c>
      <c r="BP97" s="43">
        <f t="shared" si="24"/>
        <v>0</v>
      </c>
      <c r="BQ97" s="43">
        <f t="shared" si="24"/>
        <v>0</v>
      </c>
    </row>
    <row r="98" spans="3:69" ht="20.100000000000001" customHeight="1">
      <c r="C98" s="523">
        <v>0.5</v>
      </c>
      <c r="D98" s="524"/>
      <c r="E98" s="525" t="s">
        <v>30</v>
      </c>
      <c r="F98" s="526"/>
      <c r="G98" s="526"/>
      <c r="H98" s="526"/>
      <c r="I98" s="526"/>
      <c r="J98" s="527" t="s">
        <v>22</v>
      </c>
      <c r="K98" s="527"/>
      <c r="L98" s="528"/>
      <c r="M98" s="86" t="s">
        <v>16</v>
      </c>
      <c r="N98" s="255" t="s">
        <v>16</v>
      </c>
      <c r="O98" s="255" t="s">
        <v>24</v>
      </c>
      <c r="P98" s="87" t="s">
        <v>14</v>
      </c>
      <c r="Q98" s="255" t="s">
        <v>17</v>
      </c>
      <c r="R98" s="87" t="s">
        <v>10</v>
      </c>
      <c r="S98" s="87" t="s">
        <v>10</v>
      </c>
      <c r="T98" s="255" t="s">
        <v>17</v>
      </c>
      <c r="U98" s="255" t="s">
        <v>17</v>
      </c>
      <c r="V98" s="255" t="s">
        <v>17</v>
      </c>
      <c r="W98" s="255" t="s">
        <v>17</v>
      </c>
      <c r="X98" s="255" t="s">
        <v>17</v>
      </c>
      <c r="Y98" s="87" t="s">
        <v>10</v>
      </c>
      <c r="Z98" s="87" t="s">
        <v>10</v>
      </c>
      <c r="AA98" s="255" t="s">
        <v>17</v>
      </c>
      <c r="AB98" s="255" t="s">
        <v>20</v>
      </c>
      <c r="AC98" s="255" t="s">
        <v>16</v>
      </c>
      <c r="AD98" s="255" t="s">
        <v>20</v>
      </c>
      <c r="AE98" s="255" t="s">
        <v>10</v>
      </c>
      <c r="AF98" s="87" t="s">
        <v>10</v>
      </c>
      <c r="AG98" s="87" t="s">
        <v>10</v>
      </c>
      <c r="AH98" s="255" t="s">
        <v>10</v>
      </c>
      <c r="AI98" s="87" t="s">
        <v>10</v>
      </c>
      <c r="AJ98" s="255" t="s">
        <v>10</v>
      </c>
      <c r="AK98" s="255" t="s">
        <v>10</v>
      </c>
      <c r="AL98" s="255" t="s">
        <v>10</v>
      </c>
      <c r="AM98" s="87" t="s">
        <v>10</v>
      </c>
      <c r="AN98" s="87" t="s">
        <v>10</v>
      </c>
      <c r="AO98" s="255" t="s">
        <v>10</v>
      </c>
      <c r="AP98" s="255" t="s">
        <v>10</v>
      </c>
      <c r="AQ98" s="184"/>
      <c r="AS98" s="43">
        <f t="shared" si="25"/>
        <v>3</v>
      </c>
      <c r="AT98" s="43">
        <f t="shared" si="25"/>
        <v>1</v>
      </c>
      <c r="AU98" s="43">
        <f t="shared" si="25"/>
        <v>0</v>
      </c>
      <c r="AV98" s="43">
        <f t="shared" si="25"/>
        <v>0</v>
      </c>
      <c r="AW98" s="43">
        <f t="shared" si="25"/>
        <v>2</v>
      </c>
      <c r="AX98" s="43">
        <f t="shared" si="25"/>
        <v>1</v>
      </c>
      <c r="AY98" s="43">
        <f t="shared" si="25"/>
        <v>0</v>
      </c>
      <c r="AZ98" s="43">
        <f t="shared" si="25"/>
        <v>0</v>
      </c>
      <c r="BA98" s="43">
        <f t="shared" si="25"/>
        <v>0</v>
      </c>
      <c r="BB98" s="43">
        <f t="shared" si="25"/>
        <v>0</v>
      </c>
      <c r="BC98" s="43">
        <f t="shared" si="25"/>
        <v>0</v>
      </c>
      <c r="BD98" s="43">
        <f t="shared" si="25"/>
        <v>0</v>
      </c>
      <c r="BE98" s="43">
        <f t="shared" si="25"/>
        <v>0</v>
      </c>
      <c r="BF98" s="43">
        <f t="shared" si="25"/>
        <v>0</v>
      </c>
      <c r="BG98" s="43">
        <f t="shared" si="25"/>
        <v>0</v>
      </c>
      <c r="BH98" s="43">
        <f t="shared" si="25"/>
        <v>0</v>
      </c>
      <c r="BI98" s="43">
        <f t="shared" si="24"/>
        <v>0</v>
      </c>
      <c r="BJ98" s="43">
        <f t="shared" si="24"/>
        <v>7</v>
      </c>
      <c r="BK98" s="43">
        <f t="shared" si="24"/>
        <v>0</v>
      </c>
      <c r="BL98" s="43">
        <f t="shared" si="24"/>
        <v>0</v>
      </c>
      <c r="BM98" s="43">
        <f t="shared" si="24"/>
        <v>0</v>
      </c>
      <c r="BN98" s="43">
        <f t="shared" si="24"/>
        <v>16</v>
      </c>
      <c r="BO98" s="43">
        <f t="shared" si="24"/>
        <v>7</v>
      </c>
      <c r="BP98" s="43">
        <f t="shared" si="24"/>
        <v>0</v>
      </c>
      <c r="BQ98" s="43">
        <f t="shared" si="24"/>
        <v>0</v>
      </c>
    </row>
    <row r="99" spans="3:69" ht="20.100000000000001" customHeight="1">
      <c r="C99" s="523">
        <v>0.5</v>
      </c>
      <c r="D99" s="524"/>
      <c r="E99" s="525" t="s">
        <v>31</v>
      </c>
      <c r="F99" s="526"/>
      <c r="G99" s="526"/>
      <c r="H99" s="526"/>
      <c r="I99" s="526"/>
      <c r="J99" s="527" t="s">
        <v>22</v>
      </c>
      <c r="K99" s="527"/>
      <c r="L99" s="528"/>
      <c r="M99" s="86" t="s">
        <v>10</v>
      </c>
      <c r="N99" s="255" t="s">
        <v>10</v>
      </c>
      <c r="O99" s="255" t="s">
        <v>10</v>
      </c>
      <c r="P99" s="87" t="s">
        <v>10</v>
      </c>
      <c r="Q99" s="255" t="s">
        <v>10</v>
      </c>
      <c r="R99" s="87" t="s">
        <v>14</v>
      </c>
      <c r="S99" s="87" t="s">
        <v>24</v>
      </c>
      <c r="T99" s="255" t="s">
        <v>10</v>
      </c>
      <c r="U99" s="255" t="s">
        <v>20</v>
      </c>
      <c r="V99" s="255" t="s">
        <v>10</v>
      </c>
      <c r="W99" s="255" t="s">
        <v>10</v>
      </c>
      <c r="X99" s="255" t="s">
        <v>10</v>
      </c>
      <c r="Y99" s="87" t="s">
        <v>10</v>
      </c>
      <c r="Z99" s="87" t="s">
        <v>10</v>
      </c>
      <c r="AA99" s="255" t="s">
        <v>10</v>
      </c>
      <c r="AB99" s="255" t="s">
        <v>10</v>
      </c>
      <c r="AC99" s="255" t="s">
        <v>10</v>
      </c>
      <c r="AD99" s="255" t="s">
        <v>10</v>
      </c>
      <c r="AE99" s="255" t="s">
        <v>24</v>
      </c>
      <c r="AF99" s="87" t="s">
        <v>10</v>
      </c>
      <c r="AG99" s="87" t="s">
        <v>10</v>
      </c>
      <c r="AH99" s="255" t="s">
        <v>10</v>
      </c>
      <c r="AI99" s="87" t="s">
        <v>24</v>
      </c>
      <c r="AJ99" s="255" t="s">
        <v>10</v>
      </c>
      <c r="AK99" s="255" t="s">
        <v>20</v>
      </c>
      <c r="AL99" s="255" t="s">
        <v>16</v>
      </c>
      <c r="AM99" s="87" t="s">
        <v>10</v>
      </c>
      <c r="AN99" s="87" t="s">
        <v>14</v>
      </c>
      <c r="AO99" s="255" t="s">
        <v>14</v>
      </c>
      <c r="AP99" s="255" t="s">
        <v>14</v>
      </c>
      <c r="AQ99" s="184"/>
      <c r="AS99" s="43">
        <f t="shared" si="25"/>
        <v>1</v>
      </c>
      <c r="AT99" s="43">
        <f t="shared" si="25"/>
        <v>4</v>
      </c>
      <c r="AU99" s="43">
        <f t="shared" si="25"/>
        <v>0</v>
      </c>
      <c r="AV99" s="43">
        <f t="shared" si="25"/>
        <v>0</v>
      </c>
      <c r="AW99" s="43">
        <f t="shared" si="25"/>
        <v>2</v>
      </c>
      <c r="AX99" s="43">
        <f t="shared" si="25"/>
        <v>3</v>
      </c>
      <c r="AY99" s="43">
        <f t="shared" si="25"/>
        <v>0</v>
      </c>
      <c r="AZ99" s="43">
        <f t="shared" si="25"/>
        <v>0</v>
      </c>
      <c r="BA99" s="43">
        <f t="shared" si="25"/>
        <v>0</v>
      </c>
      <c r="BB99" s="43">
        <f t="shared" si="25"/>
        <v>0</v>
      </c>
      <c r="BC99" s="43">
        <f t="shared" si="25"/>
        <v>0</v>
      </c>
      <c r="BD99" s="43">
        <f t="shared" si="25"/>
        <v>0</v>
      </c>
      <c r="BE99" s="43">
        <f t="shared" si="25"/>
        <v>0</v>
      </c>
      <c r="BF99" s="43">
        <f t="shared" si="25"/>
        <v>0</v>
      </c>
      <c r="BG99" s="43">
        <f t="shared" si="25"/>
        <v>0</v>
      </c>
      <c r="BH99" s="43">
        <f t="shared" ref="BH99:BQ114" si="28">COUNTIFS($M99:$AQ99,BH$2)</f>
        <v>0</v>
      </c>
      <c r="BI99" s="43">
        <f t="shared" si="28"/>
        <v>0</v>
      </c>
      <c r="BJ99" s="43">
        <f t="shared" si="28"/>
        <v>0</v>
      </c>
      <c r="BK99" s="43">
        <f t="shared" si="28"/>
        <v>0</v>
      </c>
      <c r="BL99" s="43">
        <f t="shared" si="28"/>
        <v>0</v>
      </c>
      <c r="BM99" s="43">
        <f t="shared" si="28"/>
        <v>0</v>
      </c>
      <c r="BN99" s="43">
        <f t="shared" si="28"/>
        <v>20</v>
      </c>
      <c r="BO99" s="43">
        <f t="shared" si="28"/>
        <v>0</v>
      </c>
      <c r="BP99" s="43">
        <f t="shared" si="28"/>
        <v>0</v>
      </c>
      <c r="BQ99" s="43">
        <f t="shared" si="28"/>
        <v>0</v>
      </c>
    </row>
    <row r="100" spans="3:69" ht="20.100000000000001" customHeight="1">
      <c r="C100" s="523" t="s">
        <v>7</v>
      </c>
      <c r="D100" s="524"/>
      <c r="E100" s="525" t="s">
        <v>110</v>
      </c>
      <c r="F100" s="526"/>
      <c r="G100" s="526"/>
      <c r="H100" s="526"/>
      <c r="I100" s="526"/>
      <c r="J100" s="527" t="s">
        <v>104</v>
      </c>
      <c r="K100" s="527"/>
      <c r="L100" s="528"/>
      <c r="M100" s="86" t="s">
        <v>11</v>
      </c>
      <c r="N100" s="255" t="s">
        <v>14</v>
      </c>
      <c r="O100" s="255" t="s">
        <v>11</v>
      </c>
      <c r="P100" s="87" t="s">
        <v>10</v>
      </c>
      <c r="Q100" s="255" t="s">
        <v>10</v>
      </c>
      <c r="R100" s="87" t="s">
        <v>16</v>
      </c>
      <c r="S100" s="87" t="s">
        <v>16</v>
      </c>
      <c r="T100" s="255" t="s">
        <v>10</v>
      </c>
      <c r="U100" s="255" t="s">
        <v>112</v>
      </c>
      <c r="V100" s="255" t="s">
        <v>14</v>
      </c>
      <c r="W100" s="255" t="s">
        <v>10</v>
      </c>
      <c r="X100" s="255" t="s">
        <v>10</v>
      </c>
      <c r="Y100" s="87" t="s">
        <v>14</v>
      </c>
      <c r="Z100" s="87" t="s">
        <v>10</v>
      </c>
      <c r="AA100" s="255" t="s">
        <v>11</v>
      </c>
      <c r="AB100" s="255" t="s">
        <v>11</v>
      </c>
      <c r="AC100" s="255" t="s">
        <v>11</v>
      </c>
      <c r="AD100" s="255" t="s">
        <v>10</v>
      </c>
      <c r="AE100" s="255" t="s">
        <v>10</v>
      </c>
      <c r="AF100" s="87" t="s">
        <v>16</v>
      </c>
      <c r="AG100" s="87" t="s">
        <v>16</v>
      </c>
      <c r="AH100" s="255" t="s">
        <v>10</v>
      </c>
      <c r="AI100" s="87" t="s">
        <v>10</v>
      </c>
      <c r="AJ100" s="255" t="s">
        <v>10</v>
      </c>
      <c r="AK100" s="255" t="s">
        <v>10</v>
      </c>
      <c r="AL100" s="255" t="s">
        <v>10</v>
      </c>
      <c r="AM100" s="87" t="s">
        <v>10</v>
      </c>
      <c r="AN100" s="87" t="s">
        <v>10</v>
      </c>
      <c r="AO100" s="255" t="s">
        <v>10</v>
      </c>
      <c r="AP100" s="255" t="s">
        <v>10</v>
      </c>
      <c r="AQ100" s="184"/>
      <c r="AS100" s="43">
        <f t="shared" ref="AS100:BH115" si="29">COUNTIFS($M100:$AQ100,AS$2)</f>
        <v>4</v>
      </c>
      <c r="AT100" s="43">
        <f t="shared" si="29"/>
        <v>3</v>
      </c>
      <c r="AU100" s="43">
        <f t="shared" si="29"/>
        <v>0</v>
      </c>
      <c r="AV100" s="43">
        <f t="shared" si="29"/>
        <v>0</v>
      </c>
      <c r="AW100" s="43">
        <f t="shared" si="29"/>
        <v>0</v>
      </c>
      <c r="AX100" s="43">
        <f t="shared" si="29"/>
        <v>0</v>
      </c>
      <c r="AY100" s="43">
        <f t="shared" si="29"/>
        <v>0</v>
      </c>
      <c r="AZ100" s="43">
        <f t="shared" si="29"/>
        <v>0</v>
      </c>
      <c r="BA100" s="43">
        <f t="shared" si="29"/>
        <v>0</v>
      </c>
      <c r="BB100" s="43">
        <f t="shared" si="29"/>
        <v>0</v>
      </c>
      <c r="BC100" s="43">
        <f t="shared" si="29"/>
        <v>1</v>
      </c>
      <c r="BD100" s="43">
        <f t="shared" si="29"/>
        <v>0</v>
      </c>
      <c r="BE100" s="43">
        <f t="shared" si="29"/>
        <v>0</v>
      </c>
      <c r="BF100" s="43">
        <f t="shared" si="29"/>
        <v>0</v>
      </c>
      <c r="BG100" s="43">
        <f t="shared" si="29"/>
        <v>0</v>
      </c>
      <c r="BH100" s="43">
        <f t="shared" si="29"/>
        <v>0</v>
      </c>
      <c r="BI100" s="43">
        <f t="shared" si="28"/>
        <v>0</v>
      </c>
      <c r="BJ100" s="43">
        <f t="shared" si="28"/>
        <v>0</v>
      </c>
      <c r="BK100" s="43">
        <f t="shared" si="28"/>
        <v>0</v>
      </c>
      <c r="BL100" s="43">
        <f t="shared" si="28"/>
        <v>0</v>
      </c>
      <c r="BM100" s="43">
        <f t="shared" si="28"/>
        <v>0</v>
      </c>
      <c r="BN100" s="43">
        <f t="shared" si="28"/>
        <v>17</v>
      </c>
      <c r="BO100" s="43">
        <f t="shared" si="28"/>
        <v>0</v>
      </c>
      <c r="BP100" s="43">
        <f t="shared" si="28"/>
        <v>0</v>
      </c>
      <c r="BQ100" s="43">
        <f t="shared" si="28"/>
        <v>0</v>
      </c>
    </row>
    <row r="101" spans="3:69" ht="20.100000000000001" customHeight="1">
      <c r="C101" s="523" t="s">
        <v>7</v>
      </c>
      <c r="D101" s="524"/>
      <c r="E101" s="525" t="s">
        <v>111</v>
      </c>
      <c r="F101" s="526"/>
      <c r="G101" s="526"/>
      <c r="H101" s="526"/>
      <c r="I101" s="526"/>
      <c r="J101" s="527" t="s">
        <v>104</v>
      </c>
      <c r="K101" s="527"/>
      <c r="L101" s="528"/>
      <c r="M101" s="86" t="s">
        <v>10</v>
      </c>
      <c r="N101" s="255" t="s">
        <v>10</v>
      </c>
      <c r="O101" s="255" t="s">
        <v>17</v>
      </c>
      <c r="P101" s="87" t="s">
        <v>10</v>
      </c>
      <c r="Q101" s="255" t="s">
        <v>17</v>
      </c>
      <c r="R101" s="87" t="s">
        <v>10</v>
      </c>
      <c r="S101" s="87" t="s">
        <v>17</v>
      </c>
      <c r="T101" s="255" t="s">
        <v>16</v>
      </c>
      <c r="U101" s="255" t="s">
        <v>16</v>
      </c>
      <c r="V101" s="255" t="s">
        <v>16</v>
      </c>
      <c r="W101" s="255" t="s">
        <v>14</v>
      </c>
      <c r="X101" s="255" t="s">
        <v>14</v>
      </c>
      <c r="Y101" s="87" t="s">
        <v>10</v>
      </c>
      <c r="Z101" s="87" t="s">
        <v>10</v>
      </c>
      <c r="AA101" s="255" t="s">
        <v>16</v>
      </c>
      <c r="AB101" s="255" t="s">
        <v>14</v>
      </c>
      <c r="AC101" s="255" t="s">
        <v>14</v>
      </c>
      <c r="AD101" s="255" t="s">
        <v>13</v>
      </c>
      <c r="AE101" s="255" t="s">
        <v>16</v>
      </c>
      <c r="AF101" s="87" t="s">
        <v>10</v>
      </c>
      <c r="AG101" s="87" t="s">
        <v>10</v>
      </c>
      <c r="AH101" s="255" t="s">
        <v>10</v>
      </c>
      <c r="AI101" s="87" t="s">
        <v>10</v>
      </c>
      <c r="AJ101" s="255" t="s">
        <v>10</v>
      </c>
      <c r="AK101" s="255" t="s">
        <v>10</v>
      </c>
      <c r="AL101" s="255" t="s">
        <v>10</v>
      </c>
      <c r="AM101" s="87" t="s">
        <v>10</v>
      </c>
      <c r="AN101" s="87" t="s">
        <v>10</v>
      </c>
      <c r="AO101" s="255" t="s">
        <v>10</v>
      </c>
      <c r="AP101" s="255" t="s">
        <v>10</v>
      </c>
      <c r="AQ101" s="184"/>
      <c r="AS101" s="43">
        <f t="shared" si="29"/>
        <v>5</v>
      </c>
      <c r="AT101" s="43">
        <f t="shared" si="29"/>
        <v>4</v>
      </c>
      <c r="AU101" s="43">
        <f t="shared" si="29"/>
        <v>0</v>
      </c>
      <c r="AV101" s="43">
        <f t="shared" si="29"/>
        <v>0</v>
      </c>
      <c r="AW101" s="43">
        <f t="shared" si="29"/>
        <v>0</v>
      </c>
      <c r="AX101" s="43">
        <f t="shared" si="29"/>
        <v>0</v>
      </c>
      <c r="AY101" s="43">
        <f t="shared" si="29"/>
        <v>0</v>
      </c>
      <c r="AZ101" s="43">
        <f t="shared" si="29"/>
        <v>1</v>
      </c>
      <c r="BA101" s="43">
        <f t="shared" si="29"/>
        <v>0</v>
      </c>
      <c r="BB101" s="43">
        <f t="shared" si="29"/>
        <v>0</v>
      </c>
      <c r="BC101" s="43">
        <f t="shared" si="29"/>
        <v>0</v>
      </c>
      <c r="BD101" s="43">
        <f t="shared" si="29"/>
        <v>0</v>
      </c>
      <c r="BE101" s="43">
        <f t="shared" si="29"/>
        <v>0</v>
      </c>
      <c r="BF101" s="43">
        <f t="shared" si="29"/>
        <v>0</v>
      </c>
      <c r="BG101" s="43">
        <f t="shared" si="29"/>
        <v>0</v>
      </c>
      <c r="BH101" s="43">
        <f t="shared" si="29"/>
        <v>0</v>
      </c>
      <c r="BI101" s="43">
        <f t="shared" si="28"/>
        <v>0</v>
      </c>
      <c r="BJ101" s="43">
        <f t="shared" si="28"/>
        <v>3</v>
      </c>
      <c r="BK101" s="43">
        <f t="shared" si="28"/>
        <v>0</v>
      </c>
      <c r="BL101" s="43">
        <f t="shared" si="28"/>
        <v>0</v>
      </c>
      <c r="BM101" s="43">
        <f t="shared" si="28"/>
        <v>0</v>
      </c>
      <c r="BN101" s="43">
        <f t="shared" si="28"/>
        <v>17</v>
      </c>
      <c r="BO101" s="43">
        <f t="shared" si="28"/>
        <v>3</v>
      </c>
      <c r="BP101" s="43">
        <f t="shared" si="28"/>
        <v>0</v>
      </c>
      <c r="BQ101" s="43">
        <f t="shared" si="28"/>
        <v>0</v>
      </c>
    </row>
    <row r="102" spans="3:69" ht="20.100000000000001" customHeight="1">
      <c r="C102" s="523">
        <v>0.75</v>
      </c>
      <c r="D102" s="524"/>
      <c r="E102" s="525" t="s">
        <v>33</v>
      </c>
      <c r="F102" s="526"/>
      <c r="G102" s="526"/>
      <c r="H102" s="526"/>
      <c r="I102" s="526"/>
      <c r="J102" s="527" t="s">
        <v>104</v>
      </c>
      <c r="K102" s="527"/>
      <c r="L102" s="528"/>
      <c r="M102" s="86" t="s">
        <v>105</v>
      </c>
      <c r="N102" s="255" t="s">
        <v>105</v>
      </c>
      <c r="O102" s="255" t="s">
        <v>106</v>
      </c>
      <c r="P102" s="87" t="s">
        <v>10</v>
      </c>
      <c r="Q102" s="255" t="s">
        <v>106</v>
      </c>
      <c r="R102" s="87" t="s">
        <v>10</v>
      </c>
      <c r="S102" s="87" t="s">
        <v>10</v>
      </c>
      <c r="T102" s="255" t="s">
        <v>106</v>
      </c>
      <c r="U102" s="255" t="s">
        <v>106</v>
      </c>
      <c r="V102" s="255" t="s">
        <v>10</v>
      </c>
      <c r="W102" s="255" t="s">
        <v>106</v>
      </c>
      <c r="X102" s="255" t="s">
        <v>10</v>
      </c>
      <c r="Y102" s="87" t="s">
        <v>10</v>
      </c>
      <c r="Z102" s="87" t="s">
        <v>10</v>
      </c>
      <c r="AA102" s="255" t="s">
        <v>106</v>
      </c>
      <c r="AB102" s="255" t="s">
        <v>10</v>
      </c>
      <c r="AC102" s="255" t="s">
        <v>105</v>
      </c>
      <c r="AD102" s="255" t="s">
        <v>10</v>
      </c>
      <c r="AE102" s="255" t="s">
        <v>105</v>
      </c>
      <c r="AF102" s="87" t="s">
        <v>10</v>
      </c>
      <c r="AG102" s="87" t="s">
        <v>10</v>
      </c>
      <c r="AH102" s="255" t="s">
        <v>105</v>
      </c>
      <c r="AI102" s="87" t="s">
        <v>105</v>
      </c>
      <c r="AJ102" s="255" t="s">
        <v>105</v>
      </c>
      <c r="AK102" s="255" t="s">
        <v>105</v>
      </c>
      <c r="AL102" s="255" t="s">
        <v>10</v>
      </c>
      <c r="AM102" s="87" t="s">
        <v>10</v>
      </c>
      <c r="AN102" s="87" t="s">
        <v>10</v>
      </c>
      <c r="AO102" s="255" t="s">
        <v>105</v>
      </c>
      <c r="AP102" s="255" t="s">
        <v>105</v>
      </c>
      <c r="AQ102" s="184"/>
      <c r="AS102" s="43">
        <f t="shared" si="29"/>
        <v>0</v>
      </c>
      <c r="AT102" s="43">
        <f t="shared" si="29"/>
        <v>0</v>
      </c>
      <c r="AU102" s="43">
        <f t="shared" si="29"/>
        <v>0</v>
      </c>
      <c r="AV102" s="43">
        <f t="shared" si="29"/>
        <v>0</v>
      </c>
      <c r="AW102" s="43">
        <f t="shared" si="29"/>
        <v>0</v>
      </c>
      <c r="AX102" s="43">
        <f t="shared" si="29"/>
        <v>0</v>
      </c>
      <c r="AY102" s="43">
        <f t="shared" si="29"/>
        <v>0</v>
      </c>
      <c r="AZ102" s="43">
        <f t="shared" si="29"/>
        <v>0</v>
      </c>
      <c r="BA102" s="43">
        <f t="shared" si="29"/>
        <v>0</v>
      </c>
      <c r="BB102" s="43">
        <f t="shared" si="29"/>
        <v>0</v>
      </c>
      <c r="BC102" s="43">
        <f t="shared" si="29"/>
        <v>0</v>
      </c>
      <c r="BD102" s="43">
        <f t="shared" si="29"/>
        <v>0</v>
      </c>
      <c r="BE102" s="43">
        <f t="shared" si="29"/>
        <v>0</v>
      </c>
      <c r="BF102" s="43">
        <f t="shared" si="29"/>
        <v>0</v>
      </c>
      <c r="BG102" s="43">
        <f t="shared" si="29"/>
        <v>0</v>
      </c>
      <c r="BH102" s="43">
        <f t="shared" si="29"/>
        <v>0</v>
      </c>
      <c r="BI102" s="43">
        <f t="shared" si="28"/>
        <v>0</v>
      </c>
      <c r="BJ102" s="43">
        <f t="shared" si="28"/>
        <v>0</v>
      </c>
      <c r="BK102" s="43">
        <f t="shared" si="28"/>
        <v>0</v>
      </c>
      <c r="BL102" s="43">
        <f t="shared" si="28"/>
        <v>0</v>
      </c>
      <c r="BM102" s="43">
        <f t="shared" si="28"/>
        <v>0</v>
      </c>
      <c r="BN102" s="43">
        <f t="shared" si="28"/>
        <v>14</v>
      </c>
      <c r="BO102" s="43">
        <f t="shared" si="28"/>
        <v>0</v>
      </c>
      <c r="BP102" s="43">
        <f t="shared" si="28"/>
        <v>0</v>
      </c>
      <c r="BQ102" s="43">
        <f t="shared" si="28"/>
        <v>0</v>
      </c>
    </row>
    <row r="103" spans="3:69" ht="20.100000000000001" customHeight="1" thickBot="1">
      <c r="C103" s="529" t="s">
        <v>7</v>
      </c>
      <c r="D103" s="530"/>
      <c r="E103" s="531" t="s">
        <v>18</v>
      </c>
      <c r="F103" s="532"/>
      <c r="G103" s="532"/>
      <c r="H103" s="532"/>
      <c r="I103" s="532"/>
      <c r="J103" s="533" t="s">
        <v>19</v>
      </c>
      <c r="K103" s="533"/>
      <c r="L103" s="534"/>
      <c r="M103" s="88" t="s">
        <v>11</v>
      </c>
      <c r="N103" s="259" t="s">
        <v>11</v>
      </c>
      <c r="O103" s="259" t="s">
        <v>16</v>
      </c>
      <c r="P103" s="77" t="s">
        <v>16</v>
      </c>
      <c r="Q103" s="259" t="s">
        <v>14</v>
      </c>
      <c r="R103" s="77" t="s">
        <v>10</v>
      </c>
      <c r="S103" s="77" t="s">
        <v>10</v>
      </c>
      <c r="T103" s="259" t="s">
        <v>20</v>
      </c>
      <c r="U103" s="259" t="s">
        <v>11</v>
      </c>
      <c r="V103" s="259" t="s">
        <v>10</v>
      </c>
      <c r="W103" s="259" t="s">
        <v>16</v>
      </c>
      <c r="X103" s="259" t="s">
        <v>10</v>
      </c>
      <c r="Y103" s="77" t="s">
        <v>10</v>
      </c>
      <c r="Z103" s="77" t="s">
        <v>20</v>
      </c>
      <c r="AA103" s="259" t="s">
        <v>14</v>
      </c>
      <c r="AB103" s="259" t="s">
        <v>11</v>
      </c>
      <c r="AC103" s="259" t="s">
        <v>10</v>
      </c>
      <c r="AD103" s="259" t="s">
        <v>16</v>
      </c>
      <c r="AE103" s="259" t="s">
        <v>14</v>
      </c>
      <c r="AF103" s="77" t="s">
        <v>10</v>
      </c>
      <c r="AG103" s="77" t="s">
        <v>10</v>
      </c>
      <c r="AH103" s="259" t="s">
        <v>14</v>
      </c>
      <c r="AI103" s="77" t="s">
        <v>14</v>
      </c>
      <c r="AJ103" s="259" t="s">
        <v>11</v>
      </c>
      <c r="AK103" s="259" t="s">
        <v>11</v>
      </c>
      <c r="AL103" s="259" t="s">
        <v>17</v>
      </c>
      <c r="AM103" s="77" t="s">
        <v>10</v>
      </c>
      <c r="AN103" s="77" t="s">
        <v>10</v>
      </c>
      <c r="AO103" s="259" t="s">
        <v>17</v>
      </c>
      <c r="AP103" s="259" t="s">
        <v>16</v>
      </c>
      <c r="AQ103" s="185"/>
      <c r="AS103" s="43">
        <f t="shared" si="29"/>
        <v>5</v>
      </c>
      <c r="AT103" s="43">
        <f t="shared" si="29"/>
        <v>5</v>
      </c>
      <c r="AU103" s="43">
        <f t="shared" si="29"/>
        <v>0</v>
      </c>
      <c r="AV103" s="43">
        <f t="shared" si="29"/>
        <v>0</v>
      </c>
      <c r="AW103" s="43">
        <f t="shared" si="29"/>
        <v>2</v>
      </c>
      <c r="AX103" s="43">
        <f t="shared" si="29"/>
        <v>0</v>
      </c>
      <c r="AY103" s="43">
        <f t="shared" si="29"/>
        <v>0</v>
      </c>
      <c r="AZ103" s="43">
        <f t="shared" si="29"/>
        <v>0</v>
      </c>
      <c r="BA103" s="43">
        <f t="shared" si="29"/>
        <v>0</v>
      </c>
      <c r="BB103" s="43">
        <f t="shared" si="29"/>
        <v>0</v>
      </c>
      <c r="BC103" s="43">
        <f t="shared" si="29"/>
        <v>0</v>
      </c>
      <c r="BD103" s="43">
        <f t="shared" si="29"/>
        <v>0</v>
      </c>
      <c r="BE103" s="43">
        <f t="shared" si="29"/>
        <v>0</v>
      </c>
      <c r="BF103" s="43">
        <f t="shared" si="29"/>
        <v>0</v>
      </c>
      <c r="BG103" s="43">
        <f t="shared" si="29"/>
        <v>0</v>
      </c>
      <c r="BH103" s="43">
        <f t="shared" si="29"/>
        <v>0</v>
      </c>
      <c r="BI103" s="43">
        <f t="shared" si="28"/>
        <v>0</v>
      </c>
      <c r="BJ103" s="43">
        <f t="shared" si="28"/>
        <v>2</v>
      </c>
      <c r="BK103" s="43">
        <f t="shared" si="28"/>
        <v>0</v>
      </c>
      <c r="BL103" s="43">
        <f t="shared" si="28"/>
        <v>0</v>
      </c>
      <c r="BM103" s="43">
        <f t="shared" si="28"/>
        <v>0</v>
      </c>
      <c r="BN103" s="43">
        <f t="shared" si="28"/>
        <v>10</v>
      </c>
      <c r="BO103" s="43">
        <f t="shared" si="28"/>
        <v>2</v>
      </c>
      <c r="BP103" s="43">
        <f t="shared" si="28"/>
        <v>0</v>
      </c>
      <c r="BQ103" s="43">
        <f t="shared" si="28"/>
        <v>0</v>
      </c>
    </row>
    <row r="104" spans="3:69" ht="20.100000000000001" hidden="1" customHeight="1" thickBot="1">
      <c r="M104">
        <f>DTCHK(M90,YK!$J$3:$J$52)</f>
        <v>1</v>
      </c>
      <c r="N104">
        <f>DTCHK(N90,YK!$J$3:$J$52)</f>
        <v>0</v>
      </c>
      <c r="O104">
        <f>DTCHK(O90,YK!$J$3:$J$52)</f>
        <v>0</v>
      </c>
      <c r="P104">
        <f>DTCHK(P90,YK!$J$3:$J$52)</f>
        <v>1</v>
      </c>
      <c r="Q104">
        <f>DTCHK(Q90,YK!$J$3:$J$52)</f>
        <v>0</v>
      </c>
      <c r="R104">
        <f>DTCHK(R90,YK!$J$3:$J$52)</f>
        <v>0</v>
      </c>
      <c r="S104">
        <f>DTCHK(S90,YK!$J$3:$J$52)</f>
        <v>0</v>
      </c>
      <c r="T104">
        <f>DTCHK(T90,YK!$J$3:$J$52)</f>
        <v>0</v>
      </c>
      <c r="U104">
        <f>DTCHK(U90,YK!$J$3:$J$52)</f>
        <v>0</v>
      </c>
      <c r="V104">
        <f>DTCHK(V90,YK!$J$3:$J$52)</f>
        <v>0</v>
      </c>
      <c r="W104">
        <f>DTCHK(W90,YK!$J$3:$J$52)</f>
        <v>0</v>
      </c>
      <c r="X104">
        <f>DTCHK(X90,YK!$J$3:$J$52)</f>
        <v>0</v>
      </c>
      <c r="Y104">
        <f>DTCHK(Y90,YK!$J$3:$J$52)</f>
        <v>0</v>
      </c>
      <c r="Z104">
        <f>DTCHK(Z90,YK!$J$3:$J$52)</f>
        <v>0</v>
      </c>
      <c r="AA104">
        <f>DTCHK(AA90,YK!$J$3:$J$52)</f>
        <v>0</v>
      </c>
      <c r="AB104">
        <f>DTCHK(AB90,YK!$J$3:$J$52)</f>
        <v>0</v>
      </c>
      <c r="AC104">
        <f>DTCHK(AC90,YK!$J$3:$J$52)</f>
        <v>0</v>
      </c>
      <c r="AD104">
        <f>DTCHK(AD90,YK!$J$3:$J$52)</f>
        <v>0</v>
      </c>
      <c r="AE104">
        <f>DTCHK(AE90,YK!$J$3:$J$52)</f>
        <v>0</v>
      </c>
      <c r="AF104">
        <f>DTCHK(AF90,YK!$J$3:$J$52)</f>
        <v>0</v>
      </c>
      <c r="AG104">
        <f>DTCHK(AG90,YK!$J$3:$J$52)</f>
        <v>1</v>
      </c>
      <c r="AH104">
        <f>DTCHK(AH90,YK!$J$3:$J$52)</f>
        <v>0</v>
      </c>
      <c r="AI104">
        <f>DTCHK(AI90,YK!$J$3:$J$52)</f>
        <v>1</v>
      </c>
      <c r="AJ104">
        <f>DTCHK(AJ90,YK!$J$3:$J$52)</f>
        <v>0</v>
      </c>
      <c r="AK104">
        <f>DTCHK(AK90,YK!$J$3:$J$52)</f>
        <v>0</v>
      </c>
      <c r="AL104">
        <f>DTCHK(AL90,YK!$J$3:$J$52)</f>
        <v>0</v>
      </c>
      <c r="AM104">
        <f>DTCHK(AM90,YK!$J$3:$J$52)</f>
        <v>0</v>
      </c>
      <c r="AN104">
        <f>DTCHK(AN90,YK!$J$3:$J$52)</f>
        <v>0</v>
      </c>
      <c r="AO104">
        <f>DTCHK(AO90,YK!$J$3:$J$52)</f>
        <v>0</v>
      </c>
      <c r="AP104">
        <f>DTCHK(AP90,YK!$J$3:$J$52)</f>
        <v>0</v>
      </c>
      <c r="AQ104">
        <f>DTCHK(AQ90,YK!$J$3:$J$52)</f>
        <v>0</v>
      </c>
      <c r="AS104" s="43">
        <f t="shared" si="29"/>
        <v>0</v>
      </c>
      <c r="AT104" s="43">
        <f t="shared" si="29"/>
        <v>0</v>
      </c>
      <c r="AU104" s="43">
        <f t="shared" si="29"/>
        <v>0</v>
      </c>
      <c r="AV104" s="43">
        <f t="shared" si="29"/>
        <v>0</v>
      </c>
      <c r="AW104" s="43">
        <f t="shared" si="29"/>
        <v>0</v>
      </c>
      <c r="AX104" s="43">
        <f t="shared" si="29"/>
        <v>0</v>
      </c>
      <c r="AY104" s="43">
        <f t="shared" si="29"/>
        <v>0</v>
      </c>
      <c r="AZ104" s="43">
        <f t="shared" si="29"/>
        <v>0</v>
      </c>
      <c r="BA104" s="43">
        <f t="shared" si="29"/>
        <v>0</v>
      </c>
      <c r="BB104" s="43">
        <f t="shared" si="29"/>
        <v>0</v>
      </c>
      <c r="BC104" s="43">
        <f t="shared" si="29"/>
        <v>0</v>
      </c>
      <c r="BD104" s="43">
        <f t="shared" si="29"/>
        <v>0</v>
      </c>
      <c r="BE104" s="43">
        <f t="shared" si="29"/>
        <v>27</v>
      </c>
      <c r="BF104" s="43">
        <f t="shared" si="29"/>
        <v>27</v>
      </c>
      <c r="BG104" s="43">
        <f t="shared" si="29"/>
        <v>27</v>
      </c>
      <c r="BH104" s="43">
        <f t="shared" si="29"/>
        <v>27</v>
      </c>
      <c r="BI104" s="43">
        <f t="shared" si="28"/>
        <v>27</v>
      </c>
      <c r="BJ104" s="43">
        <f t="shared" si="28"/>
        <v>0</v>
      </c>
      <c r="BK104" s="43">
        <f t="shared" si="28"/>
        <v>27</v>
      </c>
      <c r="BL104" s="43">
        <f t="shared" si="28"/>
        <v>27</v>
      </c>
      <c r="BM104" s="43">
        <f t="shared" si="28"/>
        <v>27</v>
      </c>
      <c r="BN104" s="43">
        <f t="shared" si="28"/>
        <v>0</v>
      </c>
      <c r="BO104" s="43">
        <f t="shared" si="28"/>
        <v>0</v>
      </c>
      <c r="BP104" s="43">
        <f t="shared" si="28"/>
        <v>0</v>
      </c>
      <c r="BQ104" s="43">
        <f t="shared" si="28"/>
        <v>27</v>
      </c>
    </row>
    <row r="105" spans="3:69" ht="20.100000000000001" customHeight="1">
      <c r="C105" s="539" t="str">
        <f ca="1">Lists!F7</f>
        <v>Lipiec</v>
      </c>
      <c r="D105" s="540"/>
      <c r="E105" s="540"/>
      <c r="F105" s="540"/>
      <c r="G105" s="541"/>
    </row>
    <row r="106" spans="3:69" ht="20.100000000000001" customHeight="1" thickBot="1">
      <c r="C106" s="542"/>
      <c r="D106" s="543"/>
      <c r="E106" s="543"/>
      <c r="F106" s="543"/>
      <c r="G106" s="544"/>
    </row>
    <row r="107" spans="3:69" ht="20.100000000000001" hidden="1" customHeight="1">
      <c r="C107" s="31"/>
      <c r="D107" s="32"/>
      <c r="E107" s="32"/>
      <c r="F107" s="32"/>
      <c r="G107" s="32"/>
      <c r="M107" s="10">
        <f>M90+30</f>
        <v>46204</v>
      </c>
      <c r="N107" s="10">
        <f>M107+1</f>
        <v>46205</v>
      </c>
      <c r="O107" s="10">
        <f t="shared" ref="O107:AQ107" si="30">N107+1</f>
        <v>46206</v>
      </c>
      <c r="P107" s="10">
        <f t="shared" si="30"/>
        <v>46207</v>
      </c>
      <c r="Q107" s="10">
        <f t="shared" si="30"/>
        <v>46208</v>
      </c>
      <c r="R107" s="10">
        <f t="shared" si="30"/>
        <v>46209</v>
      </c>
      <c r="S107" s="10">
        <f t="shared" si="30"/>
        <v>46210</v>
      </c>
      <c r="T107" s="10">
        <f t="shared" si="30"/>
        <v>46211</v>
      </c>
      <c r="U107" s="10">
        <f t="shared" si="30"/>
        <v>46212</v>
      </c>
      <c r="V107" s="10">
        <f t="shared" si="30"/>
        <v>46213</v>
      </c>
      <c r="W107" s="10">
        <f t="shared" si="30"/>
        <v>46214</v>
      </c>
      <c r="X107" s="10">
        <f t="shared" si="30"/>
        <v>46215</v>
      </c>
      <c r="Y107" s="10">
        <f t="shared" si="30"/>
        <v>46216</v>
      </c>
      <c r="Z107" s="10">
        <f t="shared" si="30"/>
        <v>46217</v>
      </c>
      <c r="AA107" s="10">
        <f t="shared" si="30"/>
        <v>46218</v>
      </c>
      <c r="AB107" s="10">
        <f t="shared" si="30"/>
        <v>46219</v>
      </c>
      <c r="AC107" s="10">
        <f t="shared" si="30"/>
        <v>46220</v>
      </c>
      <c r="AD107" s="10">
        <f t="shared" si="30"/>
        <v>46221</v>
      </c>
      <c r="AE107" s="10">
        <f t="shared" si="30"/>
        <v>46222</v>
      </c>
      <c r="AF107" s="10">
        <f t="shared" si="30"/>
        <v>46223</v>
      </c>
      <c r="AG107" s="10">
        <f t="shared" si="30"/>
        <v>46224</v>
      </c>
      <c r="AH107" s="10">
        <f t="shared" si="30"/>
        <v>46225</v>
      </c>
      <c r="AI107" s="10">
        <f t="shared" si="30"/>
        <v>46226</v>
      </c>
      <c r="AJ107" s="10">
        <f t="shared" si="30"/>
        <v>46227</v>
      </c>
      <c r="AK107" s="10">
        <f t="shared" si="30"/>
        <v>46228</v>
      </c>
      <c r="AL107" s="10">
        <f t="shared" si="30"/>
        <v>46229</v>
      </c>
      <c r="AM107" s="10">
        <f t="shared" si="30"/>
        <v>46230</v>
      </c>
      <c r="AN107" s="10">
        <f t="shared" si="30"/>
        <v>46231</v>
      </c>
      <c r="AO107" s="10">
        <f t="shared" si="30"/>
        <v>46232</v>
      </c>
      <c r="AP107" s="10">
        <f t="shared" si="30"/>
        <v>46233</v>
      </c>
      <c r="AQ107" s="10">
        <f t="shared" si="30"/>
        <v>46234</v>
      </c>
    </row>
    <row r="108" spans="3:69" ht="20.100000000000001" hidden="1" customHeight="1" thickBot="1">
      <c r="C108" s="31"/>
      <c r="D108" s="32"/>
      <c r="E108" s="32"/>
      <c r="F108" s="32"/>
      <c r="G108" s="32"/>
      <c r="M108">
        <f>WEEKDAY(M107,2)</f>
        <v>3</v>
      </c>
      <c r="N108">
        <f t="shared" ref="N108:AQ108" si="31">WEEKDAY(N107,2)</f>
        <v>4</v>
      </c>
      <c r="O108">
        <f t="shared" si="31"/>
        <v>5</v>
      </c>
      <c r="P108">
        <f t="shared" si="31"/>
        <v>6</v>
      </c>
      <c r="Q108">
        <f t="shared" si="31"/>
        <v>7</v>
      </c>
      <c r="R108">
        <f t="shared" si="31"/>
        <v>1</v>
      </c>
      <c r="S108">
        <f t="shared" si="31"/>
        <v>2</v>
      </c>
      <c r="T108">
        <f t="shared" si="31"/>
        <v>3</v>
      </c>
      <c r="U108">
        <f t="shared" si="31"/>
        <v>4</v>
      </c>
      <c r="V108">
        <f t="shared" si="31"/>
        <v>5</v>
      </c>
      <c r="W108">
        <f t="shared" si="31"/>
        <v>6</v>
      </c>
      <c r="X108">
        <f t="shared" si="31"/>
        <v>7</v>
      </c>
      <c r="Y108">
        <f t="shared" si="31"/>
        <v>1</v>
      </c>
      <c r="Z108">
        <f t="shared" si="31"/>
        <v>2</v>
      </c>
      <c r="AA108">
        <f t="shared" si="31"/>
        <v>3</v>
      </c>
      <c r="AB108">
        <f t="shared" si="31"/>
        <v>4</v>
      </c>
      <c r="AC108">
        <f t="shared" si="31"/>
        <v>5</v>
      </c>
      <c r="AD108">
        <f t="shared" si="31"/>
        <v>6</v>
      </c>
      <c r="AE108">
        <f t="shared" si="31"/>
        <v>7</v>
      </c>
      <c r="AF108">
        <f t="shared" si="31"/>
        <v>1</v>
      </c>
      <c r="AG108">
        <f t="shared" si="31"/>
        <v>2</v>
      </c>
      <c r="AH108">
        <f t="shared" si="31"/>
        <v>3</v>
      </c>
      <c r="AI108">
        <f t="shared" si="31"/>
        <v>4</v>
      </c>
      <c r="AJ108">
        <f t="shared" si="31"/>
        <v>5</v>
      </c>
      <c r="AK108">
        <f t="shared" si="31"/>
        <v>6</v>
      </c>
      <c r="AL108">
        <f t="shared" si="31"/>
        <v>7</v>
      </c>
      <c r="AM108">
        <f t="shared" si="31"/>
        <v>1</v>
      </c>
      <c r="AN108">
        <f t="shared" si="31"/>
        <v>2</v>
      </c>
      <c r="AO108">
        <f t="shared" si="31"/>
        <v>3</v>
      </c>
      <c r="AP108">
        <f t="shared" si="31"/>
        <v>4</v>
      </c>
      <c r="AQ108">
        <f t="shared" si="31"/>
        <v>5</v>
      </c>
    </row>
    <row r="109" spans="3:69" ht="20.100000000000001" customHeight="1">
      <c r="C109" s="433" t="str">
        <f ca="1">INDIRECT("T!"&amp;T!A1&amp;"33")</f>
        <v>Etat</v>
      </c>
      <c r="D109" s="434"/>
      <c r="E109" s="427" t="s">
        <v>6</v>
      </c>
      <c r="F109" s="428"/>
      <c r="G109" s="428"/>
      <c r="H109" s="428"/>
      <c r="I109" s="428"/>
      <c r="J109" s="421" t="str">
        <f ca="1">INDIRECT("T!"&amp;T!A1&amp;"34")</f>
        <v>Pozycja</v>
      </c>
      <c r="K109" s="421"/>
      <c r="L109" s="549"/>
      <c r="M109" s="28">
        <v>1</v>
      </c>
      <c r="N109" s="28">
        <v>2</v>
      </c>
      <c r="O109" s="28">
        <v>3</v>
      </c>
      <c r="P109" s="28">
        <v>4</v>
      </c>
      <c r="Q109" s="28">
        <v>5</v>
      </c>
      <c r="R109" s="28">
        <v>6</v>
      </c>
      <c r="S109" s="28">
        <v>7</v>
      </c>
      <c r="T109" s="28">
        <v>8</v>
      </c>
      <c r="U109" s="28">
        <v>9</v>
      </c>
      <c r="V109" s="28">
        <v>10</v>
      </c>
      <c r="W109" s="28">
        <v>11</v>
      </c>
      <c r="X109" s="28">
        <v>12</v>
      </c>
      <c r="Y109" s="28">
        <v>13</v>
      </c>
      <c r="Z109" s="28">
        <v>14</v>
      </c>
      <c r="AA109" s="28">
        <v>15</v>
      </c>
      <c r="AB109" s="28">
        <v>16</v>
      </c>
      <c r="AC109" s="28">
        <v>17</v>
      </c>
      <c r="AD109" s="28">
        <v>18</v>
      </c>
      <c r="AE109" s="28">
        <v>19</v>
      </c>
      <c r="AF109" s="28">
        <v>20</v>
      </c>
      <c r="AG109" s="28">
        <v>21</v>
      </c>
      <c r="AH109" s="28">
        <v>22</v>
      </c>
      <c r="AI109" s="28">
        <v>23</v>
      </c>
      <c r="AJ109" s="28">
        <v>24</v>
      </c>
      <c r="AK109" s="28">
        <v>25</v>
      </c>
      <c r="AL109" s="28">
        <v>26</v>
      </c>
      <c r="AM109" s="28">
        <v>27</v>
      </c>
      <c r="AN109" s="28">
        <v>28</v>
      </c>
      <c r="AO109" s="28">
        <v>29</v>
      </c>
      <c r="AP109" s="28">
        <v>30</v>
      </c>
      <c r="AQ109" s="28">
        <v>31</v>
      </c>
    </row>
    <row r="110" spans="3:69" ht="20.100000000000001" customHeight="1">
      <c r="C110" s="545"/>
      <c r="D110" s="546"/>
      <c r="E110" s="547"/>
      <c r="F110" s="548"/>
      <c r="G110" s="548"/>
      <c r="H110" s="548"/>
      <c r="I110" s="548"/>
      <c r="J110" s="424"/>
      <c r="K110" s="424"/>
      <c r="L110" s="550"/>
      <c r="M110" s="29" t="str">
        <f ca="1">IF(M108=1,INDIRECT("T!"&amp;T!$A$1&amp;"26"),IF(M108=2,INDIRECT("T!"&amp;T!$A$1&amp;"27"),IF(M108=3,INDIRECT("T!"&amp;T!$A$1&amp;"28"),IF(M108=4,INDIRECT("T!"&amp;T!$A$1&amp;"29"),IF(M108=5,INDIRECT("T!"&amp;T!$A$1&amp;"30"),IF(M108=6,INDIRECT("T!"&amp;T!$A$1&amp;"31"),IF(M108=7,INDIRECT("T!"&amp;T!$A$1&amp;"32"),0)))))))</f>
        <v>Śr</v>
      </c>
      <c r="N110" s="29" t="str">
        <f ca="1">IF(N108=1,INDIRECT("T!"&amp;T!$A$1&amp;"26"),IF(N108=2,INDIRECT("T!"&amp;T!$A$1&amp;"27"),IF(N108=3,INDIRECT("T!"&amp;T!$A$1&amp;"28"),IF(N108=4,INDIRECT("T!"&amp;T!$A$1&amp;"29"),IF(N108=5,INDIRECT("T!"&amp;T!$A$1&amp;"30"),IF(N108=6,INDIRECT("T!"&amp;T!$A$1&amp;"31"),IF(N108=7,INDIRECT("T!"&amp;T!$A$1&amp;"32"),0)))))))</f>
        <v>Cz</v>
      </c>
      <c r="O110" s="29" t="str">
        <f ca="1">IF(O108=1,INDIRECT("T!"&amp;T!$A$1&amp;"26"),IF(O108=2,INDIRECT("T!"&amp;T!$A$1&amp;"27"),IF(O108=3,INDIRECT("T!"&amp;T!$A$1&amp;"28"),IF(O108=4,INDIRECT("T!"&amp;T!$A$1&amp;"29"),IF(O108=5,INDIRECT("T!"&amp;T!$A$1&amp;"30"),IF(O108=6,INDIRECT("T!"&amp;T!$A$1&amp;"31"),IF(O108=7,INDIRECT("T!"&amp;T!$A$1&amp;"32"),0)))))))</f>
        <v>Pt</v>
      </c>
      <c r="P110" s="29" t="str">
        <f ca="1">IF(P108=1,INDIRECT("T!"&amp;T!$A$1&amp;"26"),IF(P108=2,INDIRECT("T!"&amp;T!$A$1&amp;"27"),IF(P108=3,INDIRECT("T!"&amp;T!$A$1&amp;"28"),IF(P108=4,INDIRECT("T!"&amp;T!$A$1&amp;"29"),IF(P108=5,INDIRECT("T!"&amp;T!$A$1&amp;"30"),IF(P108=6,INDIRECT("T!"&amp;T!$A$1&amp;"31"),IF(P108=7,INDIRECT("T!"&amp;T!$A$1&amp;"32"),0)))))))</f>
        <v>So</v>
      </c>
      <c r="Q110" s="29" t="str">
        <f ca="1">IF(Q108=1,INDIRECT("T!"&amp;T!$A$1&amp;"26"),IF(Q108=2,INDIRECT("T!"&amp;T!$A$1&amp;"27"),IF(Q108=3,INDIRECT("T!"&amp;T!$A$1&amp;"28"),IF(Q108=4,INDIRECT("T!"&amp;T!$A$1&amp;"29"),IF(Q108=5,INDIRECT("T!"&amp;T!$A$1&amp;"30"),IF(Q108=6,INDIRECT("T!"&amp;T!$A$1&amp;"31"),IF(Q108=7,INDIRECT("T!"&amp;T!$A$1&amp;"32"),0)))))))</f>
        <v>Nd</v>
      </c>
      <c r="R110" s="29" t="str">
        <f ca="1">IF(R108=1,INDIRECT("T!"&amp;T!$A$1&amp;"26"),IF(R108=2,INDIRECT("T!"&amp;T!$A$1&amp;"27"),IF(R108=3,INDIRECT("T!"&amp;T!$A$1&amp;"28"),IF(R108=4,INDIRECT("T!"&amp;T!$A$1&amp;"29"),IF(R108=5,INDIRECT("T!"&amp;T!$A$1&amp;"30"),IF(R108=6,INDIRECT("T!"&amp;T!$A$1&amp;"31"),IF(R108=7,INDIRECT("T!"&amp;T!$A$1&amp;"32"),0)))))))</f>
        <v>Pn</v>
      </c>
      <c r="S110" s="29" t="str">
        <f ca="1">IF(S108=1,INDIRECT("T!"&amp;T!$A$1&amp;"26"),IF(S108=2,INDIRECT("T!"&amp;T!$A$1&amp;"27"),IF(S108=3,INDIRECT("T!"&amp;T!$A$1&amp;"28"),IF(S108=4,INDIRECT("T!"&amp;T!$A$1&amp;"29"),IF(S108=5,INDIRECT("T!"&amp;T!$A$1&amp;"30"),IF(S108=6,INDIRECT("T!"&amp;T!$A$1&amp;"31"),IF(S108=7,INDIRECT("T!"&amp;T!$A$1&amp;"32"),0)))))))</f>
        <v>Wt</v>
      </c>
      <c r="T110" s="29" t="str">
        <f ca="1">IF(T108=1,INDIRECT("T!"&amp;T!$A$1&amp;"26"),IF(T108=2,INDIRECT("T!"&amp;T!$A$1&amp;"27"),IF(T108=3,INDIRECT("T!"&amp;T!$A$1&amp;"28"),IF(T108=4,INDIRECT("T!"&amp;T!$A$1&amp;"29"),IF(T108=5,INDIRECT("T!"&amp;T!$A$1&amp;"30"),IF(T108=6,INDIRECT("T!"&amp;T!$A$1&amp;"31"),IF(T108=7,INDIRECT("T!"&amp;T!$A$1&amp;"32"),0)))))))</f>
        <v>Śr</v>
      </c>
      <c r="U110" s="29" t="str">
        <f ca="1">IF(U108=1,INDIRECT("T!"&amp;T!$A$1&amp;"26"),IF(U108=2,INDIRECT("T!"&amp;T!$A$1&amp;"27"),IF(U108=3,INDIRECT("T!"&amp;T!$A$1&amp;"28"),IF(U108=4,INDIRECT("T!"&amp;T!$A$1&amp;"29"),IF(U108=5,INDIRECT("T!"&amp;T!$A$1&amp;"30"),IF(U108=6,INDIRECT("T!"&amp;T!$A$1&amp;"31"),IF(U108=7,INDIRECT("T!"&amp;T!$A$1&amp;"32"),0)))))))</f>
        <v>Cz</v>
      </c>
      <c r="V110" s="29" t="str">
        <f ca="1">IF(V108=1,INDIRECT("T!"&amp;T!$A$1&amp;"26"),IF(V108=2,INDIRECT("T!"&amp;T!$A$1&amp;"27"),IF(V108=3,INDIRECT("T!"&amp;T!$A$1&amp;"28"),IF(V108=4,INDIRECT("T!"&amp;T!$A$1&amp;"29"),IF(V108=5,INDIRECT("T!"&amp;T!$A$1&amp;"30"),IF(V108=6,INDIRECT("T!"&amp;T!$A$1&amp;"31"),IF(V108=7,INDIRECT("T!"&amp;T!$A$1&amp;"32"),0)))))))</f>
        <v>Pt</v>
      </c>
      <c r="W110" s="29" t="str">
        <f ca="1">IF(W108=1,INDIRECT("T!"&amp;T!$A$1&amp;"26"),IF(W108=2,INDIRECT("T!"&amp;T!$A$1&amp;"27"),IF(W108=3,INDIRECT("T!"&amp;T!$A$1&amp;"28"),IF(W108=4,INDIRECT("T!"&amp;T!$A$1&amp;"29"),IF(W108=5,INDIRECT("T!"&amp;T!$A$1&amp;"30"),IF(W108=6,INDIRECT("T!"&amp;T!$A$1&amp;"31"),IF(W108=7,INDIRECT("T!"&amp;T!$A$1&amp;"32"),0)))))))</f>
        <v>So</v>
      </c>
      <c r="X110" s="29" t="str">
        <f ca="1">IF(X108=1,INDIRECT("T!"&amp;T!$A$1&amp;"26"),IF(X108=2,INDIRECT("T!"&amp;T!$A$1&amp;"27"),IF(X108=3,INDIRECT("T!"&amp;T!$A$1&amp;"28"),IF(X108=4,INDIRECT("T!"&amp;T!$A$1&amp;"29"),IF(X108=5,INDIRECT("T!"&amp;T!$A$1&amp;"30"),IF(X108=6,INDIRECT("T!"&amp;T!$A$1&amp;"31"),IF(X108=7,INDIRECT("T!"&amp;T!$A$1&amp;"32"),0)))))))</f>
        <v>Nd</v>
      </c>
      <c r="Y110" s="29" t="str">
        <f ca="1">IF(Y108=1,INDIRECT("T!"&amp;T!$A$1&amp;"26"),IF(Y108=2,INDIRECT("T!"&amp;T!$A$1&amp;"27"),IF(Y108=3,INDIRECT("T!"&amp;T!$A$1&amp;"28"),IF(Y108=4,INDIRECT("T!"&amp;T!$A$1&amp;"29"),IF(Y108=5,INDIRECT("T!"&amp;T!$A$1&amp;"30"),IF(Y108=6,INDIRECT("T!"&amp;T!$A$1&amp;"31"),IF(Y108=7,INDIRECT("T!"&amp;T!$A$1&amp;"32"),0)))))))</f>
        <v>Pn</v>
      </c>
      <c r="Z110" s="29" t="str">
        <f ca="1">IF(Z108=1,INDIRECT("T!"&amp;T!$A$1&amp;"26"),IF(Z108=2,INDIRECT("T!"&amp;T!$A$1&amp;"27"),IF(Z108=3,INDIRECT("T!"&amp;T!$A$1&amp;"28"),IF(Z108=4,INDIRECT("T!"&amp;T!$A$1&amp;"29"),IF(Z108=5,INDIRECT("T!"&amp;T!$A$1&amp;"30"),IF(Z108=6,INDIRECT("T!"&amp;T!$A$1&amp;"31"),IF(Z108=7,INDIRECT("T!"&amp;T!$A$1&amp;"32"),0)))))))</f>
        <v>Wt</v>
      </c>
      <c r="AA110" s="29" t="str">
        <f ca="1">IF(AA108=1,INDIRECT("T!"&amp;T!$A$1&amp;"26"),IF(AA108=2,INDIRECT("T!"&amp;T!$A$1&amp;"27"),IF(AA108=3,INDIRECT("T!"&amp;T!$A$1&amp;"28"),IF(AA108=4,INDIRECT("T!"&amp;T!$A$1&amp;"29"),IF(AA108=5,INDIRECT("T!"&amp;T!$A$1&amp;"30"),IF(AA108=6,INDIRECT("T!"&amp;T!$A$1&amp;"31"),IF(AA108=7,INDIRECT("T!"&amp;T!$A$1&amp;"32"),0)))))))</f>
        <v>Śr</v>
      </c>
      <c r="AB110" s="29" t="str">
        <f ca="1">IF(AB108=1,INDIRECT("T!"&amp;T!$A$1&amp;"26"),IF(AB108=2,INDIRECT("T!"&amp;T!$A$1&amp;"27"),IF(AB108=3,INDIRECT("T!"&amp;T!$A$1&amp;"28"),IF(AB108=4,INDIRECT("T!"&amp;T!$A$1&amp;"29"),IF(AB108=5,INDIRECT("T!"&amp;T!$A$1&amp;"30"),IF(AB108=6,INDIRECT("T!"&amp;T!$A$1&amp;"31"),IF(AB108=7,INDIRECT("T!"&amp;T!$A$1&amp;"32"),0)))))))</f>
        <v>Cz</v>
      </c>
      <c r="AC110" s="29" t="str">
        <f ca="1">IF(AC108=1,INDIRECT("T!"&amp;T!$A$1&amp;"26"),IF(AC108=2,INDIRECT("T!"&amp;T!$A$1&amp;"27"),IF(AC108=3,INDIRECT("T!"&amp;T!$A$1&amp;"28"),IF(AC108=4,INDIRECT("T!"&amp;T!$A$1&amp;"29"),IF(AC108=5,INDIRECT("T!"&amp;T!$A$1&amp;"30"),IF(AC108=6,INDIRECT("T!"&amp;T!$A$1&amp;"31"),IF(AC108=7,INDIRECT("T!"&amp;T!$A$1&amp;"32"),0)))))))</f>
        <v>Pt</v>
      </c>
      <c r="AD110" s="29" t="str">
        <f ca="1">IF(AD108=1,INDIRECT("T!"&amp;T!$A$1&amp;"26"),IF(AD108=2,INDIRECT("T!"&amp;T!$A$1&amp;"27"),IF(AD108=3,INDIRECT("T!"&amp;T!$A$1&amp;"28"),IF(AD108=4,INDIRECT("T!"&amp;T!$A$1&amp;"29"),IF(AD108=5,INDIRECT("T!"&amp;T!$A$1&amp;"30"),IF(AD108=6,INDIRECT("T!"&amp;T!$A$1&amp;"31"),IF(AD108=7,INDIRECT("T!"&amp;T!$A$1&amp;"32"),0)))))))</f>
        <v>So</v>
      </c>
      <c r="AE110" s="29" t="str">
        <f ca="1">IF(AE108=1,INDIRECT("T!"&amp;T!$A$1&amp;"26"),IF(AE108=2,INDIRECT("T!"&amp;T!$A$1&amp;"27"),IF(AE108=3,INDIRECT("T!"&amp;T!$A$1&amp;"28"),IF(AE108=4,INDIRECT("T!"&amp;T!$A$1&amp;"29"),IF(AE108=5,INDIRECT("T!"&amp;T!$A$1&amp;"30"),IF(AE108=6,INDIRECT("T!"&amp;T!$A$1&amp;"31"),IF(AE108=7,INDIRECT("T!"&amp;T!$A$1&amp;"32"),0)))))))</f>
        <v>Nd</v>
      </c>
      <c r="AF110" s="29" t="str">
        <f ca="1">IF(AF108=1,INDIRECT("T!"&amp;T!$A$1&amp;"26"),IF(AF108=2,INDIRECT("T!"&amp;T!$A$1&amp;"27"),IF(AF108=3,INDIRECT("T!"&amp;T!$A$1&amp;"28"),IF(AF108=4,INDIRECT("T!"&amp;T!$A$1&amp;"29"),IF(AF108=5,INDIRECT("T!"&amp;T!$A$1&amp;"30"),IF(AF108=6,INDIRECT("T!"&amp;T!$A$1&amp;"31"),IF(AF108=7,INDIRECT("T!"&amp;T!$A$1&amp;"32"),0)))))))</f>
        <v>Pn</v>
      </c>
      <c r="AG110" s="29" t="str">
        <f ca="1">IF(AG108=1,INDIRECT("T!"&amp;T!$A$1&amp;"26"),IF(AG108=2,INDIRECT("T!"&amp;T!$A$1&amp;"27"),IF(AG108=3,INDIRECT("T!"&amp;T!$A$1&amp;"28"),IF(AG108=4,INDIRECT("T!"&amp;T!$A$1&amp;"29"),IF(AG108=5,INDIRECT("T!"&amp;T!$A$1&amp;"30"),IF(AG108=6,INDIRECT("T!"&amp;T!$A$1&amp;"31"),IF(AG108=7,INDIRECT("T!"&amp;T!$A$1&amp;"32"),0)))))))</f>
        <v>Wt</v>
      </c>
      <c r="AH110" s="29" t="str">
        <f ca="1">IF(AH108=1,INDIRECT("T!"&amp;T!$A$1&amp;"26"),IF(AH108=2,INDIRECT("T!"&amp;T!$A$1&amp;"27"),IF(AH108=3,INDIRECT("T!"&amp;T!$A$1&amp;"28"),IF(AH108=4,INDIRECT("T!"&amp;T!$A$1&amp;"29"),IF(AH108=5,INDIRECT("T!"&amp;T!$A$1&amp;"30"),IF(AH108=6,INDIRECT("T!"&amp;T!$A$1&amp;"31"),IF(AH108=7,INDIRECT("T!"&amp;T!$A$1&amp;"32"),0)))))))</f>
        <v>Śr</v>
      </c>
      <c r="AI110" s="29" t="str">
        <f ca="1">IF(AI108=1,INDIRECT("T!"&amp;T!$A$1&amp;"26"),IF(AI108=2,INDIRECT("T!"&amp;T!$A$1&amp;"27"),IF(AI108=3,INDIRECT("T!"&amp;T!$A$1&amp;"28"),IF(AI108=4,INDIRECT("T!"&amp;T!$A$1&amp;"29"),IF(AI108=5,INDIRECT("T!"&amp;T!$A$1&amp;"30"),IF(AI108=6,INDIRECT("T!"&amp;T!$A$1&amp;"31"),IF(AI108=7,INDIRECT("T!"&amp;T!$A$1&amp;"32"),0)))))))</f>
        <v>Cz</v>
      </c>
      <c r="AJ110" s="29" t="str">
        <f ca="1">IF(AJ108=1,INDIRECT("T!"&amp;T!$A$1&amp;"26"),IF(AJ108=2,INDIRECT("T!"&amp;T!$A$1&amp;"27"),IF(AJ108=3,INDIRECT("T!"&amp;T!$A$1&amp;"28"),IF(AJ108=4,INDIRECT("T!"&amp;T!$A$1&amp;"29"),IF(AJ108=5,INDIRECT("T!"&amp;T!$A$1&amp;"30"),IF(AJ108=6,INDIRECT("T!"&amp;T!$A$1&amp;"31"),IF(AJ108=7,INDIRECT("T!"&amp;T!$A$1&amp;"32"),0)))))))</f>
        <v>Pt</v>
      </c>
      <c r="AK110" s="29" t="str">
        <f ca="1">IF(AK108=1,INDIRECT("T!"&amp;T!$A$1&amp;"26"),IF(AK108=2,INDIRECT("T!"&amp;T!$A$1&amp;"27"),IF(AK108=3,INDIRECT("T!"&amp;T!$A$1&amp;"28"),IF(AK108=4,INDIRECT("T!"&amp;T!$A$1&amp;"29"),IF(AK108=5,INDIRECT("T!"&amp;T!$A$1&amp;"30"),IF(AK108=6,INDIRECT("T!"&amp;T!$A$1&amp;"31"),IF(AK108=7,INDIRECT("T!"&amp;T!$A$1&amp;"32"),0)))))))</f>
        <v>So</v>
      </c>
      <c r="AL110" s="29" t="str">
        <f ca="1">IF(AL108=1,INDIRECT("T!"&amp;T!$A$1&amp;"26"),IF(AL108=2,INDIRECT("T!"&amp;T!$A$1&amp;"27"),IF(AL108=3,INDIRECT("T!"&amp;T!$A$1&amp;"28"),IF(AL108=4,INDIRECT("T!"&amp;T!$A$1&amp;"29"),IF(AL108=5,INDIRECT("T!"&amp;T!$A$1&amp;"30"),IF(AL108=6,INDIRECT("T!"&amp;T!$A$1&amp;"31"),IF(AL108=7,INDIRECT("T!"&amp;T!$A$1&amp;"32"),0)))))))</f>
        <v>Nd</v>
      </c>
      <c r="AM110" s="29" t="str">
        <f ca="1">IF(AM108=1,INDIRECT("T!"&amp;T!$A$1&amp;"26"),IF(AM108=2,INDIRECT("T!"&amp;T!$A$1&amp;"27"),IF(AM108=3,INDIRECT("T!"&amp;T!$A$1&amp;"28"),IF(AM108=4,INDIRECT("T!"&amp;T!$A$1&amp;"29"),IF(AM108=5,INDIRECT("T!"&amp;T!$A$1&amp;"30"),IF(AM108=6,INDIRECT("T!"&amp;T!$A$1&amp;"31"),IF(AM108=7,INDIRECT("T!"&amp;T!$A$1&amp;"32"),0)))))))</f>
        <v>Pn</v>
      </c>
      <c r="AN110" s="29" t="str">
        <f ca="1">IF(AN108=1,INDIRECT("T!"&amp;T!$A$1&amp;"26"),IF(AN108=2,INDIRECT("T!"&amp;T!$A$1&amp;"27"),IF(AN108=3,INDIRECT("T!"&amp;T!$A$1&amp;"28"),IF(AN108=4,INDIRECT("T!"&amp;T!$A$1&amp;"29"),IF(AN108=5,INDIRECT("T!"&amp;T!$A$1&amp;"30"),IF(AN108=6,INDIRECT("T!"&amp;T!$A$1&amp;"31"),IF(AN108=7,INDIRECT("T!"&amp;T!$A$1&amp;"32"),0)))))))</f>
        <v>Wt</v>
      </c>
      <c r="AO110" s="29" t="str">
        <f ca="1">IF(AO108=1,INDIRECT("T!"&amp;T!$A$1&amp;"26"),IF(AO108=2,INDIRECT("T!"&amp;T!$A$1&amp;"27"),IF(AO108=3,INDIRECT("T!"&amp;T!$A$1&amp;"28"),IF(AO108=4,INDIRECT("T!"&amp;T!$A$1&amp;"29"),IF(AO108=5,INDIRECT("T!"&amp;T!$A$1&amp;"30"),IF(AO108=6,INDIRECT("T!"&amp;T!$A$1&amp;"31"),IF(AO108=7,INDIRECT("T!"&amp;T!$A$1&amp;"32"),0)))))))</f>
        <v>Śr</v>
      </c>
      <c r="AP110" s="29" t="str">
        <f ca="1">IF(AP108=1,INDIRECT("T!"&amp;T!$A$1&amp;"26"),IF(AP108=2,INDIRECT("T!"&amp;T!$A$1&amp;"27"),IF(AP108=3,INDIRECT("T!"&amp;T!$A$1&amp;"28"),IF(AP108=4,INDIRECT("T!"&amp;T!$A$1&amp;"29"),IF(AP108=5,INDIRECT("T!"&amp;T!$A$1&amp;"30"),IF(AP108=6,INDIRECT("T!"&amp;T!$A$1&amp;"31"),IF(AP108=7,INDIRECT("T!"&amp;T!$A$1&amp;"32"),0)))))))</f>
        <v>Cz</v>
      </c>
      <c r="AQ110" s="29" t="str">
        <f ca="1">IF(AQ108=1,INDIRECT("T!"&amp;T!$A$1&amp;"26"),IF(AQ108=2,INDIRECT("T!"&amp;T!$A$1&amp;"27"),IF(AQ108=3,INDIRECT("T!"&amp;T!$A$1&amp;"28"),IF(AQ108=4,INDIRECT("T!"&amp;T!$A$1&amp;"29"),IF(AQ108=5,INDIRECT("T!"&amp;T!$A$1&amp;"30"),IF(AQ108=6,INDIRECT("T!"&amp;T!$A$1&amp;"31"),IF(AQ108=7,INDIRECT("T!"&amp;T!$A$1&amp;"32"),0)))))))</f>
        <v>Pt</v>
      </c>
    </row>
    <row r="111" spans="3:69" ht="20.100000000000001" customHeight="1">
      <c r="C111" s="589"/>
      <c r="D111" s="590"/>
      <c r="E111" s="575"/>
      <c r="F111" s="576"/>
      <c r="G111" s="576"/>
      <c r="H111" s="576"/>
      <c r="I111" s="577"/>
      <c r="J111" s="578"/>
      <c r="K111" s="579"/>
      <c r="L111" s="580"/>
      <c r="M111" s="256"/>
      <c r="N111" s="257"/>
      <c r="O111" s="257"/>
      <c r="P111" s="85"/>
      <c r="Q111" s="85"/>
      <c r="R111" s="257"/>
      <c r="S111" s="257"/>
      <c r="T111" s="257"/>
      <c r="U111" s="257"/>
      <c r="V111" s="257"/>
      <c r="W111" s="85"/>
      <c r="X111" s="85"/>
      <c r="Y111" s="257"/>
      <c r="Z111" s="257"/>
      <c r="AA111" s="257"/>
      <c r="AB111" s="257"/>
      <c r="AC111" s="257"/>
      <c r="AD111" s="85"/>
      <c r="AE111" s="85"/>
      <c r="AF111" s="257"/>
      <c r="AG111" s="257"/>
      <c r="AH111" s="257"/>
      <c r="AI111" s="257"/>
      <c r="AJ111" s="257"/>
      <c r="AK111" s="85"/>
      <c r="AL111" s="85"/>
      <c r="AM111" s="257"/>
      <c r="AN111" s="257"/>
      <c r="AO111" s="257"/>
      <c r="AP111" s="257"/>
      <c r="AQ111" s="183"/>
      <c r="AS111" s="43">
        <f t="shared" si="29"/>
        <v>0</v>
      </c>
      <c r="AT111" s="43">
        <f t="shared" si="29"/>
        <v>0</v>
      </c>
      <c r="AU111" s="43">
        <f t="shared" si="29"/>
        <v>0</v>
      </c>
      <c r="AV111" s="43">
        <f t="shared" si="29"/>
        <v>0</v>
      </c>
      <c r="AW111" s="43">
        <f t="shared" si="29"/>
        <v>0</v>
      </c>
      <c r="AX111" s="43">
        <f t="shared" si="29"/>
        <v>0</v>
      </c>
      <c r="AY111" s="43">
        <f t="shared" si="29"/>
        <v>0</v>
      </c>
      <c r="AZ111" s="43">
        <f t="shared" si="29"/>
        <v>0</v>
      </c>
      <c r="BA111" s="43">
        <f t="shared" si="29"/>
        <v>0</v>
      </c>
      <c r="BB111" s="43">
        <f t="shared" si="29"/>
        <v>0</v>
      </c>
      <c r="BC111" s="43">
        <f t="shared" si="29"/>
        <v>0</v>
      </c>
      <c r="BD111" s="43">
        <f t="shared" si="29"/>
        <v>0</v>
      </c>
      <c r="BE111" s="43">
        <f t="shared" si="29"/>
        <v>0</v>
      </c>
      <c r="BF111" s="43">
        <f t="shared" si="29"/>
        <v>0</v>
      </c>
      <c r="BG111" s="43">
        <f t="shared" si="29"/>
        <v>0</v>
      </c>
      <c r="BH111" s="43">
        <f t="shared" si="29"/>
        <v>0</v>
      </c>
      <c r="BI111" s="43">
        <f t="shared" si="28"/>
        <v>0</v>
      </c>
      <c r="BJ111" s="43">
        <f t="shared" si="28"/>
        <v>0</v>
      </c>
      <c r="BK111" s="43">
        <f t="shared" si="28"/>
        <v>0</v>
      </c>
      <c r="BL111" s="43">
        <f t="shared" si="28"/>
        <v>0</v>
      </c>
      <c r="BM111" s="43">
        <f t="shared" si="28"/>
        <v>0</v>
      </c>
      <c r="BN111" s="43">
        <f t="shared" si="28"/>
        <v>0</v>
      </c>
      <c r="BO111" s="43">
        <f t="shared" si="28"/>
        <v>0</v>
      </c>
      <c r="BP111" s="43">
        <f t="shared" si="28"/>
        <v>0</v>
      </c>
      <c r="BQ111" s="43">
        <f t="shared" si="28"/>
        <v>0</v>
      </c>
    </row>
    <row r="112" spans="3:69" ht="20.100000000000001" customHeight="1">
      <c r="C112" s="551"/>
      <c r="D112" s="552"/>
      <c r="E112" s="553"/>
      <c r="F112" s="554"/>
      <c r="G112" s="554"/>
      <c r="H112" s="554"/>
      <c r="I112" s="555"/>
      <c r="J112" s="556"/>
      <c r="K112" s="557"/>
      <c r="L112" s="558"/>
      <c r="M112" s="254"/>
      <c r="N112" s="255"/>
      <c r="O112" s="255"/>
      <c r="P112" s="87"/>
      <c r="Q112" s="87"/>
      <c r="R112" s="255"/>
      <c r="S112" s="255"/>
      <c r="T112" s="255"/>
      <c r="U112" s="255"/>
      <c r="V112" s="255"/>
      <c r="W112" s="87"/>
      <c r="X112" s="87"/>
      <c r="Y112" s="255"/>
      <c r="Z112" s="255"/>
      <c r="AA112" s="255"/>
      <c r="AB112" s="255"/>
      <c r="AC112" s="255"/>
      <c r="AD112" s="87"/>
      <c r="AE112" s="87"/>
      <c r="AF112" s="255"/>
      <c r="AG112" s="255"/>
      <c r="AH112" s="255"/>
      <c r="AI112" s="255"/>
      <c r="AJ112" s="255"/>
      <c r="AK112" s="87"/>
      <c r="AL112" s="87"/>
      <c r="AM112" s="255"/>
      <c r="AN112" s="255"/>
      <c r="AO112" s="255"/>
      <c r="AP112" s="255"/>
      <c r="AQ112" s="184"/>
      <c r="AS112" s="43">
        <f t="shared" si="29"/>
        <v>0</v>
      </c>
      <c r="AT112" s="43">
        <f t="shared" si="29"/>
        <v>0</v>
      </c>
      <c r="AU112" s="43">
        <f t="shared" si="29"/>
        <v>0</v>
      </c>
      <c r="AV112" s="43">
        <f t="shared" si="29"/>
        <v>0</v>
      </c>
      <c r="AW112" s="43">
        <f t="shared" si="29"/>
        <v>0</v>
      </c>
      <c r="AX112" s="43">
        <f t="shared" si="29"/>
        <v>0</v>
      </c>
      <c r="AY112" s="43">
        <f t="shared" si="29"/>
        <v>0</v>
      </c>
      <c r="AZ112" s="43">
        <f t="shared" si="29"/>
        <v>0</v>
      </c>
      <c r="BA112" s="43">
        <f t="shared" si="29"/>
        <v>0</v>
      </c>
      <c r="BB112" s="43">
        <f t="shared" si="29"/>
        <v>0</v>
      </c>
      <c r="BC112" s="43">
        <f t="shared" si="29"/>
        <v>0</v>
      </c>
      <c r="BD112" s="43">
        <f t="shared" si="29"/>
        <v>0</v>
      </c>
      <c r="BE112" s="43">
        <f t="shared" si="29"/>
        <v>0</v>
      </c>
      <c r="BF112" s="43">
        <f t="shared" si="29"/>
        <v>0</v>
      </c>
      <c r="BG112" s="43">
        <f t="shared" si="29"/>
        <v>0</v>
      </c>
      <c r="BH112" s="43">
        <f t="shared" si="29"/>
        <v>0</v>
      </c>
      <c r="BI112" s="43">
        <f t="shared" si="28"/>
        <v>0</v>
      </c>
      <c r="BJ112" s="43">
        <f t="shared" si="28"/>
        <v>0</v>
      </c>
      <c r="BK112" s="43">
        <f t="shared" si="28"/>
        <v>0</v>
      </c>
      <c r="BL112" s="43">
        <f t="shared" si="28"/>
        <v>0</v>
      </c>
      <c r="BM112" s="43">
        <f t="shared" si="28"/>
        <v>0</v>
      </c>
      <c r="BN112" s="43">
        <f t="shared" si="28"/>
        <v>0</v>
      </c>
      <c r="BO112" s="43">
        <f t="shared" si="28"/>
        <v>0</v>
      </c>
      <c r="BP112" s="43">
        <f t="shared" si="28"/>
        <v>0</v>
      </c>
      <c r="BQ112" s="43">
        <f t="shared" si="28"/>
        <v>0</v>
      </c>
    </row>
    <row r="113" spans="3:69" ht="20.100000000000001" customHeight="1">
      <c r="C113" s="551"/>
      <c r="D113" s="552"/>
      <c r="E113" s="553"/>
      <c r="F113" s="554"/>
      <c r="G113" s="554"/>
      <c r="H113" s="554"/>
      <c r="I113" s="555"/>
      <c r="J113" s="556"/>
      <c r="K113" s="557"/>
      <c r="L113" s="558"/>
      <c r="M113" s="254"/>
      <c r="N113" s="255"/>
      <c r="O113" s="255"/>
      <c r="P113" s="87"/>
      <c r="Q113" s="87"/>
      <c r="R113" s="255"/>
      <c r="S113" s="255"/>
      <c r="T113" s="255"/>
      <c r="U113" s="255"/>
      <c r="V113" s="255"/>
      <c r="W113" s="87"/>
      <c r="X113" s="87"/>
      <c r="Y113" s="255"/>
      <c r="Z113" s="255"/>
      <c r="AA113" s="255"/>
      <c r="AB113" s="255"/>
      <c r="AC113" s="255"/>
      <c r="AD113" s="87"/>
      <c r="AE113" s="87"/>
      <c r="AF113" s="255"/>
      <c r="AG113" s="255"/>
      <c r="AH113" s="255"/>
      <c r="AI113" s="255"/>
      <c r="AJ113" s="255"/>
      <c r="AK113" s="87"/>
      <c r="AL113" s="87"/>
      <c r="AM113" s="255"/>
      <c r="AN113" s="255"/>
      <c r="AO113" s="255"/>
      <c r="AP113" s="255"/>
      <c r="AQ113" s="184"/>
      <c r="AS113" s="43">
        <f t="shared" si="29"/>
        <v>0</v>
      </c>
      <c r="AT113" s="43">
        <f t="shared" si="29"/>
        <v>0</v>
      </c>
      <c r="AU113" s="43">
        <f t="shared" si="29"/>
        <v>0</v>
      </c>
      <c r="AV113" s="43">
        <f t="shared" si="29"/>
        <v>0</v>
      </c>
      <c r="AW113" s="43">
        <f t="shared" si="29"/>
        <v>0</v>
      </c>
      <c r="AX113" s="43">
        <f t="shared" si="29"/>
        <v>0</v>
      </c>
      <c r="AY113" s="43">
        <f t="shared" si="29"/>
        <v>0</v>
      </c>
      <c r="AZ113" s="43">
        <f t="shared" si="29"/>
        <v>0</v>
      </c>
      <c r="BA113" s="43">
        <f t="shared" si="29"/>
        <v>0</v>
      </c>
      <c r="BB113" s="43">
        <f t="shared" si="29"/>
        <v>0</v>
      </c>
      <c r="BC113" s="43">
        <f t="shared" si="29"/>
        <v>0</v>
      </c>
      <c r="BD113" s="43">
        <f t="shared" si="29"/>
        <v>0</v>
      </c>
      <c r="BE113" s="43">
        <f t="shared" si="29"/>
        <v>0</v>
      </c>
      <c r="BF113" s="43">
        <f t="shared" si="29"/>
        <v>0</v>
      </c>
      <c r="BG113" s="43">
        <f t="shared" si="29"/>
        <v>0</v>
      </c>
      <c r="BH113" s="43">
        <f t="shared" si="29"/>
        <v>0</v>
      </c>
      <c r="BI113" s="43">
        <f t="shared" si="28"/>
        <v>0</v>
      </c>
      <c r="BJ113" s="43">
        <f t="shared" si="28"/>
        <v>0</v>
      </c>
      <c r="BK113" s="43">
        <f t="shared" si="28"/>
        <v>0</v>
      </c>
      <c r="BL113" s="43">
        <f t="shared" si="28"/>
        <v>0</v>
      </c>
      <c r="BM113" s="43">
        <f t="shared" si="28"/>
        <v>0</v>
      </c>
      <c r="BN113" s="43">
        <f t="shared" si="28"/>
        <v>0</v>
      </c>
      <c r="BO113" s="43">
        <f t="shared" si="28"/>
        <v>0</v>
      </c>
      <c r="BP113" s="43">
        <f t="shared" si="28"/>
        <v>0</v>
      </c>
      <c r="BQ113" s="43">
        <f t="shared" si="28"/>
        <v>0</v>
      </c>
    </row>
    <row r="114" spans="3:69" ht="20.100000000000001" customHeight="1">
      <c r="C114" s="551"/>
      <c r="D114" s="552"/>
      <c r="E114" s="553"/>
      <c r="F114" s="554"/>
      <c r="G114" s="554"/>
      <c r="H114" s="554"/>
      <c r="I114" s="555"/>
      <c r="J114" s="556"/>
      <c r="K114" s="557"/>
      <c r="L114" s="558"/>
      <c r="M114" s="254"/>
      <c r="N114" s="255"/>
      <c r="O114" s="255"/>
      <c r="P114" s="87"/>
      <c r="Q114" s="87"/>
      <c r="R114" s="255"/>
      <c r="S114" s="255"/>
      <c r="T114" s="255"/>
      <c r="U114" s="255"/>
      <c r="V114" s="255"/>
      <c r="W114" s="87"/>
      <c r="X114" s="87"/>
      <c r="Y114" s="255"/>
      <c r="Z114" s="255"/>
      <c r="AA114" s="255"/>
      <c r="AB114" s="255"/>
      <c r="AC114" s="255"/>
      <c r="AD114" s="87"/>
      <c r="AE114" s="87"/>
      <c r="AF114" s="255"/>
      <c r="AG114" s="255"/>
      <c r="AH114" s="255"/>
      <c r="AI114" s="255"/>
      <c r="AJ114" s="255"/>
      <c r="AK114" s="87"/>
      <c r="AL114" s="87"/>
      <c r="AM114" s="255"/>
      <c r="AN114" s="255"/>
      <c r="AO114" s="255"/>
      <c r="AP114" s="255"/>
      <c r="AQ114" s="184"/>
      <c r="AS114" s="43">
        <f t="shared" si="29"/>
        <v>0</v>
      </c>
      <c r="AT114" s="43">
        <f t="shared" si="29"/>
        <v>0</v>
      </c>
      <c r="AU114" s="43">
        <f t="shared" si="29"/>
        <v>0</v>
      </c>
      <c r="AV114" s="43">
        <f t="shared" si="29"/>
        <v>0</v>
      </c>
      <c r="AW114" s="43">
        <f t="shared" si="29"/>
        <v>0</v>
      </c>
      <c r="AX114" s="43">
        <f t="shared" si="29"/>
        <v>0</v>
      </c>
      <c r="AY114" s="43">
        <f t="shared" si="29"/>
        <v>0</v>
      </c>
      <c r="AZ114" s="43">
        <f t="shared" si="29"/>
        <v>0</v>
      </c>
      <c r="BA114" s="43">
        <f t="shared" si="29"/>
        <v>0</v>
      </c>
      <c r="BB114" s="43">
        <f t="shared" si="29"/>
        <v>0</v>
      </c>
      <c r="BC114" s="43">
        <f t="shared" si="29"/>
        <v>0</v>
      </c>
      <c r="BD114" s="43">
        <f t="shared" si="29"/>
        <v>0</v>
      </c>
      <c r="BE114" s="43">
        <f t="shared" si="29"/>
        <v>0</v>
      </c>
      <c r="BF114" s="43">
        <f t="shared" si="29"/>
        <v>0</v>
      </c>
      <c r="BG114" s="43">
        <f t="shared" si="29"/>
        <v>0</v>
      </c>
      <c r="BH114" s="43">
        <f t="shared" si="29"/>
        <v>0</v>
      </c>
      <c r="BI114" s="43">
        <f t="shared" si="28"/>
        <v>0</v>
      </c>
      <c r="BJ114" s="43">
        <f t="shared" si="28"/>
        <v>0</v>
      </c>
      <c r="BK114" s="43">
        <f t="shared" si="28"/>
        <v>0</v>
      </c>
      <c r="BL114" s="43">
        <f t="shared" si="28"/>
        <v>0</v>
      </c>
      <c r="BM114" s="43">
        <f t="shared" si="28"/>
        <v>0</v>
      </c>
      <c r="BN114" s="43">
        <f t="shared" si="28"/>
        <v>0</v>
      </c>
      <c r="BO114" s="43">
        <f t="shared" si="28"/>
        <v>0</v>
      </c>
      <c r="BP114" s="43">
        <f t="shared" si="28"/>
        <v>0</v>
      </c>
      <c r="BQ114" s="43">
        <f t="shared" si="28"/>
        <v>0</v>
      </c>
    </row>
    <row r="115" spans="3:69" ht="20.100000000000001" customHeight="1">
      <c r="C115" s="551"/>
      <c r="D115" s="552"/>
      <c r="E115" s="553"/>
      <c r="F115" s="554"/>
      <c r="G115" s="554"/>
      <c r="H115" s="554"/>
      <c r="I115" s="555"/>
      <c r="J115" s="556"/>
      <c r="K115" s="557"/>
      <c r="L115" s="558"/>
      <c r="M115" s="254"/>
      <c r="N115" s="255"/>
      <c r="O115" s="255"/>
      <c r="P115" s="87"/>
      <c r="Q115" s="87"/>
      <c r="R115" s="255"/>
      <c r="S115" s="255"/>
      <c r="T115" s="255"/>
      <c r="U115" s="255"/>
      <c r="V115" s="255"/>
      <c r="W115" s="87"/>
      <c r="X115" s="87"/>
      <c r="Y115" s="255"/>
      <c r="Z115" s="255"/>
      <c r="AA115" s="255"/>
      <c r="AB115" s="255"/>
      <c r="AC115" s="255"/>
      <c r="AD115" s="87"/>
      <c r="AE115" s="87"/>
      <c r="AF115" s="255"/>
      <c r="AG115" s="255"/>
      <c r="AH115" s="255"/>
      <c r="AI115" s="255"/>
      <c r="AJ115" s="255"/>
      <c r="AK115" s="87"/>
      <c r="AL115" s="87"/>
      <c r="AM115" s="255"/>
      <c r="AN115" s="255"/>
      <c r="AO115" s="255"/>
      <c r="AP115" s="255"/>
      <c r="AQ115" s="184"/>
      <c r="AS115" s="43">
        <f t="shared" si="29"/>
        <v>0</v>
      </c>
      <c r="AT115" s="43">
        <f t="shared" si="29"/>
        <v>0</v>
      </c>
      <c r="AU115" s="43">
        <f t="shared" si="29"/>
        <v>0</v>
      </c>
      <c r="AV115" s="43">
        <f t="shared" si="29"/>
        <v>0</v>
      </c>
      <c r="AW115" s="43">
        <f t="shared" si="29"/>
        <v>0</v>
      </c>
      <c r="AX115" s="43">
        <f t="shared" si="29"/>
        <v>0</v>
      </c>
      <c r="AY115" s="43">
        <f t="shared" si="29"/>
        <v>0</v>
      </c>
      <c r="AZ115" s="43">
        <f t="shared" si="29"/>
        <v>0</v>
      </c>
      <c r="BA115" s="43">
        <f t="shared" si="29"/>
        <v>0</v>
      </c>
      <c r="BB115" s="43">
        <f t="shared" si="29"/>
        <v>0</v>
      </c>
      <c r="BC115" s="43">
        <f t="shared" si="29"/>
        <v>0</v>
      </c>
      <c r="BD115" s="43">
        <f t="shared" si="29"/>
        <v>0</v>
      </c>
      <c r="BE115" s="43">
        <f t="shared" si="29"/>
        <v>0</v>
      </c>
      <c r="BF115" s="43">
        <f t="shared" si="29"/>
        <v>0</v>
      </c>
      <c r="BG115" s="43">
        <f t="shared" si="29"/>
        <v>0</v>
      </c>
      <c r="BH115" s="43">
        <f t="shared" ref="BH115:BQ130" si="32">COUNTIFS($M115:$AQ115,BH$2)</f>
        <v>0</v>
      </c>
      <c r="BI115" s="43">
        <f t="shared" si="32"/>
        <v>0</v>
      </c>
      <c r="BJ115" s="43">
        <f t="shared" si="32"/>
        <v>0</v>
      </c>
      <c r="BK115" s="43">
        <f t="shared" si="32"/>
        <v>0</v>
      </c>
      <c r="BL115" s="43">
        <f t="shared" si="32"/>
        <v>0</v>
      </c>
      <c r="BM115" s="43">
        <f t="shared" si="32"/>
        <v>0</v>
      </c>
      <c r="BN115" s="43">
        <f t="shared" si="32"/>
        <v>0</v>
      </c>
      <c r="BO115" s="43">
        <f t="shared" si="32"/>
        <v>0</v>
      </c>
      <c r="BP115" s="43">
        <f t="shared" si="32"/>
        <v>0</v>
      </c>
      <c r="BQ115" s="43">
        <f t="shared" si="32"/>
        <v>0</v>
      </c>
    </row>
    <row r="116" spans="3:69" ht="20.100000000000001" customHeight="1">
      <c r="C116" s="551"/>
      <c r="D116" s="552"/>
      <c r="E116" s="553"/>
      <c r="F116" s="554"/>
      <c r="G116" s="554"/>
      <c r="H116" s="554"/>
      <c r="I116" s="555"/>
      <c r="J116" s="556"/>
      <c r="K116" s="557"/>
      <c r="L116" s="558"/>
      <c r="M116" s="254"/>
      <c r="N116" s="255"/>
      <c r="O116" s="255"/>
      <c r="P116" s="87"/>
      <c r="Q116" s="87"/>
      <c r="R116" s="255"/>
      <c r="S116" s="255"/>
      <c r="T116" s="255"/>
      <c r="U116" s="255"/>
      <c r="V116" s="255"/>
      <c r="W116" s="87"/>
      <c r="X116" s="87"/>
      <c r="Y116" s="255"/>
      <c r="Z116" s="255"/>
      <c r="AA116" s="255"/>
      <c r="AB116" s="255"/>
      <c r="AC116" s="255"/>
      <c r="AD116" s="87"/>
      <c r="AE116" s="87"/>
      <c r="AF116" s="255"/>
      <c r="AG116" s="255"/>
      <c r="AH116" s="255"/>
      <c r="AI116" s="255"/>
      <c r="AJ116" s="255"/>
      <c r="AK116" s="87"/>
      <c r="AL116" s="87"/>
      <c r="AM116" s="255"/>
      <c r="AN116" s="255"/>
      <c r="AO116" s="255"/>
      <c r="AP116" s="255"/>
      <c r="AQ116" s="184"/>
      <c r="AS116" s="43">
        <f t="shared" ref="AS116:BH131" si="33">COUNTIFS($M116:$AQ116,AS$2)</f>
        <v>0</v>
      </c>
      <c r="AT116" s="43">
        <f t="shared" si="33"/>
        <v>0</v>
      </c>
      <c r="AU116" s="43">
        <f t="shared" si="33"/>
        <v>0</v>
      </c>
      <c r="AV116" s="43">
        <f t="shared" si="33"/>
        <v>0</v>
      </c>
      <c r="AW116" s="43">
        <f t="shared" si="33"/>
        <v>0</v>
      </c>
      <c r="AX116" s="43">
        <f t="shared" si="33"/>
        <v>0</v>
      </c>
      <c r="AY116" s="43">
        <f t="shared" si="33"/>
        <v>0</v>
      </c>
      <c r="AZ116" s="43">
        <f t="shared" si="33"/>
        <v>0</v>
      </c>
      <c r="BA116" s="43">
        <f t="shared" si="33"/>
        <v>0</v>
      </c>
      <c r="BB116" s="43">
        <f t="shared" si="33"/>
        <v>0</v>
      </c>
      <c r="BC116" s="43">
        <f t="shared" si="33"/>
        <v>0</v>
      </c>
      <c r="BD116" s="43">
        <f t="shared" si="33"/>
        <v>0</v>
      </c>
      <c r="BE116" s="43">
        <f t="shared" si="33"/>
        <v>0</v>
      </c>
      <c r="BF116" s="43">
        <f t="shared" si="33"/>
        <v>0</v>
      </c>
      <c r="BG116" s="43">
        <f t="shared" si="33"/>
        <v>0</v>
      </c>
      <c r="BH116" s="43">
        <f t="shared" si="33"/>
        <v>0</v>
      </c>
      <c r="BI116" s="43">
        <f t="shared" si="32"/>
        <v>0</v>
      </c>
      <c r="BJ116" s="43">
        <f t="shared" si="32"/>
        <v>0</v>
      </c>
      <c r="BK116" s="43">
        <f t="shared" si="32"/>
        <v>0</v>
      </c>
      <c r="BL116" s="43">
        <f t="shared" si="32"/>
        <v>0</v>
      </c>
      <c r="BM116" s="43">
        <f t="shared" si="32"/>
        <v>0</v>
      </c>
      <c r="BN116" s="43">
        <f t="shared" si="32"/>
        <v>0</v>
      </c>
      <c r="BO116" s="43">
        <f t="shared" si="32"/>
        <v>0</v>
      </c>
      <c r="BP116" s="43">
        <f t="shared" si="32"/>
        <v>0</v>
      </c>
      <c r="BQ116" s="43">
        <f t="shared" si="32"/>
        <v>0</v>
      </c>
    </row>
    <row r="117" spans="3:69" ht="20.100000000000001" customHeight="1">
      <c r="C117" s="551"/>
      <c r="D117" s="552"/>
      <c r="E117" s="553"/>
      <c r="F117" s="554"/>
      <c r="G117" s="554"/>
      <c r="H117" s="554"/>
      <c r="I117" s="555"/>
      <c r="J117" s="556"/>
      <c r="K117" s="557"/>
      <c r="L117" s="558"/>
      <c r="M117" s="254"/>
      <c r="N117" s="255"/>
      <c r="O117" s="255"/>
      <c r="P117" s="87"/>
      <c r="Q117" s="87"/>
      <c r="R117" s="255"/>
      <c r="S117" s="255"/>
      <c r="T117" s="255"/>
      <c r="U117" s="255"/>
      <c r="V117" s="255"/>
      <c r="W117" s="87"/>
      <c r="X117" s="87"/>
      <c r="Y117" s="255"/>
      <c r="Z117" s="255"/>
      <c r="AA117" s="255"/>
      <c r="AB117" s="255"/>
      <c r="AC117" s="255"/>
      <c r="AD117" s="87"/>
      <c r="AE117" s="87"/>
      <c r="AF117" s="255"/>
      <c r="AG117" s="255"/>
      <c r="AH117" s="255"/>
      <c r="AI117" s="255"/>
      <c r="AJ117" s="255"/>
      <c r="AK117" s="87"/>
      <c r="AL117" s="87"/>
      <c r="AM117" s="255"/>
      <c r="AN117" s="255"/>
      <c r="AO117" s="255"/>
      <c r="AP117" s="255"/>
      <c r="AQ117" s="184"/>
      <c r="AS117" s="43">
        <f t="shared" si="33"/>
        <v>0</v>
      </c>
      <c r="AT117" s="43">
        <f t="shared" si="33"/>
        <v>0</v>
      </c>
      <c r="AU117" s="43">
        <f t="shared" si="33"/>
        <v>0</v>
      </c>
      <c r="AV117" s="43">
        <f t="shared" si="33"/>
        <v>0</v>
      </c>
      <c r="AW117" s="43">
        <f t="shared" si="33"/>
        <v>0</v>
      </c>
      <c r="AX117" s="43">
        <f t="shared" si="33"/>
        <v>0</v>
      </c>
      <c r="AY117" s="43">
        <f t="shared" si="33"/>
        <v>0</v>
      </c>
      <c r="AZ117" s="43">
        <f t="shared" si="33"/>
        <v>0</v>
      </c>
      <c r="BA117" s="43">
        <f t="shared" si="33"/>
        <v>0</v>
      </c>
      <c r="BB117" s="43">
        <f t="shared" si="33"/>
        <v>0</v>
      </c>
      <c r="BC117" s="43">
        <f t="shared" si="33"/>
        <v>0</v>
      </c>
      <c r="BD117" s="43">
        <f t="shared" si="33"/>
        <v>0</v>
      </c>
      <c r="BE117" s="43">
        <f t="shared" si="33"/>
        <v>0</v>
      </c>
      <c r="BF117" s="43">
        <f t="shared" si="33"/>
        <v>0</v>
      </c>
      <c r="BG117" s="43">
        <f t="shared" si="33"/>
        <v>0</v>
      </c>
      <c r="BH117" s="43">
        <f t="shared" si="33"/>
        <v>0</v>
      </c>
      <c r="BI117" s="43">
        <f t="shared" si="32"/>
        <v>0</v>
      </c>
      <c r="BJ117" s="43">
        <f t="shared" si="32"/>
        <v>0</v>
      </c>
      <c r="BK117" s="43">
        <f t="shared" si="32"/>
        <v>0</v>
      </c>
      <c r="BL117" s="43">
        <f t="shared" si="32"/>
        <v>0</v>
      </c>
      <c r="BM117" s="43">
        <f t="shared" si="32"/>
        <v>0</v>
      </c>
      <c r="BN117" s="43">
        <f t="shared" si="32"/>
        <v>0</v>
      </c>
      <c r="BO117" s="43">
        <f t="shared" si="32"/>
        <v>0</v>
      </c>
      <c r="BP117" s="43">
        <f t="shared" si="32"/>
        <v>0</v>
      </c>
      <c r="BQ117" s="43">
        <f t="shared" si="32"/>
        <v>0</v>
      </c>
    </row>
    <row r="118" spans="3:69" ht="20.100000000000001" customHeight="1">
      <c r="C118" s="551"/>
      <c r="D118" s="552"/>
      <c r="E118" s="553"/>
      <c r="F118" s="554"/>
      <c r="G118" s="554"/>
      <c r="H118" s="554"/>
      <c r="I118" s="555"/>
      <c r="J118" s="556"/>
      <c r="K118" s="557"/>
      <c r="L118" s="558"/>
      <c r="M118" s="254"/>
      <c r="N118" s="255"/>
      <c r="O118" s="255"/>
      <c r="P118" s="87"/>
      <c r="Q118" s="87"/>
      <c r="R118" s="255"/>
      <c r="S118" s="255"/>
      <c r="T118" s="255"/>
      <c r="U118" s="255"/>
      <c r="V118" s="255"/>
      <c r="W118" s="87"/>
      <c r="X118" s="87"/>
      <c r="Y118" s="255"/>
      <c r="Z118" s="255"/>
      <c r="AA118" s="255"/>
      <c r="AB118" s="255"/>
      <c r="AC118" s="255"/>
      <c r="AD118" s="87"/>
      <c r="AE118" s="87"/>
      <c r="AF118" s="255"/>
      <c r="AG118" s="255"/>
      <c r="AH118" s="255"/>
      <c r="AI118" s="255"/>
      <c r="AJ118" s="255"/>
      <c r="AK118" s="87"/>
      <c r="AL118" s="87"/>
      <c r="AM118" s="255"/>
      <c r="AN118" s="255"/>
      <c r="AO118" s="255"/>
      <c r="AP118" s="255"/>
      <c r="AQ118" s="184"/>
      <c r="AS118" s="43">
        <f t="shared" si="33"/>
        <v>0</v>
      </c>
      <c r="AT118" s="43">
        <f t="shared" si="33"/>
        <v>0</v>
      </c>
      <c r="AU118" s="43">
        <f t="shared" si="33"/>
        <v>0</v>
      </c>
      <c r="AV118" s="43">
        <f t="shared" si="33"/>
        <v>0</v>
      </c>
      <c r="AW118" s="43">
        <f t="shared" si="33"/>
        <v>0</v>
      </c>
      <c r="AX118" s="43">
        <f t="shared" si="33"/>
        <v>0</v>
      </c>
      <c r="AY118" s="43">
        <f t="shared" si="33"/>
        <v>0</v>
      </c>
      <c r="AZ118" s="43">
        <f t="shared" si="33"/>
        <v>0</v>
      </c>
      <c r="BA118" s="43">
        <f t="shared" si="33"/>
        <v>0</v>
      </c>
      <c r="BB118" s="43">
        <f t="shared" si="33"/>
        <v>0</v>
      </c>
      <c r="BC118" s="43">
        <f t="shared" si="33"/>
        <v>0</v>
      </c>
      <c r="BD118" s="43">
        <f t="shared" si="33"/>
        <v>0</v>
      </c>
      <c r="BE118" s="43">
        <f t="shared" si="33"/>
        <v>0</v>
      </c>
      <c r="BF118" s="43">
        <f t="shared" si="33"/>
        <v>0</v>
      </c>
      <c r="BG118" s="43">
        <f t="shared" si="33"/>
        <v>0</v>
      </c>
      <c r="BH118" s="43">
        <f t="shared" si="33"/>
        <v>0</v>
      </c>
      <c r="BI118" s="43">
        <f t="shared" si="32"/>
        <v>0</v>
      </c>
      <c r="BJ118" s="43">
        <f t="shared" si="32"/>
        <v>0</v>
      </c>
      <c r="BK118" s="43">
        <f t="shared" si="32"/>
        <v>0</v>
      </c>
      <c r="BL118" s="43">
        <f t="shared" si="32"/>
        <v>0</v>
      </c>
      <c r="BM118" s="43">
        <f t="shared" si="32"/>
        <v>0</v>
      </c>
      <c r="BN118" s="43">
        <f t="shared" si="32"/>
        <v>0</v>
      </c>
      <c r="BO118" s="43">
        <f t="shared" si="32"/>
        <v>0</v>
      </c>
      <c r="BP118" s="43">
        <f t="shared" si="32"/>
        <v>0</v>
      </c>
      <c r="BQ118" s="43">
        <f t="shared" si="32"/>
        <v>0</v>
      </c>
    </row>
    <row r="119" spans="3:69" ht="20.100000000000001" customHeight="1">
      <c r="C119" s="551"/>
      <c r="D119" s="552"/>
      <c r="E119" s="553"/>
      <c r="F119" s="554"/>
      <c r="G119" s="554"/>
      <c r="H119" s="554"/>
      <c r="I119" s="555"/>
      <c r="J119" s="556"/>
      <c r="K119" s="557"/>
      <c r="L119" s="558"/>
      <c r="M119" s="254"/>
      <c r="N119" s="255"/>
      <c r="O119" s="255"/>
      <c r="P119" s="87"/>
      <c r="Q119" s="87"/>
      <c r="R119" s="255"/>
      <c r="S119" s="255"/>
      <c r="T119" s="255"/>
      <c r="U119" s="255"/>
      <c r="V119" s="255"/>
      <c r="W119" s="87"/>
      <c r="X119" s="87"/>
      <c r="Y119" s="255"/>
      <c r="Z119" s="255"/>
      <c r="AA119" s="255"/>
      <c r="AB119" s="255"/>
      <c r="AC119" s="255"/>
      <c r="AD119" s="87"/>
      <c r="AE119" s="87"/>
      <c r="AF119" s="255"/>
      <c r="AG119" s="255"/>
      <c r="AH119" s="255"/>
      <c r="AI119" s="255"/>
      <c r="AJ119" s="255"/>
      <c r="AK119" s="87"/>
      <c r="AL119" s="87"/>
      <c r="AM119" s="255"/>
      <c r="AN119" s="255"/>
      <c r="AO119" s="255"/>
      <c r="AP119" s="255"/>
      <c r="AQ119" s="184"/>
      <c r="AS119" s="43">
        <f t="shared" si="33"/>
        <v>0</v>
      </c>
      <c r="AT119" s="43">
        <f t="shared" si="33"/>
        <v>0</v>
      </c>
      <c r="AU119" s="43">
        <f t="shared" si="33"/>
        <v>0</v>
      </c>
      <c r="AV119" s="43">
        <f t="shared" si="33"/>
        <v>0</v>
      </c>
      <c r="AW119" s="43">
        <f t="shared" si="33"/>
        <v>0</v>
      </c>
      <c r="AX119" s="43">
        <f t="shared" si="33"/>
        <v>0</v>
      </c>
      <c r="AY119" s="43">
        <f t="shared" si="33"/>
        <v>0</v>
      </c>
      <c r="AZ119" s="43">
        <f t="shared" si="33"/>
        <v>0</v>
      </c>
      <c r="BA119" s="43">
        <f t="shared" si="33"/>
        <v>0</v>
      </c>
      <c r="BB119" s="43">
        <f t="shared" si="33"/>
        <v>0</v>
      </c>
      <c r="BC119" s="43">
        <f t="shared" si="33"/>
        <v>0</v>
      </c>
      <c r="BD119" s="43">
        <f t="shared" si="33"/>
        <v>0</v>
      </c>
      <c r="BE119" s="43">
        <f t="shared" si="33"/>
        <v>0</v>
      </c>
      <c r="BF119" s="43">
        <f t="shared" si="33"/>
        <v>0</v>
      </c>
      <c r="BG119" s="43">
        <f t="shared" si="33"/>
        <v>0</v>
      </c>
      <c r="BH119" s="43">
        <f t="shared" si="33"/>
        <v>0</v>
      </c>
      <c r="BI119" s="43">
        <f t="shared" si="32"/>
        <v>0</v>
      </c>
      <c r="BJ119" s="43">
        <f t="shared" si="32"/>
        <v>0</v>
      </c>
      <c r="BK119" s="43">
        <f t="shared" si="32"/>
        <v>0</v>
      </c>
      <c r="BL119" s="43">
        <f t="shared" si="32"/>
        <v>0</v>
      </c>
      <c r="BM119" s="43">
        <f t="shared" si="32"/>
        <v>0</v>
      </c>
      <c r="BN119" s="43">
        <f t="shared" si="32"/>
        <v>0</v>
      </c>
      <c r="BO119" s="43">
        <f t="shared" si="32"/>
        <v>0</v>
      </c>
      <c r="BP119" s="43">
        <f t="shared" si="32"/>
        <v>0</v>
      </c>
      <c r="BQ119" s="43">
        <f t="shared" si="32"/>
        <v>0</v>
      </c>
    </row>
    <row r="120" spans="3:69" ht="20.100000000000001" customHeight="1">
      <c r="C120" s="581"/>
      <c r="D120" s="582"/>
      <c r="E120" s="583"/>
      <c r="F120" s="584"/>
      <c r="G120" s="584"/>
      <c r="H120" s="584"/>
      <c r="I120" s="585"/>
      <c r="J120" s="586"/>
      <c r="K120" s="587"/>
      <c r="L120" s="588"/>
      <c r="M120" s="258"/>
      <c r="N120" s="259"/>
      <c r="O120" s="259"/>
      <c r="P120" s="77"/>
      <c r="Q120" s="77"/>
      <c r="R120" s="259"/>
      <c r="S120" s="259"/>
      <c r="T120" s="259"/>
      <c r="U120" s="259"/>
      <c r="V120" s="259"/>
      <c r="W120" s="77"/>
      <c r="X120" s="77"/>
      <c r="Y120" s="259"/>
      <c r="Z120" s="259"/>
      <c r="AA120" s="259"/>
      <c r="AB120" s="259"/>
      <c r="AC120" s="259"/>
      <c r="AD120" s="77"/>
      <c r="AE120" s="77"/>
      <c r="AF120" s="259"/>
      <c r="AG120" s="259"/>
      <c r="AH120" s="259"/>
      <c r="AI120" s="259"/>
      <c r="AJ120" s="259"/>
      <c r="AK120" s="77"/>
      <c r="AL120" s="77"/>
      <c r="AM120" s="259"/>
      <c r="AN120" s="259"/>
      <c r="AO120" s="259"/>
      <c r="AP120" s="259"/>
      <c r="AQ120" s="185"/>
      <c r="AS120" s="43">
        <f t="shared" si="33"/>
        <v>0</v>
      </c>
      <c r="AT120" s="43">
        <f t="shared" si="33"/>
        <v>0</v>
      </c>
      <c r="AU120" s="43">
        <f t="shared" si="33"/>
        <v>0</v>
      </c>
      <c r="AV120" s="43">
        <f t="shared" si="33"/>
        <v>0</v>
      </c>
      <c r="AW120" s="43">
        <f t="shared" si="33"/>
        <v>0</v>
      </c>
      <c r="AX120" s="43">
        <f t="shared" si="33"/>
        <v>0</v>
      </c>
      <c r="AY120" s="43">
        <f t="shared" si="33"/>
        <v>0</v>
      </c>
      <c r="AZ120" s="43">
        <f t="shared" si="33"/>
        <v>0</v>
      </c>
      <c r="BA120" s="43">
        <f t="shared" si="33"/>
        <v>0</v>
      </c>
      <c r="BB120" s="43">
        <f t="shared" si="33"/>
        <v>0</v>
      </c>
      <c r="BC120" s="43">
        <f t="shared" si="33"/>
        <v>0</v>
      </c>
      <c r="BD120" s="43">
        <f t="shared" si="33"/>
        <v>0</v>
      </c>
      <c r="BE120" s="43">
        <f t="shared" si="33"/>
        <v>0</v>
      </c>
      <c r="BF120" s="43">
        <f t="shared" si="33"/>
        <v>0</v>
      </c>
      <c r="BG120" s="43">
        <f t="shared" si="33"/>
        <v>0</v>
      </c>
      <c r="BH120" s="43">
        <f t="shared" si="33"/>
        <v>0</v>
      </c>
      <c r="BI120" s="43">
        <f t="shared" si="32"/>
        <v>0</v>
      </c>
      <c r="BJ120" s="43">
        <f t="shared" si="32"/>
        <v>0</v>
      </c>
      <c r="BK120" s="43">
        <f t="shared" si="32"/>
        <v>0</v>
      </c>
      <c r="BL120" s="43">
        <f t="shared" si="32"/>
        <v>0</v>
      </c>
      <c r="BM120" s="43">
        <f t="shared" si="32"/>
        <v>0</v>
      </c>
      <c r="BN120" s="43">
        <f t="shared" si="32"/>
        <v>0</v>
      </c>
      <c r="BO120" s="43">
        <f t="shared" si="32"/>
        <v>0</v>
      </c>
      <c r="BP120" s="43">
        <f t="shared" si="32"/>
        <v>0</v>
      </c>
      <c r="BQ120" s="43">
        <f t="shared" si="32"/>
        <v>0</v>
      </c>
    </row>
    <row r="121" spans="3:69" ht="20.100000000000001" hidden="1" customHeight="1">
      <c r="M121">
        <f>DTCHK(M107,YK!$J$3:$J$52)</f>
        <v>0</v>
      </c>
      <c r="N121">
        <f>DTCHK(N107,YK!$J$3:$J$52)</f>
        <v>0</v>
      </c>
      <c r="O121">
        <f>DTCHK(O107,YK!$J$3:$J$52)</f>
        <v>0</v>
      </c>
      <c r="P121">
        <f>DTCHK(P107,YK!$J$3:$J$52)</f>
        <v>0</v>
      </c>
      <c r="Q121">
        <f>DTCHK(Q107,YK!$J$3:$J$52)</f>
        <v>0</v>
      </c>
      <c r="R121">
        <f>DTCHK(R107,YK!$J$3:$J$52)</f>
        <v>0</v>
      </c>
      <c r="S121">
        <f>DTCHK(S107,YK!$J$3:$J$52)</f>
        <v>0</v>
      </c>
      <c r="T121">
        <f>DTCHK(T107,YK!$J$3:$J$52)</f>
        <v>0</v>
      </c>
      <c r="U121">
        <f>DTCHK(U107,YK!$J$3:$J$52)</f>
        <v>0</v>
      </c>
      <c r="V121">
        <f>DTCHK(V107,YK!$J$3:$J$52)</f>
        <v>0</v>
      </c>
      <c r="W121">
        <f>DTCHK(W107,YK!$J$3:$J$52)</f>
        <v>0</v>
      </c>
      <c r="X121">
        <f>DTCHK(X107,YK!$J$3:$J$52)</f>
        <v>0</v>
      </c>
      <c r="Y121">
        <f>DTCHK(Y107,YK!$J$3:$J$52)</f>
        <v>0</v>
      </c>
      <c r="Z121">
        <f>DTCHK(Z107,YK!$J$3:$J$52)</f>
        <v>0</v>
      </c>
      <c r="AA121">
        <f>DTCHK(AA107,YK!$J$3:$J$52)</f>
        <v>0</v>
      </c>
      <c r="AB121">
        <f>DTCHK(AB107,YK!$J$3:$J$52)</f>
        <v>0</v>
      </c>
      <c r="AC121">
        <f>DTCHK(AC107,YK!$J$3:$J$52)</f>
        <v>0</v>
      </c>
      <c r="AD121">
        <f>DTCHK(AD107,YK!$J$3:$J$52)</f>
        <v>0</v>
      </c>
      <c r="AE121">
        <f>DTCHK(AE107,YK!$J$3:$J$52)</f>
        <v>0</v>
      </c>
      <c r="AF121">
        <f>DTCHK(AF107,YK!$J$3:$J$52)</f>
        <v>0</v>
      </c>
      <c r="AG121">
        <f>DTCHK(AG107,YK!$J$3:$J$52)</f>
        <v>0</v>
      </c>
      <c r="AH121">
        <f>DTCHK(AH107,YK!$J$3:$J$52)</f>
        <v>0</v>
      </c>
      <c r="AI121">
        <f>DTCHK(AI107,YK!$J$3:$J$52)</f>
        <v>0</v>
      </c>
      <c r="AJ121">
        <f>DTCHK(AJ107,YK!$J$3:$J$52)</f>
        <v>0</v>
      </c>
      <c r="AK121">
        <f>DTCHK(AK107,YK!$J$3:$J$52)</f>
        <v>0</v>
      </c>
      <c r="AL121">
        <f>DTCHK(AL107,YK!$J$3:$J$52)</f>
        <v>0</v>
      </c>
      <c r="AM121">
        <f>DTCHK(AM107,YK!$J$3:$J$52)</f>
        <v>0</v>
      </c>
      <c r="AN121">
        <f>DTCHK(AN107,YK!$J$3:$J$52)</f>
        <v>0</v>
      </c>
      <c r="AO121">
        <f>DTCHK(AO107,YK!$J$3:$J$52)</f>
        <v>0</v>
      </c>
      <c r="AP121">
        <f>DTCHK(AP107,YK!$J$3:$J$52)</f>
        <v>0</v>
      </c>
      <c r="AQ121">
        <f>DTCHK(AQ107,YK!$J$3:$J$52)</f>
        <v>0</v>
      </c>
      <c r="AS121" s="43">
        <f t="shared" si="33"/>
        <v>0</v>
      </c>
      <c r="AT121" s="43">
        <f t="shared" si="33"/>
        <v>0</v>
      </c>
      <c r="AU121" s="43">
        <f t="shared" si="33"/>
        <v>0</v>
      </c>
      <c r="AV121" s="43">
        <f t="shared" si="33"/>
        <v>0</v>
      </c>
      <c r="AW121" s="43">
        <f t="shared" si="33"/>
        <v>0</v>
      </c>
      <c r="AX121" s="43">
        <f t="shared" si="33"/>
        <v>0</v>
      </c>
      <c r="AY121" s="43">
        <f t="shared" si="33"/>
        <v>0</v>
      </c>
      <c r="AZ121" s="43">
        <f t="shared" si="33"/>
        <v>0</v>
      </c>
      <c r="BA121" s="43">
        <f t="shared" si="33"/>
        <v>0</v>
      </c>
      <c r="BB121" s="43">
        <f t="shared" si="33"/>
        <v>0</v>
      </c>
      <c r="BC121" s="43">
        <f t="shared" si="33"/>
        <v>0</v>
      </c>
      <c r="BD121" s="43">
        <f t="shared" si="33"/>
        <v>0</v>
      </c>
      <c r="BE121" s="43">
        <f t="shared" si="33"/>
        <v>31</v>
      </c>
      <c r="BF121" s="43">
        <f t="shared" si="33"/>
        <v>31</v>
      </c>
      <c r="BG121" s="43">
        <f t="shared" si="33"/>
        <v>31</v>
      </c>
      <c r="BH121" s="43">
        <f t="shared" si="33"/>
        <v>31</v>
      </c>
      <c r="BI121" s="43">
        <f t="shared" si="32"/>
        <v>31</v>
      </c>
      <c r="BJ121" s="43">
        <f t="shared" si="32"/>
        <v>0</v>
      </c>
      <c r="BK121" s="43">
        <f t="shared" si="32"/>
        <v>31</v>
      </c>
      <c r="BL121" s="43">
        <f t="shared" si="32"/>
        <v>31</v>
      </c>
      <c r="BM121" s="43">
        <f t="shared" si="32"/>
        <v>31</v>
      </c>
      <c r="BN121" s="43">
        <f t="shared" si="32"/>
        <v>0</v>
      </c>
      <c r="BO121" s="43">
        <f t="shared" si="32"/>
        <v>0</v>
      </c>
      <c r="BP121" s="43">
        <f t="shared" si="32"/>
        <v>0</v>
      </c>
      <c r="BQ121" s="43">
        <f t="shared" si="32"/>
        <v>31</v>
      </c>
    </row>
    <row r="122" spans="3:69" ht="20.100000000000001" customHeight="1">
      <c r="C122" s="539" t="str">
        <f ca="1">Lists!F8</f>
        <v>Sierpień</v>
      </c>
      <c r="D122" s="540"/>
      <c r="E122" s="540"/>
      <c r="F122" s="540"/>
      <c r="G122" s="541"/>
    </row>
    <row r="123" spans="3:69" ht="20.100000000000001" customHeight="1">
      <c r="C123" s="542"/>
      <c r="D123" s="543"/>
      <c r="E123" s="543"/>
      <c r="F123" s="543"/>
      <c r="G123" s="544"/>
    </row>
    <row r="124" spans="3:69" ht="20.100000000000001" hidden="1" customHeight="1">
      <c r="C124" s="31"/>
      <c r="D124" s="32"/>
      <c r="E124" s="32"/>
      <c r="F124" s="32"/>
      <c r="G124" s="32"/>
      <c r="M124" s="10">
        <f>M107+31</f>
        <v>46235</v>
      </c>
      <c r="N124" s="10">
        <f>M124+1</f>
        <v>46236</v>
      </c>
      <c r="O124" s="10">
        <f t="shared" ref="O124:AQ124" si="34">N124+1</f>
        <v>46237</v>
      </c>
      <c r="P124" s="10">
        <f t="shared" si="34"/>
        <v>46238</v>
      </c>
      <c r="Q124" s="10">
        <f t="shared" si="34"/>
        <v>46239</v>
      </c>
      <c r="R124" s="10">
        <f t="shared" si="34"/>
        <v>46240</v>
      </c>
      <c r="S124" s="10">
        <f t="shared" si="34"/>
        <v>46241</v>
      </c>
      <c r="T124" s="10">
        <f t="shared" si="34"/>
        <v>46242</v>
      </c>
      <c r="U124" s="10">
        <f t="shared" si="34"/>
        <v>46243</v>
      </c>
      <c r="V124" s="10">
        <f t="shared" si="34"/>
        <v>46244</v>
      </c>
      <c r="W124" s="10">
        <f t="shared" si="34"/>
        <v>46245</v>
      </c>
      <c r="X124" s="10">
        <f t="shared" si="34"/>
        <v>46246</v>
      </c>
      <c r="Y124" s="10">
        <f t="shared" si="34"/>
        <v>46247</v>
      </c>
      <c r="Z124" s="10">
        <f t="shared" si="34"/>
        <v>46248</v>
      </c>
      <c r="AA124" s="10">
        <f t="shared" si="34"/>
        <v>46249</v>
      </c>
      <c r="AB124" s="10">
        <f t="shared" si="34"/>
        <v>46250</v>
      </c>
      <c r="AC124" s="10">
        <f t="shared" si="34"/>
        <v>46251</v>
      </c>
      <c r="AD124" s="10">
        <f t="shared" si="34"/>
        <v>46252</v>
      </c>
      <c r="AE124" s="10">
        <f t="shared" si="34"/>
        <v>46253</v>
      </c>
      <c r="AF124" s="10">
        <f t="shared" si="34"/>
        <v>46254</v>
      </c>
      <c r="AG124" s="10">
        <f t="shared" si="34"/>
        <v>46255</v>
      </c>
      <c r="AH124" s="10">
        <f t="shared" si="34"/>
        <v>46256</v>
      </c>
      <c r="AI124" s="10">
        <f t="shared" si="34"/>
        <v>46257</v>
      </c>
      <c r="AJ124" s="10">
        <f t="shared" si="34"/>
        <v>46258</v>
      </c>
      <c r="AK124" s="10">
        <f t="shared" si="34"/>
        <v>46259</v>
      </c>
      <c r="AL124" s="10">
        <f t="shared" si="34"/>
        <v>46260</v>
      </c>
      <c r="AM124" s="10">
        <f t="shared" si="34"/>
        <v>46261</v>
      </c>
      <c r="AN124" s="10">
        <f t="shared" si="34"/>
        <v>46262</v>
      </c>
      <c r="AO124" s="10">
        <f t="shared" si="34"/>
        <v>46263</v>
      </c>
      <c r="AP124" s="10">
        <f t="shared" si="34"/>
        <v>46264</v>
      </c>
      <c r="AQ124" s="10">
        <f t="shared" si="34"/>
        <v>46265</v>
      </c>
    </row>
    <row r="125" spans="3:69" ht="20.100000000000001" hidden="1" customHeight="1">
      <c r="C125" s="31"/>
      <c r="D125" s="32"/>
      <c r="E125" s="32"/>
      <c r="F125" s="32"/>
      <c r="G125" s="32"/>
      <c r="M125">
        <f>WEEKDAY(M124,2)</f>
        <v>6</v>
      </c>
      <c r="N125">
        <f t="shared" ref="N125:AQ125" si="35">WEEKDAY(N124,2)</f>
        <v>7</v>
      </c>
      <c r="O125">
        <f t="shared" si="35"/>
        <v>1</v>
      </c>
      <c r="P125">
        <f t="shared" si="35"/>
        <v>2</v>
      </c>
      <c r="Q125">
        <f t="shared" si="35"/>
        <v>3</v>
      </c>
      <c r="R125">
        <f t="shared" si="35"/>
        <v>4</v>
      </c>
      <c r="S125">
        <f t="shared" si="35"/>
        <v>5</v>
      </c>
      <c r="T125">
        <f t="shared" si="35"/>
        <v>6</v>
      </c>
      <c r="U125">
        <f t="shared" si="35"/>
        <v>7</v>
      </c>
      <c r="V125">
        <f t="shared" si="35"/>
        <v>1</v>
      </c>
      <c r="W125">
        <f t="shared" si="35"/>
        <v>2</v>
      </c>
      <c r="X125">
        <f t="shared" si="35"/>
        <v>3</v>
      </c>
      <c r="Y125">
        <f t="shared" si="35"/>
        <v>4</v>
      </c>
      <c r="Z125">
        <f t="shared" si="35"/>
        <v>5</v>
      </c>
      <c r="AA125">
        <f t="shared" si="35"/>
        <v>6</v>
      </c>
      <c r="AB125">
        <f t="shared" si="35"/>
        <v>7</v>
      </c>
      <c r="AC125">
        <f t="shared" si="35"/>
        <v>1</v>
      </c>
      <c r="AD125">
        <f t="shared" si="35"/>
        <v>2</v>
      </c>
      <c r="AE125">
        <f t="shared" si="35"/>
        <v>3</v>
      </c>
      <c r="AF125">
        <f t="shared" si="35"/>
        <v>4</v>
      </c>
      <c r="AG125">
        <f t="shared" si="35"/>
        <v>5</v>
      </c>
      <c r="AH125">
        <f t="shared" si="35"/>
        <v>6</v>
      </c>
      <c r="AI125">
        <f t="shared" si="35"/>
        <v>7</v>
      </c>
      <c r="AJ125">
        <f t="shared" si="35"/>
        <v>1</v>
      </c>
      <c r="AK125">
        <f t="shared" si="35"/>
        <v>2</v>
      </c>
      <c r="AL125">
        <f t="shared" si="35"/>
        <v>3</v>
      </c>
      <c r="AM125">
        <f t="shared" si="35"/>
        <v>4</v>
      </c>
      <c r="AN125">
        <f t="shared" si="35"/>
        <v>5</v>
      </c>
      <c r="AO125">
        <f t="shared" si="35"/>
        <v>6</v>
      </c>
      <c r="AP125">
        <f t="shared" si="35"/>
        <v>7</v>
      </c>
      <c r="AQ125">
        <f t="shared" si="35"/>
        <v>1</v>
      </c>
    </row>
    <row r="126" spans="3:69" ht="20.100000000000001" customHeight="1">
      <c r="C126" s="559" t="str">
        <f ca="1">INDIRECT("T!"&amp;T!A1&amp;"33")</f>
        <v>Etat</v>
      </c>
      <c r="D126" s="560"/>
      <c r="E126" s="563" t="s">
        <v>6</v>
      </c>
      <c r="F126" s="564"/>
      <c r="G126" s="564"/>
      <c r="H126" s="564"/>
      <c r="I126" s="565"/>
      <c r="J126" s="569" t="str">
        <f ca="1">INDIRECT("T!"&amp;T!A1&amp;"34")</f>
        <v>Pozycja</v>
      </c>
      <c r="K126" s="570"/>
      <c r="L126" s="571"/>
      <c r="M126" s="28">
        <v>1</v>
      </c>
      <c r="N126" s="28">
        <v>2</v>
      </c>
      <c r="O126" s="28">
        <v>3</v>
      </c>
      <c r="P126" s="28">
        <v>4</v>
      </c>
      <c r="Q126" s="28">
        <v>5</v>
      </c>
      <c r="R126" s="28">
        <v>6</v>
      </c>
      <c r="S126" s="28">
        <v>7</v>
      </c>
      <c r="T126" s="28">
        <v>8</v>
      </c>
      <c r="U126" s="28">
        <v>9</v>
      </c>
      <c r="V126" s="28">
        <v>10</v>
      </c>
      <c r="W126" s="28">
        <v>11</v>
      </c>
      <c r="X126" s="28">
        <v>12</v>
      </c>
      <c r="Y126" s="28">
        <v>13</v>
      </c>
      <c r="Z126" s="28">
        <v>14</v>
      </c>
      <c r="AA126" s="28">
        <v>15</v>
      </c>
      <c r="AB126" s="28">
        <v>16</v>
      </c>
      <c r="AC126" s="28">
        <v>17</v>
      </c>
      <c r="AD126" s="28">
        <v>18</v>
      </c>
      <c r="AE126" s="28">
        <v>19</v>
      </c>
      <c r="AF126" s="28">
        <v>20</v>
      </c>
      <c r="AG126" s="28">
        <v>21</v>
      </c>
      <c r="AH126" s="28">
        <v>22</v>
      </c>
      <c r="AI126" s="28">
        <v>23</v>
      </c>
      <c r="AJ126" s="28">
        <v>24</v>
      </c>
      <c r="AK126" s="28">
        <v>25</v>
      </c>
      <c r="AL126" s="28">
        <v>26</v>
      </c>
      <c r="AM126" s="28">
        <v>27</v>
      </c>
      <c r="AN126" s="28">
        <v>28</v>
      </c>
      <c r="AO126" s="28">
        <v>29</v>
      </c>
      <c r="AP126" s="28">
        <v>30</v>
      </c>
      <c r="AQ126" s="28">
        <v>31</v>
      </c>
    </row>
    <row r="127" spans="3:69" ht="20.100000000000001" customHeight="1">
      <c r="C127" s="561"/>
      <c r="D127" s="562"/>
      <c r="E127" s="566"/>
      <c r="F127" s="567"/>
      <c r="G127" s="567"/>
      <c r="H127" s="567"/>
      <c r="I127" s="568"/>
      <c r="J127" s="572"/>
      <c r="K127" s="573"/>
      <c r="L127" s="574"/>
      <c r="M127" s="29" t="str">
        <f ca="1">IF(M125=1,INDIRECT("T!"&amp;T!$A$1&amp;"26"),IF(M125=2,INDIRECT("T!"&amp;T!$A$1&amp;"27"),IF(M125=3,INDIRECT("T!"&amp;T!$A$1&amp;"28"),IF(M125=4,INDIRECT("T!"&amp;T!$A$1&amp;"29"),IF(M125=5,INDIRECT("T!"&amp;T!$A$1&amp;"30"),IF(M125=6,INDIRECT("T!"&amp;T!$A$1&amp;"31"),IF(M125=7,INDIRECT("T!"&amp;T!$A$1&amp;"32"),0)))))))</f>
        <v>So</v>
      </c>
      <c r="N127" s="29" t="str">
        <f ca="1">IF(N125=1,INDIRECT("T!"&amp;T!$A$1&amp;"26"),IF(N125=2,INDIRECT("T!"&amp;T!$A$1&amp;"27"),IF(N125=3,INDIRECT("T!"&amp;T!$A$1&amp;"28"),IF(N125=4,INDIRECT("T!"&amp;T!$A$1&amp;"29"),IF(N125=5,INDIRECT("T!"&amp;T!$A$1&amp;"30"),IF(N125=6,INDIRECT("T!"&amp;T!$A$1&amp;"31"),IF(N125=7,INDIRECT("T!"&amp;T!$A$1&amp;"32"),0)))))))</f>
        <v>Nd</v>
      </c>
      <c r="O127" s="29" t="str">
        <f ca="1">IF(O125=1,INDIRECT("T!"&amp;T!$A$1&amp;"26"),IF(O125=2,INDIRECT("T!"&amp;T!$A$1&amp;"27"),IF(O125=3,INDIRECT("T!"&amp;T!$A$1&amp;"28"),IF(O125=4,INDIRECT("T!"&amp;T!$A$1&amp;"29"),IF(O125=5,INDIRECT("T!"&amp;T!$A$1&amp;"30"),IF(O125=6,INDIRECT("T!"&amp;T!$A$1&amp;"31"),IF(O125=7,INDIRECT("T!"&amp;T!$A$1&amp;"32"),0)))))))</f>
        <v>Pn</v>
      </c>
      <c r="P127" s="29" t="str">
        <f ca="1">IF(P125=1,INDIRECT("T!"&amp;T!$A$1&amp;"26"),IF(P125=2,INDIRECT("T!"&amp;T!$A$1&amp;"27"),IF(P125=3,INDIRECT("T!"&amp;T!$A$1&amp;"28"),IF(P125=4,INDIRECT("T!"&amp;T!$A$1&amp;"29"),IF(P125=5,INDIRECT("T!"&amp;T!$A$1&amp;"30"),IF(P125=6,INDIRECT("T!"&amp;T!$A$1&amp;"31"),IF(P125=7,INDIRECT("T!"&amp;T!$A$1&amp;"32"),0)))))))</f>
        <v>Wt</v>
      </c>
      <c r="Q127" s="29" t="str">
        <f ca="1">IF(Q125=1,INDIRECT("T!"&amp;T!$A$1&amp;"26"),IF(Q125=2,INDIRECT("T!"&amp;T!$A$1&amp;"27"),IF(Q125=3,INDIRECT("T!"&amp;T!$A$1&amp;"28"),IF(Q125=4,INDIRECT("T!"&amp;T!$A$1&amp;"29"),IF(Q125=5,INDIRECT("T!"&amp;T!$A$1&amp;"30"),IF(Q125=6,INDIRECT("T!"&amp;T!$A$1&amp;"31"),IF(Q125=7,INDIRECT("T!"&amp;T!$A$1&amp;"32"),0)))))))</f>
        <v>Śr</v>
      </c>
      <c r="R127" s="29" t="str">
        <f ca="1">IF(R125=1,INDIRECT("T!"&amp;T!$A$1&amp;"26"),IF(R125=2,INDIRECT("T!"&amp;T!$A$1&amp;"27"),IF(R125=3,INDIRECT("T!"&amp;T!$A$1&amp;"28"),IF(R125=4,INDIRECT("T!"&amp;T!$A$1&amp;"29"),IF(R125=5,INDIRECT("T!"&amp;T!$A$1&amp;"30"),IF(R125=6,INDIRECT("T!"&amp;T!$A$1&amp;"31"),IF(R125=7,INDIRECT("T!"&amp;T!$A$1&amp;"32"),0)))))))</f>
        <v>Cz</v>
      </c>
      <c r="S127" s="29" t="str">
        <f ca="1">IF(S125=1,INDIRECT("T!"&amp;T!$A$1&amp;"26"),IF(S125=2,INDIRECT("T!"&amp;T!$A$1&amp;"27"),IF(S125=3,INDIRECT("T!"&amp;T!$A$1&amp;"28"),IF(S125=4,INDIRECT("T!"&amp;T!$A$1&amp;"29"),IF(S125=5,INDIRECT("T!"&amp;T!$A$1&amp;"30"),IF(S125=6,INDIRECT("T!"&amp;T!$A$1&amp;"31"),IF(S125=7,INDIRECT("T!"&amp;T!$A$1&amp;"32"),0)))))))</f>
        <v>Pt</v>
      </c>
      <c r="T127" s="29" t="str">
        <f ca="1">IF(T125=1,INDIRECT("T!"&amp;T!$A$1&amp;"26"),IF(T125=2,INDIRECT("T!"&amp;T!$A$1&amp;"27"),IF(T125=3,INDIRECT("T!"&amp;T!$A$1&amp;"28"),IF(T125=4,INDIRECT("T!"&amp;T!$A$1&amp;"29"),IF(T125=5,INDIRECT("T!"&amp;T!$A$1&amp;"30"),IF(T125=6,INDIRECT("T!"&amp;T!$A$1&amp;"31"),IF(T125=7,INDIRECT("T!"&amp;T!$A$1&amp;"32"),0)))))))</f>
        <v>So</v>
      </c>
      <c r="U127" s="29" t="str">
        <f ca="1">IF(U125=1,INDIRECT("T!"&amp;T!$A$1&amp;"26"),IF(U125=2,INDIRECT("T!"&amp;T!$A$1&amp;"27"),IF(U125=3,INDIRECT("T!"&amp;T!$A$1&amp;"28"),IF(U125=4,INDIRECT("T!"&amp;T!$A$1&amp;"29"),IF(U125=5,INDIRECT("T!"&amp;T!$A$1&amp;"30"),IF(U125=6,INDIRECT("T!"&amp;T!$A$1&amp;"31"),IF(U125=7,INDIRECT("T!"&amp;T!$A$1&amp;"32"),0)))))))</f>
        <v>Nd</v>
      </c>
      <c r="V127" s="29" t="str">
        <f ca="1">IF(V125=1,INDIRECT("T!"&amp;T!$A$1&amp;"26"),IF(V125=2,INDIRECT("T!"&amp;T!$A$1&amp;"27"),IF(V125=3,INDIRECT("T!"&amp;T!$A$1&amp;"28"),IF(V125=4,INDIRECT("T!"&amp;T!$A$1&amp;"29"),IF(V125=5,INDIRECT("T!"&amp;T!$A$1&amp;"30"),IF(V125=6,INDIRECT("T!"&amp;T!$A$1&amp;"31"),IF(V125=7,INDIRECT("T!"&amp;T!$A$1&amp;"32"),0)))))))</f>
        <v>Pn</v>
      </c>
      <c r="W127" s="29" t="str">
        <f ca="1">IF(W125=1,INDIRECT("T!"&amp;T!$A$1&amp;"26"),IF(W125=2,INDIRECT("T!"&amp;T!$A$1&amp;"27"),IF(W125=3,INDIRECT("T!"&amp;T!$A$1&amp;"28"),IF(W125=4,INDIRECT("T!"&amp;T!$A$1&amp;"29"),IF(W125=5,INDIRECT("T!"&amp;T!$A$1&amp;"30"),IF(W125=6,INDIRECT("T!"&amp;T!$A$1&amp;"31"),IF(W125=7,INDIRECT("T!"&amp;T!$A$1&amp;"32"),0)))))))</f>
        <v>Wt</v>
      </c>
      <c r="X127" s="29" t="str">
        <f ca="1">IF(X125=1,INDIRECT("T!"&amp;T!$A$1&amp;"26"),IF(X125=2,INDIRECT("T!"&amp;T!$A$1&amp;"27"),IF(X125=3,INDIRECT("T!"&amp;T!$A$1&amp;"28"),IF(X125=4,INDIRECT("T!"&amp;T!$A$1&amp;"29"),IF(X125=5,INDIRECT("T!"&amp;T!$A$1&amp;"30"),IF(X125=6,INDIRECT("T!"&amp;T!$A$1&amp;"31"),IF(X125=7,INDIRECT("T!"&amp;T!$A$1&amp;"32"),0)))))))</f>
        <v>Śr</v>
      </c>
      <c r="Y127" s="29" t="str">
        <f ca="1">IF(Y125=1,INDIRECT("T!"&amp;T!$A$1&amp;"26"),IF(Y125=2,INDIRECT("T!"&amp;T!$A$1&amp;"27"),IF(Y125=3,INDIRECT("T!"&amp;T!$A$1&amp;"28"),IF(Y125=4,INDIRECT("T!"&amp;T!$A$1&amp;"29"),IF(Y125=5,INDIRECT("T!"&amp;T!$A$1&amp;"30"),IF(Y125=6,INDIRECT("T!"&amp;T!$A$1&amp;"31"),IF(Y125=7,INDIRECT("T!"&amp;T!$A$1&amp;"32"),0)))))))</f>
        <v>Cz</v>
      </c>
      <c r="Z127" s="29" t="str">
        <f ca="1">IF(Z125=1,INDIRECT("T!"&amp;T!$A$1&amp;"26"),IF(Z125=2,INDIRECT("T!"&amp;T!$A$1&amp;"27"),IF(Z125=3,INDIRECT("T!"&amp;T!$A$1&amp;"28"),IF(Z125=4,INDIRECT("T!"&amp;T!$A$1&amp;"29"),IF(Z125=5,INDIRECT("T!"&amp;T!$A$1&amp;"30"),IF(Z125=6,INDIRECT("T!"&amp;T!$A$1&amp;"31"),IF(Z125=7,INDIRECT("T!"&amp;T!$A$1&amp;"32"),0)))))))</f>
        <v>Pt</v>
      </c>
      <c r="AA127" s="29" t="str">
        <f ca="1">IF(AA125=1,INDIRECT("T!"&amp;T!$A$1&amp;"26"),IF(AA125=2,INDIRECT("T!"&amp;T!$A$1&amp;"27"),IF(AA125=3,INDIRECT("T!"&amp;T!$A$1&amp;"28"),IF(AA125=4,INDIRECT("T!"&amp;T!$A$1&amp;"29"),IF(AA125=5,INDIRECT("T!"&amp;T!$A$1&amp;"30"),IF(AA125=6,INDIRECT("T!"&amp;T!$A$1&amp;"31"),IF(AA125=7,INDIRECT("T!"&amp;T!$A$1&amp;"32"),0)))))))</f>
        <v>So</v>
      </c>
      <c r="AB127" s="29" t="str">
        <f ca="1">IF(AB125=1,INDIRECT("T!"&amp;T!$A$1&amp;"26"),IF(AB125=2,INDIRECT("T!"&amp;T!$A$1&amp;"27"),IF(AB125=3,INDIRECT("T!"&amp;T!$A$1&amp;"28"),IF(AB125=4,INDIRECT("T!"&amp;T!$A$1&amp;"29"),IF(AB125=5,INDIRECT("T!"&amp;T!$A$1&amp;"30"),IF(AB125=6,INDIRECT("T!"&amp;T!$A$1&amp;"31"),IF(AB125=7,INDIRECT("T!"&amp;T!$A$1&amp;"32"),0)))))))</f>
        <v>Nd</v>
      </c>
      <c r="AC127" s="29" t="str">
        <f ca="1">IF(AC125=1,INDIRECT("T!"&amp;T!$A$1&amp;"26"),IF(AC125=2,INDIRECT("T!"&amp;T!$A$1&amp;"27"),IF(AC125=3,INDIRECT("T!"&amp;T!$A$1&amp;"28"),IF(AC125=4,INDIRECT("T!"&amp;T!$A$1&amp;"29"),IF(AC125=5,INDIRECT("T!"&amp;T!$A$1&amp;"30"),IF(AC125=6,INDIRECT("T!"&amp;T!$A$1&amp;"31"),IF(AC125=7,INDIRECT("T!"&amp;T!$A$1&amp;"32"),0)))))))</f>
        <v>Pn</v>
      </c>
      <c r="AD127" s="29" t="str">
        <f ca="1">IF(AD125=1,INDIRECT("T!"&amp;T!$A$1&amp;"26"),IF(AD125=2,INDIRECT("T!"&amp;T!$A$1&amp;"27"),IF(AD125=3,INDIRECT("T!"&amp;T!$A$1&amp;"28"),IF(AD125=4,INDIRECT("T!"&amp;T!$A$1&amp;"29"),IF(AD125=5,INDIRECT("T!"&amp;T!$A$1&amp;"30"),IF(AD125=6,INDIRECT("T!"&amp;T!$A$1&amp;"31"),IF(AD125=7,INDIRECT("T!"&amp;T!$A$1&amp;"32"),0)))))))</f>
        <v>Wt</v>
      </c>
      <c r="AE127" s="29" t="str">
        <f ca="1">IF(AE125=1,INDIRECT("T!"&amp;T!$A$1&amp;"26"),IF(AE125=2,INDIRECT("T!"&amp;T!$A$1&amp;"27"),IF(AE125=3,INDIRECT("T!"&amp;T!$A$1&amp;"28"),IF(AE125=4,INDIRECT("T!"&amp;T!$A$1&amp;"29"),IF(AE125=5,INDIRECT("T!"&amp;T!$A$1&amp;"30"),IF(AE125=6,INDIRECT("T!"&amp;T!$A$1&amp;"31"),IF(AE125=7,INDIRECT("T!"&amp;T!$A$1&amp;"32"),0)))))))</f>
        <v>Śr</v>
      </c>
      <c r="AF127" s="29" t="str">
        <f ca="1">IF(AF125=1,INDIRECT("T!"&amp;T!$A$1&amp;"26"),IF(AF125=2,INDIRECT("T!"&amp;T!$A$1&amp;"27"),IF(AF125=3,INDIRECT("T!"&amp;T!$A$1&amp;"28"),IF(AF125=4,INDIRECT("T!"&amp;T!$A$1&amp;"29"),IF(AF125=5,INDIRECT("T!"&amp;T!$A$1&amp;"30"),IF(AF125=6,INDIRECT("T!"&amp;T!$A$1&amp;"31"),IF(AF125=7,INDIRECT("T!"&amp;T!$A$1&amp;"32"),0)))))))</f>
        <v>Cz</v>
      </c>
      <c r="AG127" s="29" t="str">
        <f ca="1">IF(AG125=1,INDIRECT("T!"&amp;T!$A$1&amp;"26"),IF(AG125=2,INDIRECT("T!"&amp;T!$A$1&amp;"27"),IF(AG125=3,INDIRECT("T!"&amp;T!$A$1&amp;"28"),IF(AG125=4,INDIRECT("T!"&amp;T!$A$1&amp;"29"),IF(AG125=5,INDIRECT("T!"&amp;T!$A$1&amp;"30"),IF(AG125=6,INDIRECT("T!"&amp;T!$A$1&amp;"31"),IF(AG125=7,INDIRECT("T!"&amp;T!$A$1&amp;"32"),0)))))))</f>
        <v>Pt</v>
      </c>
      <c r="AH127" s="29" t="str">
        <f ca="1">IF(AH125=1,INDIRECT("T!"&amp;T!$A$1&amp;"26"),IF(AH125=2,INDIRECT("T!"&amp;T!$A$1&amp;"27"),IF(AH125=3,INDIRECT("T!"&amp;T!$A$1&amp;"28"),IF(AH125=4,INDIRECT("T!"&amp;T!$A$1&amp;"29"),IF(AH125=5,INDIRECT("T!"&amp;T!$A$1&amp;"30"),IF(AH125=6,INDIRECT("T!"&amp;T!$A$1&amp;"31"),IF(AH125=7,INDIRECT("T!"&amp;T!$A$1&amp;"32"),0)))))))</f>
        <v>So</v>
      </c>
      <c r="AI127" s="29" t="str">
        <f ca="1">IF(AI125=1,INDIRECT("T!"&amp;T!$A$1&amp;"26"),IF(AI125=2,INDIRECT("T!"&amp;T!$A$1&amp;"27"),IF(AI125=3,INDIRECT("T!"&amp;T!$A$1&amp;"28"),IF(AI125=4,INDIRECT("T!"&amp;T!$A$1&amp;"29"),IF(AI125=5,INDIRECT("T!"&amp;T!$A$1&amp;"30"),IF(AI125=6,INDIRECT("T!"&amp;T!$A$1&amp;"31"),IF(AI125=7,INDIRECT("T!"&amp;T!$A$1&amp;"32"),0)))))))</f>
        <v>Nd</v>
      </c>
      <c r="AJ127" s="29" t="str">
        <f ca="1">IF(AJ125=1,INDIRECT("T!"&amp;T!$A$1&amp;"26"),IF(AJ125=2,INDIRECT("T!"&amp;T!$A$1&amp;"27"),IF(AJ125=3,INDIRECT("T!"&amp;T!$A$1&amp;"28"),IF(AJ125=4,INDIRECT("T!"&amp;T!$A$1&amp;"29"),IF(AJ125=5,INDIRECT("T!"&amp;T!$A$1&amp;"30"),IF(AJ125=6,INDIRECT("T!"&amp;T!$A$1&amp;"31"),IF(AJ125=7,INDIRECT("T!"&amp;T!$A$1&amp;"32"),0)))))))</f>
        <v>Pn</v>
      </c>
      <c r="AK127" s="29" t="str">
        <f ca="1">IF(AK125=1,INDIRECT("T!"&amp;T!$A$1&amp;"26"),IF(AK125=2,INDIRECT("T!"&amp;T!$A$1&amp;"27"),IF(AK125=3,INDIRECT("T!"&amp;T!$A$1&amp;"28"),IF(AK125=4,INDIRECT("T!"&amp;T!$A$1&amp;"29"),IF(AK125=5,INDIRECT("T!"&amp;T!$A$1&amp;"30"),IF(AK125=6,INDIRECT("T!"&amp;T!$A$1&amp;"31"),IF(AK125=7,INDIRECT("T!"&amp;T!$A$1&amp;"32"),0)))))))</f>
        <v>Wt</v>
      </c>
      <c r="AL127" s="29" t="str">
        <f ca="1">IF(AL125=1,INDIRECT("T!"&amp;T!$A$1&amp;"26"),IF(AL125=2,INDIRECT("T!"&amp;T!$A$1&amp;"27"),IF(AL125=3,INDIRECT("T!"&amp;T!$A$1&amp;"28"),IF(AL125=4,INDIRECT("T!"&amp;T!$A$1&amp;"29"),IF(AL125=5,INDIRECT("T!"&amp;T!$A$1&amp;"30"),IF(AL125=6,INDIRECT("T!"&amp;T!$A$1&amp;"31"),IF(AL125=7,INDIRECT("T!"&amp;T!$A$1&amp;"32"),0)))))))</f>
        <v>Śr</v>
      </c>
      <c r="AM127" s="29" t="str">
        <f ca="1">IF(AM125=1,INDIRECT("T!"&amp;T!$A$1&amp;"26"),IF(AM125=2,INDIRECT("T!"&amp;T!$A$1&amp;"27"),IF(AM125=3,INDIRECT("T!"&amp;T!$A$1&amp;"28"),IF(AM125=4,INDIRECT("T!"&amp;T!$A$1&amp;"29"),IF(AM125=5,INDIRECT("T!"&amp;T!$A$1&amp;"30"),IF(AM125=6,INDIRECT("T!"&amp;T!$A$1&amp;"31"),IF(AM125=7,INDIRECT("T!"&amp;T!$A$1&amp;"32"),0)))))))</f>
        <v>Cz</v>
      </c>
      <c r="AN127" s="29" t="str">
        <f ca="1">IF(AN125=1,INDIRECT("T!"&amp;T!$A$1&amp;"26"),IF(AN125=2,INDIRECT("T!"&amp;T!$A$1&amp;"27"),IF(AN125=3,INDIRECT("T!"&amp;T!$A$1&amp;"28"),IF(AN125=4,INDIRECT("T!"&amp;T!$A$1&amp;"29"),IF(AN125=5,INDIRECT("T!"&amp;T!$A$1&amp;"30"),IF(AN125=6,INDIRECT("T!"&amp;T!$A$1&amp;"31"),IF(AN125=7,INDIRECT("T!"&amp;T!$A$1&amp;"32"),0)))))))</f>
        <v>Pt</v>
      </c>
      <c r="AO127" s="29" t="str">
        <f ca="1">IF(AO125=1,INDIRECT("T!"&amp;T!$A$1&amp;"26"),IF(AO125=2,INDIRECT("T!"&amp;T!$A$1&amp;"27"),IF(AO125=3,INDIRECT("T!"&amp;T!$A$1&amp;"28"),IF(AO125=4,INDIRECT("T!"&amp;T!$A$1&amp;"29"),IF(AO125=5,INDIRECT("T!"&amp;T!$A$1&amp;"30"),IF(AO125=6,INDIRECT("T!"&amp;T!$A$1&amp;"31"),IF(AO125=7,INDIRECT("T!"&amp;T!$A$1&amp;"32"),0)))))))</f>
        <v>So</v>
      </c>
      <c r="AP127" s="29" t="str">
        <f ca="1">IF(AP125=1,INDIRECT("T!"&amp;T!$A$1&amp;"26"),IF(AP125=2,INDIRECT("T!"&amp;T!$A$1&amp;"27"),IF(AP125=3,INDIRECT("T!"&amp;T!$A$1&amp;"28"),IF(AP125=4,INDIRECT("T!"&amp;T!$A$1&amp;"29"),IF(AP125=5,INDIRECT("T!"&amp;T!$A$1&amp;"30"),IF(AP125=6,INDIRECT("T!"&amp;T!$A$1&amp;"31"),IF(AP125=7,INDIRECT("T!"&amp;T!$A$1&amp;"32"),0)))))))</f>
        <v>Nd</v>
      </c>
      <c r="AQ127" s="29" t="str">
        <f ca="1">IF(AQ125=1,INDIRECT("T!"&amp;T!$A$1&amp;"26"),IF(AQ125=2,INDIRECT("T!"&amp;T!$A$1&amp;"27"),IF(AQ125=3,INDIRECT("T!"&amp;T!$A$1&amp;"28"),IF(AQ125=4,INDIRECT("T!"&amp;T!$A$1&amp;"29"),IF(AQ125=5,INDIRECT("T!"&amp;T!$A$1&amp;"30"),IF(AQ125=6,INDIRECT("T!"&amp;T!$A$1&amp;"31"),IF(AQ125=7,INDIRECT("T!"&amp;T!$A$1&amp;"32"),0)))))))</f>
        <v>Pn</v>
      </c>
    </row>
    <row r="128" spans="3:69" ht="20.100000000000001" customHeight="1">
      <c r="C128" s="551"/>
      <c r="D128" s="552"/>
      <c r="E128" s="575"/>
      <c r="F128" s="576"/>
      <c r="G128" s="576"/>
      <c r="H128" s="576"/>
      <c r="I128" s="577"/>
      <c r="J128" s="578"/>
      <c r="K128" s="579"/>
      <c r="L128" s="580"/>
      <c r="M128" s="84"/>
      <c r="N128" s="85"/>
      <c r="O128" s="257"/>
      <c r="P128" s="257"/>
      <c r="Q128" s="257"/>
      <c r="R128" s="257"/>
      <c r="S128" s="257"/>
      <c r="T128" s="85"/>
      <c r="U128" s="85"/>
      <c r="V128" s="257"/>
      <c r="W128" s="257"/>
      <c r="X128" s="257"/>
      <c r="Y128" s="257"/>
      <c r="Z128" s="257"/>
      <c r="AA128" s="85"/>
      <c r="AB128" s="85"/>
      <c r="AC128" s="257"/>
      <c r="AD128" s="257"/>
      <c r="AE128" s="257"/>
      <c r="AF128" s="257"/>
      <c r="AG128" s="257"/>
      <c r="AH128" s="85"/>
      <c r="AI128" s="85"/>
      <c r="AJ128" s="257"/>
      <c r="AK128" s="257"/>
      <c r="AL128" s="257"/>
      <c r="AM128" s="257"/>
      <c r="AN128" s="257"/>
      <c r="AO128" s="85"/>
      <c r="AP128" s="85"/>
      <c r="AQ128" s="89"/>
      <c r="AS128" s="43">
        <f t="shared" si="33"/>
        <v>0</v>
      </c>
      <c r="AT128" s="43">
        <f t="shared" si="33"/>
        <v>0</v>
      </c>
      <c r="AU128" s="43">
        <f t="shared" si="33"/>
        <v>0</v>
      </c>
      <c r="AV128" s="43">
        <f t="shared" si="33"/>
        <v>0</v>
      </c>
      <c r="AW128" s="43">
        <f t="shared" si="33"/>
        <v>0</v>
      </c>
      <c r="AX128" s="43">
        <f t="shared" si="33"/>
        <v>0</v>
      </c>
      <c r="AY128" s="43">
        <f t="shared" si="33"/>
        <v>0</v>
      </c>
      <c r="AZ128" s="43">
        <f t="shared" si="33"/>
        <v>0</v>
      </c>
      <c r="BA128" s="43">
        <f t="shared" si="33"/>
        <v>0</v>
      </c>
      <c r="BB128" s="43">
        <f t="shared" si="33"/>
        <v>0</v>
      </c>
      <c r="BC128" s="43">
        <f t="shared" si="33"/>
        <v>0</v>
      </c>
      <c r="BD128" s="43">
        <f t="shared" si="33"/>
        <v>0</v>
      </c>
      <c r="BE128" s="43">
        <f t="shared" si="33"/>
        <v>0</v>
      </c>
      <c r="BF128" s="43">
        <f t="shared" si="33"/>
        <v>0</v>
      </c>
      <c r="BG128" s="43">
        <f t="shared" si="33"/>
        <v>0</v>
      </c>
      <c r="BH128" s="43">
        <f t="shared" si="33"/>
        <v>0</v>
      </c>
      <c r="BI128" s="43">
        <f t="shared" si="32"/>
        <v>0</v>
      </c>
      <c r="BJ128" s="43">
        <f t="shared" si="32"/>
        <v>0</v>
      </c>
      <c r="BK128" s="43">
        <f t="shared" si="32"/>
        <v>0</v>
      </c>
      <c r="BL128" s="43">
        <f t="shared" si="32"/>
        <v>0</v>
      </c>
      <c r="BM128" s="43">
        <f t="shared" si="32"/>
        <v>0</v>
      </c>
      <c r="BN128" s="43">
        <f t="shared" si="32"/>
        <v>0</v>
      </c>
      <c r="BO128" s="43">
        <f t="shared" si="32"/>
        <v>0</v>
      </c>
      <c r="BP128" s="43">
        <f t="shared" si="32"/>
        <v>0</v>
      </c>
      <c r="BQ128" s="43">
        <f t="shared" si="32"/>
        <v>0</v>
      </c>
    </row>
    <row r="129" spans="3:69" ht="20.100000000000001" customHeight="1">
      <c r="C129" s="551"/>
      <c r="D129" s="552"/>
      <c r="E129" s="553"/>
      <c r="F129" s="554"/>
      <c r="G129" s="554"/>
      <c r="H129" s="554"/>
      <c r="I129" s="555"/>
      <c r="J129" s="556"/>
      <c r="K129" s="557"/>
      <c r="L129" s="558"/>
      <c r="M129" s="86"/>
      <c r="N129" s="87"/>
      <c r="O129" s="255"/>
      <c r="P129" s="255"/>
      <c r="Q129" s="255"/>
      <c r="R129" s="255"/>
      <c r="S129" s="255"/>
      <c r="T129" s="87"/>
      <c r="U129" s="87"/>
      <c r="V129" s="255"/>
      <c r="W129" s="255"/>
      <c r="X129" s="255"/>
      <c r="Y129" s="255"/>
      <c r="Z129" s="255"/>
      <c r="AA129" s="87"/>
      <c r="AB129" s="87"/>
      <c r="AC129" s="255"/>
      <c r="AD129" s="255"/>
      <c r="AE129" s="255"/>
      <c r="AF129" s="255"/>
      <c r="AG129" s="255"/>
      <c r="AH129" s="87"/>
      <c r="AI129" s="87"/>
      <c r="AJ129" s="255"/>
      <c r="AK129" s="255"/>
      <c r="AL129" s="255"/>
      <c r="AM129" s="255"/>
      <c r="AN129" s="255"/>
      <c r="AO129" s="87"/>
      <c r="AP129" s="87"/>
      <c r="AQ129" s="90"/>
      <c r="AS129" s="43">
        <f t="shared" si="33"/>
        <v>0</v>
      </c>
      <c r="AT129" s="43">
        <f t="shared" si="33"/>
        <v>0</v>
      </c>
      <c r="AU129" s="43">
        <f t="shared" si="33"/>
        <v>0</v>
      </c>
      <c r="AV129" s="43">
        <f t="shared" si="33"/>
        <v>0</v>
      </c>
      <c r="AW129" s="43">
        <f t="shared" si="33"/>
        <v>0</v>
      </c>
      <c r="AX129" s="43">
        <f t="shared" si="33"/>
        <v>0</v>
      </c>
      <c r="AY129" s="43">
        <f t="shared" si="33"/>
        <v>0</v>
      </c>
      <c r="AZ129" s="43">
        <f t="shared" si="33"/>
        <v>0</v>
      </c>
      <c r="BA129" s="43">
        <f t="shared" si="33"/>
        <v>0</v>
      </c>
      <c r="BB129" s="43">
        <f t="shared" si="33"/>
        <v>0</v>
      </c>
      <c r="BC129" s="43">
        <f t="shared" si="33"/>
        <v>0</v>
      </c>
      <c r="BD129" s="43">
        <f t="shared" si="33"/>
        <v>0</v>
      </c>
      <c r="BE129" s="43">
        <f t="shared" si="33"/>
        <v>0</v>
      </c>
      <c r="BF129" s="43">
        <f t="shared" si="33"/>
        <v>0</v>
      </c>
      <c r="BG129" s="43">
        <f t="shared" si="33"/>
        <v>0</v>
      </c>
      <c r="BH129" s="43">
        <f t="shared" si="33"/>
        <v>0</v>
      </c>
      <c r="BI129" s="43">
        <f t="shared" si="32"/>
        <v>0</v>
      </c>
      <c r="BJ129" s="43">
        <f t="shared" si="32"/>
        <v>0</v>
      </c>
      <c r="BK129" s="43">
        <f t="shared" si="32"/>
        <v>0</v>
      </c>
      <c r="BL129" s="43">
        <f t="shared" si="32"/>
        <v>0</v>
      </c>
      <c r="BM129" s="43">
        <f t="shared" si="32"/>
        <v>0</v>
      </c>
      <c r="BN129" s="43">
        <f t="shared" si="32"/>
        <v>0</v>
      </c>
      <c r="BO129" s="43">
        <f t="shared" si="32"/>
        <v>0</v>
      </c>
      <c r="BP129" s="43">
        <f t="shared" si="32"/>
        <v>0</v>
      </c>
      <c r="BQ129" s="43">
        <f t="shared" si="32"/>
        <v>0</v>
      </c>
    </row>
    <row r="130" spans="3:69" ht="20.100000000000001" customHeight="1">
      <c r="C130" s="551"/>
      <c r="D130" s="552"/>
      <c r="E130" s="553"/>
      <c r="F130" s="554"/>
      <c r="G130" s="554"/>
      <c r="H130" s="554"/>
      <c r="I130" s="555"/>
      <c r="J130" s="556"/>
      <c r="K130" s="557"/>
      <c r="L130" s="558"/>
      <c r="M130" s="86"/>
      <c r="N130" s="87"/>
      <c r="O130" s="255"/>
      <c r="P130" s="255"/>
      <c r="Q130" s="255"/>
      <c r="R130" s="255"/>
      <c r="S130" s="255"/>
      <c r="T130" s="87"/>
      <c r="U130" s="87"/>
      <c r="V130" s="255"/>
      <c r="W130" s="255"/>
      <c r="X130" s="255"/>
      <c r="Y130" s="255"/>
      <c r="Z130" s="255"/>
      <c r="AA130" s="87"/>
      <c r="AB130" s="87"/>
      <c r="AC130" s="255"/>
      <c r="AD130" s="255"/>
      <c r="AE130" s="255"/>
      <c r="AF130" s="255"/>
      <c r="AG130" s="255"/>
      <c r="AH130" s="87"/>
      <c r="AI130" s="87"/>
      <c r="AJ130" s="255"/>
      <c r="AK130" s="255"/>
      <c r="AL130" s="255"/>
      <c r="AM130" s="255"/>
      <c r="AN130" s="255"/>
      <c r="AO130" s="87"/>
      <c r="AP130" s="87"/>
      <c r="AQ130" s="90"/>
      <c r="AS130" s="43">
        <f t="shared" si="33"/>
        <v>0</v>
      </c>
      <c r="AT130" s="43">
        <f t="shared" si="33"/>
        <v>0</v>
      </c>
      <c r="AU130" s="43">
        <f t="shared" si="33"/>
        <v>0</v>
      </c>
      <c r="AV130" s="43">
        <f t="shared" si="33"/>
        <v>0</v>
      </c>
      <c r="AW130" s="43">
        <f t="shared" si="33"/>
        <v>0</v>
      </c>
      <c r="AX130" s="43">
        <f t="shared" si="33"/>
        <v>0</v>
      </c>
      <c r="AY130" s="43">
        <f t="shared" si="33"/>
        <v>0</v>
      </c>
      <c r="AZ130" s="43">
        <f t="shared" si="33"/>
        <v>0</v>
      </c>
      <c r="BA130" s="43">
        <f t="shared" si="33"/>
        <v>0</v>
      </c>
      <c r="BB130" s="43">
        <f t="shared" si="33"/>
        <v>0</v>
      </c>
      <c r="BC130" s="43">
        <f t="shared" si="33"/>
        <v>0</v>
      </c>
      <c r="BD130" s="43">
        <f t="shared" si="33"/>
        <v>0</v>
      </c>
      <c r="BE130" s="43">
        <f t="shared" si="33"/>
        <v>0</v>
      </c>
      <c r="BF130" s="43">
        <f t="shared" si="33"/>
        <v>0</v>
      </c>
      <c r="BG130" s="43">
        <f t="shared" si="33"/>
        <v>0</v>
      </c>
      <c r="BH130" s="43">
        <f t="shared" si="33"/>
        <v>0</v>
      </c>
      <c r="BI130" s="43">
        <f t="shared" si="32"/>
        <v>0</v>
      </c>
      <c r="BJ130" s="43">
        <f t="shared" si="32"/>
        <v>0</v>
      </c>
      <c r="BK130" s="43">
        <f t="shared" si="32"/>
        <v>0</v>
      </c>
      <c r="BL130" s="43">
        <f t="shared" si="32"/>
        <v>0</v>
      </c>
      <c r="BM130" s="43">
        <f t="shared" si="32"/>
        <v>0</v>
      </c>
      <c r="BN130" s="43">
        <f t="shared" si="32"/>
        <v>0</v>
      </c>
      <c r="BO130" s="43">
        <f t="shared" si="32"/>
        <v>0</v>
      </c>
      <c r="BP130" s="43">
        <f t="shared" si="32"/>
        <v>0</v>
      </c>
      <c r="BQ130" s="43">
        <f t="shared" si="32"/>
        <v>0</v>
      </c>
    </row>
    <row r="131" spans="3:69" ht="20.100000000000001" customHeight="1">
      <c r="C131" s="551"/>
      <c r="D131" s="552"/>
      <c r="E131" s="553"/>
      <c r="F131" s="554"/>
      <c r="G131" s="554"/>
      <c r="H131" s="554"/>
      <c r="I131" s="555"/>
      <c r="J131" s="556"/>
      <c r="K131" s="557"/>
      <c r="L131" s="558"/>
      <c r="M131" s="86"/>
      <c r="N131" s="87"/>
      <c r="O131" s="255"/>
      <c r="P131" s="255"/>
      <c r="Q131" s="255"/>
      <c r="R131" s="255"/>
      <c r="S131" s="255"/>
      <c r="T131" s="87"/>
      <c r="U131" s="87"/>
      <c r="V131" s="255"/>
      <c r="W131" s="255"/>
      <c r="X131" s="255"/>
      <c r="Y131" s="255"/>
      <c r="Z131" s="255"/>
      <c r="AA131" s="87"/>
      <c r="AB131" s="87"/>
      <c r="AC131" s="255"/>
      <c r="AD131" s="255"/>
      <c r="AE131" s="255"/>
      <c r="AF131" s="255"/>
      <c r="AG131" s="255"/>
      <c r="AH131" s="87"/>
      <c r="AI131" s="87"/>
      <c r="AJ131" s="255"/>
      <c r="AK131" s="255"/>
      <c r="AL131" s="255"/>
      <c r="AM131" s="255"/>
      <c r="AN131" s="255"/>
      <c r="AO131" s="87"/>
      <c r="AP131" s="87"/>
      <c r="AQ131" s="90"/>
      <c r="AS131" s="43">
        <f t="shared" si="33"/>
        <v>0</v>
      </c>
      <c r="AT131" s="43">
        <f t="shared" si="33"/>
        <v>0</v>
      </c>
      <c r="AU131" s="43">
        <f t="shared" si="33"/>
        <v>0</v>
      </c>
      <c r="AV131" s="43">
        <f t="shared" si="33"/>
        <v>0</v>
      </c>
      <c r="AW131" s="43">
        <f t="shared" si="33"/>
        <v>0</v>
      </c>
      <c r="AX131" s="43">
        <f t="shared" si="33"/>
        <v>0</v>
      </c>
      <c r="AY131" s="43">
        <f t="shared" si="33"/>
        <v>0</v>
      </c>
      <c r="AZ131" s="43">
        <f t="shared" si="33"/>
        <v>0</v>
      </c>
      <c r="BA131" s="43">
        <f t="shared" si="33"/>
        <v>0</v>
      </c>
      <c r="BB131" s="43">
        <f t="shared" si="33"/>
        <v>0</v>
      </c>
      <c r="BC131" s="43">
        <f t="shared" si="33"/>
        <v>0</v>
      </c>
      <c r="BD131" s="43">
        <f t="shared" si="33"/>
        <v>0</v>
      </c>
      <c r="BE131" s="43">
        <f t="shared" si="33"/>
        <v>0</v>
      </c>
      <c r="BF131" s="43">
        <f t="shared" si="33"/>
        <v>0</v>
      </c>
      <c r="BG131" s="43">
        <f t="shared" si="33"/>
        <v>0</v>
      </c>
      <c r="BH131" s="43">
        <f t="shared" ref="BH131:BQ146" si="36">COUNTIFS($M131:$AQ131,BH$2)</f>
        <v>0</v>
      </c>
      <c r="BI131" s="43">
        <f t="shared" si="36"/>
        <v>0</v>
      </c>
      <c r="BJ131" s="43">
        <f t="shared" si="36"/>
        <v>0</v>
      </c>
      <c r="BK131" s="43">
        <f t="shared" si="36"/>
        <v>0</v>
      </c>
      <c r="BL131" s="43">
        <f t="shared" si="36"/>
        <v>0</v>
      </c>
      <c r="BM131" s="43">
        <f t="shared" si="36"/>
        <v>0</v>
      </c>
      <c r="BN131" s="43">
        <f t="shared" si="36"/>
        <v>0</v>
      </c>
      <c r="BO131" s="43">
        <f t="shared" si="36"/>
        <v>0</v>
      </c>
      <c r="BP131" s="43">
        <f t="shared" si="36"/>
        <v>0</v>
      </c>
      <c r="BQ131" s="43">
        <f t="shared" si="36"/>
        <v>0</v>
      </c>
    </row>
    <row r="132" spans="3:69" ht="20.100000000000001" customHeight="1">
      <c r="C132" s="551"/>
      <c r="D132" s="552"/>
      <c r="E132" s="553"/>
      <c r="F132" s="554"/>
      <c r="G132" s="554"/>
      <c r="H132" s="554"/>
      <c r="I132" s="555"/>
      <c r="J132" s="556"/>
      <c r="K132" s="557"/>
      <c r="L132" s="558"/>
      <c r="M132" s="86"/>
      <c r="N132" s="87"/>
      <c r="O132" s="255"/>
      <c r="P132" s="255"/>
      <c r="Q132" s="255"/>
      <c r="R132" s="255"/>
      <c r="S132" s="255"/>
      <c r="T132" s="87"/>
      <c r="U132" s="87"/>
      <c r="V132" s="255"/>
      <c r="W132" s="255"/>
      <c r="X132" s="255"/>
      <c r="Y132" s="255"/>
      <c r="Z132" s="255"/>
      <c r="AA132" s="87"/>
      <c r="AB132" s="87"/>
      <c r="AC132" s="255"/>
      <c r="AD132" s="255"/>
      <c r="AE132" s="255"/>
      <c r="AF132" s="255"/>
      <c r="AG132" s="255"/>
      <c r="AH132" s="87"/>
      <c r="AI132" s="87"/>
      <c r="AJ132" s="255"/>
      <c r="AK132" s="255"/>
      <c r="AL132" s="255"/>
      <c r="AM132" s="255"/>
      <c r="AN132" s="255"/>
      <c r="AO132" s="87"/>
      <c r="AP132" s="87"/>
      <c r="AQ132" s="90"/>
      <c r="AS132" s="43">
        <f t="shared" ref="AS132:BH147" si="37">COUNTIFS($M132:$AQ132,AS$2)</f>
        <v>0</v>
      </c>
      <c r="AT132" s="43">
        <f t="shared" si="37"/>
        <v>0</v>
      </c>
      <c r="AU132" s="43">
        <f t="shared" si="37"/>
        <v>0</v>
      </c>
      <c r="AV132" s="43">
        <f t="shared" si="37"/>
        <v>0</v>
      </c>
      <c r="AW132" s="43">
        <f t="shared" si="37"/>
        <v>0</v>
      </c>
      <c r="AX132" s="43">
        <f t="shared" si="37"/>
        <v>0</v>
      </c>
      <c r="AY132" s="43">
        <f t="shared" si="37"/>
        <v>0</v>
      </c>
      <c r="AZ132" s="43">
        <f t="shared" si="37"/>
        <v>0</v>
      </c>
      <c r="BA132" s="43">
        <f t="shared" si="37"/>
        <v>0</v>
      </c>
      <c r="BB132" s="43">
        <f t="shared" si="37"/>
        <v>0</v>
      </c>
      <c r="BC132" s="43">
        <f t="shared" si="37"/>
        <v>0</v>
      </c>
      <c r="BD132" s="43">
        <f t="shared" si="37"/>
        <v>0</v>
      </c>
      <c r="BE132" s="43">
        <f t="shared" si="37"/>
        <v>0</v>
      </c>
      <c r="BF132" s="43">
        <f t="shared" si="37"/>
        <v>0</v>
      </c>
      <c r="BG132" s="43">
        <f t="shared" si="37"/>
        <v>0</v>
      </c>
      <c r="BH132" s="43">
        <f t="shared" si="37"/>
        <v>0</v>
      </c>
      <c r="BI132" s="43">
        <f t="shared" si="36"/>
        <v>0</v>
      </c>
      <c r="BJ132" s="43">
        <f t="shared" si="36"/>
        <v>0</v>
      </c>
      <c r="BK132" s="43">
        <f t="shared" si="36"/>
        <v>0</v>
      </c>
      <c r="BL132" s="43">
        <f t="shared" si="36"/>
        <v>0</v>
      </c>
      <c r="BM132" s="43">
        <f t="shared" si="36"/>
        <v>0</v>
      </c>
      <c r="BN132" s="43">
        <f t="shared" si="36"/>
        <v>0</v>
      </c>
      <c r="BO132" s="43">
        <f t="shared" si="36"/>
        <v>0</v>
      </c>
      <c r="BP132" s="43">
        <f t="shared" si="36"/>
        <v>0</v>
      </c>
      <c r="BQ132" s="43">
        <f t="shared" si="36"/>
        <v>0</v>
      </c>
    </row>
    <row r="133" spans="3:69" ht="20.100000000000001" customHeight="1">
      <c r="C133" s="551"/>
      <c r="D133" s="552"/>
      <c r="E133" s="553"/>
      <c r="F133" s="554"/>
      <c r="G133" s="554"/>
      <c r="H133" s="554"/>
      <c r="I133" s="555"/>
      <c r="J133" s="556"/>
      <c r="K133" s="557"/>
      <c r="L133" s="558"/>
      <c r="M133" s="86"/>
      <c r="N133" s="87"/>
      <c r="O133" s="255"/>
      <c r="P133" s="255"/>
      <c r="Q133" s="255"/>
      <c r="R133" s="255"/>
      <c r="S133" s="255"/>
      <c r="T133" s="87"/>
      <c r="U133" s="87"/>
      <c r="V133" s="255"/>
      <c r="W133" s="255"/>
      <c r="X133" s="255"/>
      <c r="Y133" s="255"/>
      <c r="Z133" s="255"/>
      <c r="AA133" s="87"/>
      <c r="AB133" s="87"/>
      <c r="AC133" s="255"/>
      <c r="AD133" s="255"/>
      <c r="AE133" s="255"/>
      <c r="AF133" s="255"/>
      <c r="AG133" s="255"/>
      <c r="AH133" s="87"/>
      <c r="AI133" s="87"/>
      <c r="AJ133" s="255"/>
      <c r="AK133" s="255"/>
      <c r="AL133" s="255"/>
      <c r="AM133" s="255"/>
      <c r="AN133" s="255"/>
      <c r="AO133" s="87"/>
      <c r="AP133" s="87"/>
      <c r="AQ133" s="90"/>
      <c r="AS133" s="43">
        <f t="shared" si="37"/>
        <v>0</v>
      </c>
      <c r="AT133" s="43">
        <f t="shared" si="37"/>
        <v>0</v>
      </c>
      <c r="AU133" s="43">
        <f t="shared" si="37"/>
        <v>0</v>
      </c>
      <c r="AV133" s="43">
        <f t="shared" si="37"/>
        <v>0</v>
      </c>
      <c r="AW133" s="43">
        <f t="shared" si="37"/>
        <v>0</v>
      </c>
      <c r="AX133" s="43">
        <f t="shared" si="37"/>
        <v>0</v>
      </c>
      <c r="AY133" s="43">
        <f t="shared" si="37"/>
        <v>0</v>
      </c>
      <c r="AZ133" s="43">
        <f t="shared" si="37"/>
        <v>0</v>
      </c>
      <c r="BA133" s="43">
        <f t="shared" si="37"/>
        <v>0</v>
      </c>
      <c r="BB133" s="43">
        <f t="shared" si="37"/>
        <v>0</v>
      </c>
      <c r="BC133" s="43">
        <f t="shared" si="37"/>
        <v>0</v>
      </c>
      <c r="BD133" s="43">
        <f t="shared" si="37"/>
        <v>0</v>
      </c>
      <c r="BE133" s="43">
        <f t="shared" si="37"/>
        <v>0</v>
      </c>
      <c r="BF133" s="43">
        <f t="shared" si="37"/>
        <v>0</v>
      </c>
      <c r="BG133" s="43">
        <f t="shared" si="37"/>
        <v>0</v>
      </c>
      <c r="BH133" s="43">
        <f t="shared" si="37"/>
        <v>0</v>
      </c>
      <c r="BI133" s="43">
        <f t="shared" si="36"/>
        <v>0</v>
      </c>
      <c r="BJ133" s="43">
        <f t="shared" si="36"/>
        <v>0</v>
      </c>
      <c r="BK133" s="43">
        <f t="shared" si="36"/>
        <v>0</v>
      </c>
      <c r="BL133" s="43">
        <f t="shared" si="36"/>
        <v>0</v>
      </c>
      <c r="BM133" s="43">
        <f t="shared" si="36"/>
        <v>0</v>
      </c>
      <c r="BN133" s="43">
        <f t="shared" si="36"/>
        <v>0</v>
      </c>
      <c r="BO133" s="43">
        <f t="shared" si="36"/>
        <v>0</v>
      </c>
      <c r="BP133" s="43">
        <f t="shared" si="36"/>
        <v>0</v>
      </c>
      <c r="BQ133" s="43">
        <f t="shared" si="36"/>
        <v>0</v>
      </c>
    </row>
    <row r="134" spans="3:69" ht="20.100000000000001" customHeight="1">
      <c r="C134" s="551"/>
      <c r="D134" s="552"/>
      <c r="E134" s="553"/>
      <c r="F134" s="554"/>
      <c r="G134" s="554"/>
      <c r="H134" s="554"/>
      <c r="I134" s="555"/>
      <c r="J134" s="556"/>
      <c r="K134" s="557"/>
      <c r="L134" s="558"/>
      <c r="M134" s="86"/>
      <c r="N134" s="87"/>
      <c r="O134" s="255"/>
      <c r="P134" s="255"/>
      <c r="Q134" s="255"/>
      <c r="R134" s="255"/>
      <c r="S134" s="255"/>
      <c r="T134" s="87"/>
      <c r="U134" s="87"/>
      <c r="V134" s="255"/>
      <c r="W134" s="255"/>
      <c r="X134" s="255"/>
      <c r="Y134" s="255"/>
      <c r="Z134" s="255"/>
      <c r="AA134" s="87"/>
      <c r="AB134" s="87"/>
      <c r="AC134" s="255"/>
      <c r="AD134" s="255"/>
      <c r="AE134" s="255"/>
      <c r="AF134" s="255"/>
      <c r="AG134" s="255"/>
      <c r="AH134" s="87"/>
      <c r="AI134" s="87"/>
      <c r="AJ134" s="255"/>
      <c r="AK134" s="255"/>
      <c r="AL134" s="255"/>
      <c r="AM134" s="255"/>
      <c r="AN134" s="255"/>
      <c r="AO134" s="87"/>
      <c r="AP134" s="87"/>
      <c r="AQ134" s="90"/>
      <c r="AS134" s="43">
        <f t="shared" si="37"/>
        <v>0</v>
      </c>
      <c r="AT134" s="43">
        <f t="shared" si="37"/>
        <v>0</v>
      </c>
      <c r="AU134" s="43">
        <f t="shared" si="37"/>
        <v>0</v>
      </c>
      <c r="AV134" s="43">
        <f t="shared" si="37"/>
        <v>0</v>
      </c>
      <c r="AW134" s="43">
        <f t="shared" si="37"/>
        <v>0</v>
      </c>
      <c r="AX134" s="43">
        <f t="shared" si="37"/>
        <v>0</v>
      </c>
      <c r="AY134" s="43">
        <f t="shared" si="37"/>
        <v>0</v>
      </c>
      <c r="AZ134" s="43">
        <f t="shared" si="37"/>
        <v>0</v>
      </c>
      <c r="BA134" s="43">
        <f t="shared" si="37"/>
        <v>0</v>
      </c>
      <c r="BB134" s="43">
        <f t="shared" si="37"/>
        <v>0</v>
      </c>
      <c r="BC134" s="43">
        <f t="shared" si="37"/>
        <v>0</v>
      </c>
      <c r="BD134" s="43">
        <f t="shared" si="37"/>
        <v>0</v>
      </c>
      <c r="BE134" s="43">
        <f t="shared" si="37"/>
        <v>0</v>
      </c>
      <c r="BF134" s="43">
        <f t="shared" si="37"/>
        <v>0</v>
      </c>
      <c r="BG134" s="43">
        <f t="shared" si="37"/>
        <v>0</v>
      </c>
      <c r="BH134" s="43">
        <f t="shared" si="37"/>
        <v>0</v>
      </c>
      <c r="BI134" s="43">
        <f t="shared" si="36"/>
        <v>0</v>
      </c>
      <c r="BJ134" s="43">
        <f t="shared" si="36"/>
        <v>0</v>
      </c>
      <c r="BK134" s="43">
        <f t="shared" si="36"/>
        <v>0</v>
      </c>
      <c r="BL134" s="43">
        <f t="shared" si="36"/>
        <v>0</v>
      </c>
      <c r="BM134" s="43">
        <f t="shared" si="36"/>
        <v>0</v>
      </c>
      <c r="BN134" s="43">
        <f t="shared" si="36"/>
        <v>0</v>
      </c>
      <c r="BO134" s="43">
        <f t="shared" si="36"/>
        <v>0</v>
      </c>
      <c r="BP134" s="43">
        <f t="shared" si="36"/>
        <v>0</v>
      </c>
      <c r="BQ134" s="43">
        <f t="shared" si="36"/>
        <v>0</v>
      </c>
    </row>
    <row r="135" spans="3:69" ht="20.100000000000001" customHeight="1">
      <c r="C135" s="551"/>
      <c r="D135" s="552"/>
      <c r="E135" s="553"/>
      <c r="F135" s="554"/>
      <c r="G135" s="554"/>
      <c r="H135" s="554"/>
      <c r="I135" s="555"/>
      <c r="J135" s="556"/>
      <c r="K135" s="557"/>
      <c r="L135" s="558"/>
      <c r="M135" s="86"/>
      <c r="N135" s="87"/>
      <c r="O135" s="255"/>
      <c r="P135" s="255"/>
      <c r="Q135" s="255"/>
      <c r="R135" s="255"/>
      <c r="S135" s="255"/>
      <c r="T135" s="87"/>
      <c r="U135" s="87"/>
      <c r="V135" s="255"/>
      <c r="W135" s="255"/>
      <c r="X135" s="255"/>
      <c r="Y135" s="255"/>
      <c r="Z135" s="255"/>
      <c r="AA135" s="87"/>
      <c r="AB135" s="87"/>
      <c r="AC135" s="255"/>
      <c r="AD135" s="255"/>
      <c r="AE135" s="255"/>
      <c r="AF135" s="255"/>
      <c r="AG135" s="255"/>
      <c r="AH135" s="87"/>
      <c r="AI135" s="87"/>
      <c r="AJ135" s="255"/>
      <c r="AK135" s="255"/>
      <c r="AL135" s="255"/>
      <c r="AM135" s="255"/>
      <c r="AN135" s="255"/>
      <c r="AO135" s="87"/>
      <c r="AP135" s="87"/>
      <c r="AQ135" s="90"/>
      <c r="AS135" s="43">
        <f t="shared" si="37"/>
        <v>0</v>
      </c>
      <c r="AT135" s="43">
        <f t="shared" si="37"/>
        <v>0</v>
      </c>
      <c r="AU135" s="43">
        <f t="shared" si="37"/>
        <v>0</v>
      </c>
      <c r="AV135" s="43">
        <f t="shared" si="37"/>
        <v>0</v>
      </c>
      <c r="AW135" s="43">
        <f t="shared" si="37"/>
        <v>0</v>
      </c>
      <c r="AX135" s="43">
        <f t="shared" si="37"/>
        <v>0</v>
      </c>
      <c r="AY135" s="43">
        <f t="shared" si="37"/>
        <v>0</v>
      </c>
      <c r="AZ135" s="43">
        <f t="shared" si="37"/>
        <v>0</v>
      </c>
      <c r="BA135" s="43">
        <f t="shared" si="37"/>
        <v>0</v>
      </c>
      <c r="BB135" s="43">
        <f t="shared" si="37"/>
        <v>0</v>
      </c>
      <c r="BC135" s="43">
        <f t="shared" si="37"/>
        <v>0</v>
      </c>
      <c r="BD135" s="43">
        <f t="shared" si="37"/>
        <v>0</v>
      </c>
      <c r="BE135" s="43">
        <f t="shared" si="37"/>
        <v>0</v>
      </c>
      <c r="BF135" s="43">
        <f t="shared" si="37"/>
        <v>0</v>
      </c>
      <c r="BG135" s="43">
        <f t="shared" si="37"/>
        <v>0</v>
      </c>
      <c r="BH135" s="43">
        <f t="shared" si="37"/>
        <v>0</v>
      </c>
      <c r="BI135" s="43">
        <f t="shared" si="36"/>
        <v>0</v>
      </c>
      <c r="BJ135" s="43">
        <f t="shared" si="36"/>
        <v>0</v>
      </c>
      <c r="BK135" s="43">
        <f t="shared" si="36"/>
        <v>0</v>
      </c>
      <c r="BL135" s="43">
        <f t="shared" si="36"/>
        <v>0</v>
      </c>
      <c r="BM135" s="43">
        <f t="shared" si="36"/>
        <v>0</v>
      </c>
      <c r="BN135" s="43">
        <f t="shared" si="36"/>
        <v>0</v>
      </c>
      <c r="BO135" s="43">
        <f t="shared" si="36"/>
        <v>0</v>
      </c>
      <c r="BP135" s="43">
        <f t="shared" si="36"/>
        <v>0</v>
      </c>
      <c r="BQ135" s="43">
        <f t="shared" si="36"/>
        <v>0</v>
      </c>
    </row>
    <row r="136" spans="3:69" ht="20.100000000000001" customHeight="1">
      <c r="C136" s="551"/>
      <c r="D136" s="552"/>
      <c r="E136" s="553"/>
      <c r="F136" s="554"/>
      <c r="G136" s="554"/>
      <c r="H136" s="554"/>
      <c r="I136" s="555"/>
      <c r="J136" s="556"/>
      <c r="K136" s="557"/>
      <c r="L136" s="558"/>
      <c r="M136" s="86"/>
      <c r="N136" s="87"/>
      <c r="O136" s="255"/>
      <c r="P136" s="255"/>
      <c r="Q136" s="255"/>
      <c r="R136" s="255"/>
      <c r="S136" s="255"/>
      <c r="T136" s="87"/>
      <c r="U136" s="87"/>
      <c r="V136" s="255"/>
      <c r="W136" s="255"/>
      <c r="X136" s="255"/>
      <c r="Y136" s="255"/>
      <c r="Z136" s="255"/>
      <c r="AA136" s="87"/>
      <c r="AB136" s="87"/>
      <c r="AC136" s="255"/>
      <c r="AD136" s="255"/>
      <c r="AE136" s="255"/>
      <c r="AF136" s="255"/>
      <c r="AG136" s="255"/>
      <c r="AH136" s="87"/>
      <c r="AI136" s="87"/>
      <c r="AJ136" s="255"/>
      <c r="AK136" s="255"/>
      <c r="AL136" s="255"/>
      <c r="AM136" s="255"/>
      <c r="AN136" s="255"/>
      <c r="AO136" s="87"/>
      <c r="AP136" s="87"/>
      <c r="AQ136" s="90"/>
      <c r="AS136" s="43">
        <f t="shared" si="37"/>
        <v>0</v>
      </c>
      <c r="AT136" s="43">
        <f t="shared" si="37"/>
        <v>0</v>
      </c>
      <c r="AU136" s="43">
        <f t="shared" si="37"/>
        <v>0</v>
      </c>
      <c r="AV136" s="43">
        <f t="shared" si="37"/>
        <v>0</v>
      </c>
      <c r="AW136" s="43">
        <f t="shared" si="37"/>
        <v>0</v>
      </c>
      <c r="AX136" s="43">
        <f t="shared" si="37"/>
        <v>0</v>
      </c>
      <c r="AY136" s="43">
        <f t="shared" si="37"/>
        <v>0</v>
      </c>
      <c r="AZ136" s="43">
        <f t="shared" si="37"/>
        <v>0</v>
      </c>
      <c r="BA136" s="43">
        <f t="shared" si="37"/>
        <v>0</v>
      </c>
      <c r="BB136" s="43">
        <f t="shared" si="37"/>
        <v>0</v>
      </c>
      <c r="BC136" s="43">
        <f t="shared" si="37"/>
        <v>0</v>
      </c>
      <c r="BD136" s="43">
        <f t="shared" si="37"/>
        <v>0</v>
      </c>
      <c r="BE136" s="43">
        <f t="shared" si="37"/>
        <v>0</v>
      </c>
      <c r="BF136" s="43">
        <f t="shared" si="37"/>
        <v>0</v>
      </c>
      <c r="BG136" s="43">
        <f t="shared" si="37"/>
        <v>0</v>
      </c>
      <c r="BH136" s="43">
        <f t="shared" si="37"/>
        <v>0</v>
      </c>
      <c r="BI136" s="43">
        <f t="shared" si="36"/>
        <v>0</v>
      </c>
      <c r="BJ136" s="43">
        <f t="shared" si="36"/>
        <v>0</v>
      </c>
      <c r="BK136" s="43">
        <f t="shared" si="36"/>
        <v>0</v>
      </c>
      <c r="BL136" s="43">
        <f t="shared" si="36"/>
        <v>0</v>
      </c>
      <c r="BM136" s="43">
        <f t="shared" si="36"/>
        <v>0</v>
      </c>
      <c r="BN136" s="43">
        <f t="shared" si="36"/>
        <v>0</v>
      </c>
      <c r="BO136" s="43">
        <f t="shared" si="36"/>
        <v>0</v>
      </c>
      <c r="BP136" s="43">
        <f t="shared" si="36"/>
        <v>0</v>
      </c>
      <c r="BQ136" s="43">
        <f t="shared" si="36"/>
        <v>0</v>
      </c>
    </row>
    <row r="137" spans="3:69" ht="20.100000000000001" customHeight="1">
      <c r="C137" s="581"/>
      <c r="D137" s="582"/>
      <c r="E137" s="583"/>
      <c r="F137" s="584"/>
      <c r="G137" s="584"/>
      <c r="H137" s="584"/>
      <c r="I137" s="585"/>
      <c r="J137" s="586"/>
      <c r="K137" s="587"/>
      <c r="L137" s="588"/>
      <c r="M137" s="88"/>
      <c r="N137" s="77"/>
      <c r="O137" s="259"/>
      <c r="P137" s="259"/>
      <c r="Q137" s="259"/>
      <c r="R137" s="259"/>
      <c r="S137" s="259"/>
      <c r="T137" s="77"/>
      <c r="U137" s="77"/>
      <c r="V137" s="259"/>
      <c r="W137" s="259"/>
      <c r="X137" s="259"/>
      <c r="Y137" s="259"/>
      <c r="Z137" s="259"/>
      <c r="AA137" s="77"/>
      <c r="AB137" s="77"/>
      <c r="AC137" s="259"/>
      <c r="AD137" s="259"/>
      <c r="AE137" s="259"/>
      <c r="AF137" s="259"/>
      <c r="AG137" s="259"/>
      <c r="AH137" s="77"/>
      <c r="AI137" s="77"/>
      <c r="AJ137" s="259"/>
      <c r="AK137" s="259"/>
      <c r="AL137" s="259"/>
      <c r="AM137" s="259"/>
      <c r="AN137" s="259"/>
      <c r="AO137" s="77"/>
      <c r="AP137" s="77"/>
      <c r="AQ137" s="78"/>
      <c r="AS137" s="43">
        <f t="shared" si="37"/>
        <v>0</v>
      </c>
      <c r="AT137" s="43">
        <f t="shared" si="37"/>
        <v>0</v>
      </c>
      <c r="AU137" s="43">
        <f t="shared" si="37"/>
        <v>0</v>
      </c>
      <c r="AV137" s="43">
        <f t="shared" si="37"/>
        <v>0</v>
      </c>
      <c r="AW137" s="43">
        <f t="shared" si="37"/>
        <v>0</v>
      </c>
      <c r="AX137" s="43">
        <f t="shared" si="37"/>
        <v>0</v>
      </c>
      <c r="AY137" s="43">
        <f t="shared" si="37"/>
        <v>0</v>
      </c>
      <c r="AZ137" s="43">
        <f t="shared" si="37"/>
        <v>0</v>
      </c>
      <c r="BA137" s="43">
        <f t="shared" si="37"/>
        <v>0</v>
      </c>
      <c r="BB137" s="43">
        <f t="shared" si="37"/>
        <v>0</v>
      </c>
      <c r="BC137" s="43">
        <f t="shared" si="37"/>
        <v>0</v>
      </c>
      <c r="BD137" s="43">
        <f t="shared" si="37"/>
        <v>0</v>
      </c>
      <c r="BE137" s="43">
        <f t="shared" si="37"/>
        <v>0</v>
      </c>
      <c r="BF137" s="43">
        <f t="shared" si="37"/>
        <v>0</v>
      </c>
      <c r="BG137" s="43">
        <f t="shared" si="37"/>
        <v>0</v>
      </c>
      <c r="BH137" s="43">
        <f t="shared" si="37"/>
        <v>0</v>
      </c>
      <c r="BI137" s="43">
        <f t="shared" si="36"/>
        <v>0</v>
      </c>
      <c r="BJ137" s="43">
        <f t="shared" si="36"/>
        <v>0</v>
      </c>
      <c r="BK137" s="43">
        <f t="shared" si="36"/>
        <v>0</v>
      </c>
      <c r="BL137" s="43">
        <f t="shared" si="36"/>
        <v>0</v>
      </c>
      <c r="BM137" s="43">
        <f t="shared" si="36"/>
        <v>0</v>
      </c>
      <c r="BN137" s="43">
        <f t="shared" si="36"/>
        <v>0</v>
      </c>
      <c r="BO137" s="43">
        <f t="shared" si="36"/>
        <v>0</v>
      </c>
      <c r="BP137" s="43">
        <f t="shared" si="36"/>
        <v>0</v>
      </c>
      <c r="BQ137" s="43">
        <f t="shared" si="36"/>
        <v>0</v>
      </c>
    </row>
    <row r="138" spans="3:69" ht="20.100000000000001" hidden="1" customHeight="1">
      <c r="M138">
        <f>DTCHK(M124,YK!$J$3:$J$52)</f>
        <v>1</v>
      </c>
      <c r="N138">
        <f>DTCHK(N124,YK!$J$3:$J$52)</f>
        <v>0</v>
      </c>
      <c r="O138">
        <f>DTCHK(O124,YK!$J$3:$J$52)</f>
        <v>0</v>
      </c>
      <c r="P138">
        <f>DTCHK(P124,YK!$J$3:$J$52)</f>
        <v>0</v>
      </c>
      <c r="Q138">
        <f>DTCHK(Q124,YK!$J$3:$J$52)</f>
        <v>0</v>
      </c>
      <c r="R138">
        <f>DTCHK(R124,YK!$J$3:$J$52)</f>
        <v>0</v>
      </c>
      <c r="S138">
        <f>DTCHK(S124,YK!$J$3:$J$52)</f>
        <v>0</v>
      </c>
      <c r="T138">
        <f>DTCHK(T124,YK!$J$3:$J$52)</f>
        <v>0</v>
      </c>
      <c r="U138">
        <f>DTCHK(U124,YK!$J$3:$J$52)</f>
        <v>0</v>
      </c>
      <c r="V138">
        <f>DTCHK(V124,YK!$J$3:$J$52)</f>
        <v>0</v>
      </c>
      <c r="W138">
        <f>DTCHK(W124,YK!$J$3:$J$52)</f>
        <v>0</v>
      </c>
      <c r="X138">
        <f>DTCHK(X124,YK!$J$3:$J$52)</f>
        <v>0</v>
      </c>
      <c r="Y138">
        <f>DTCHK(Y124,YK!$J$3:$J$52)</f>
        <v>0</v>
      </c>
      <c r="Z138">
        <f>DTCHK(Z124,YK!$J$3:$J$52)</f>
        <v>0</v>
      </c>
      <c r="AA138">
        <f>DTCHK(AA124,YK!$J$3:$J$52)</f>
        <v>1</v>
      </c>
      <c r="AB138">
        <f>DTCHK(AB124,YK!$J$3:$J$52)</f>
        <v>0</v>
      </c>
      <c r="AC138">
        <f>DTCHK(AC124,YK!$J$3:$J$52)</f>
        <v>0</v>
      </c>
      <c r="AD138">
        <f>DTCHK(AD124,YK!$J$3:$J$52)</f>
        <v>0</v>
      </c>
      <c r="AE138">
        <f>DTCHK(AE124,YK!$J$3:$J$52)</f>
        <v>0</v>
      </c>
      <c r="AF138">
        <f>DTCHK(AF124,YK!$J$3:$J$52)</f>
        <v>0</v>
      </c>
      <c r="AG138">
        <f>DTCHK(AG124,YK!$J$3:$J$52)</f>
        <v>0</v>
      </c>
      <c r="AH138">
        <f>DTCHK(AH124,YK!$J$3:$J$52)</f>
        <v>0</v>
      </c>
      <c r="AI138">
        <f>DTCHK(AI124,YK!$J$3:$J$52)</f>
        <v>0</v>
      </c>
      <c r="AJ138">
        <f>DTCHK(AJ124,YK!$J$3:$J$52)</f>
        <v>0</v>
      </c>
      <c r="AK138">
        <f>DTCHK(AK124,YK!$J$3:$J$52)</f>
        <v>0</v>
      </c>
      <c r="AL138">
        <f>DTCHK(AL124,YK!$J$3:$J$52)</f>
        <v>0</v>
      </c>
      <c r="AM138">
        <f>DTCHK(AM124,YK!$J$3:$J$52)</f>
        <v>0</v>
      </c>
      <c r="AN138">
        <f>DTCHK(AN124,YK!$J$3:$J$52)</f>
        <v>0</v>
      </c>
      <c r="AO138">
        <f>DTCHK(AO124,YK!$J$3:$J$52)</f>
        <v>0</v>
      </c>
      <c r="AP138">
        <f>DTCHK(AP124,YK!$J$3:$J$52)</f>
        <v>0</v>
      </c>
      <c r="AQ138">
        <f>DTCHK(AQ124,YK!$J$3:$J$52)</f>
        <v>1</v>
      </c>
      <c r="AS138" s="43">
        <f t="shared" si="37"/>
        <v>0</v>
      </c>
      <c r="AT138" s="43">
        <f t="shared" si="37"/>
        <v>0</v>
      </c>
      <c r="AU138" s="43">
        <f t="shared" si="37"/>
        <v>0</v>
      </c>
      <c r="AV138" s="43">
        <f t="shared" si="37"/>
        <v>0</v>
      </c>
      <c r="AW138" s="43">
        <f t="shared" si="37"/>
        <v>0</v>
      </c>
      <c r="AX138" s="43">
        <f t="shared" si="37"/>
        <v>0</v>
      </c>
      <c r="AY138" s="43">
        <f t="shared" si="37"/>
        <v>0</v>
      </c>
      <c r="AZ138" s="43">
        <f t="shared" si="37"/>
        <v>0</v>
      </c>
      <c r="BA138" s="43">
        <f t="shared" si="37"/>
        <v>0</v>
      </c>
      <c r="BB138" s="43">
        <f t="shared" si="37"/>
        <v>0</v>
      </c>
      <c r="BC138" s="43">
        <f t="shared" si="37"/>
        <v>0</v>
      </c>
      <c r="BD138" s="43">
        <f t="shared" si="37"/>
        <v>0</v>
      </c>
      <c r="BE138" s="43">
        <f t="shared" si="37"/>
        <v>28</v>
      </c>
      <c r="BF138" s="43">
        <f t="shared" si="37"/>
        <v>28</v>
      </c>
      <c r="BG138" s="43">
        <f t="shared" si="37"/>
        <v>28</v>
      </c>
      <c r="BH138" s="43">
        <f t="shared" si="37"/>
        <v>28</v>
      </c>
      <c r="BI138" s="43">
        <f t="shared" si="36"/>
        <v>28</v>
      </c>
      <c r="BJ138" s="43">
        <f t="shared" si="36"/>
        <v>0</v>
      </c>
      <c r="BK138" s="43">
        <f t="shared" si="36"/>
        <v>28</v>
      </c>
      <c r="BL138" s="43">
        <f t="shared" si="36"/>
        <v>28</v>
      </c>
      <c r="BM138" s="43">
        <f t="shared" si="36"/>
        <v>28</v>
      </c>
      <c r="BN138" s="43">
        <f t="shared" si="36"/>
        <v>0</v>
      </c>
      <c r="BO138" s="43">
        <f t="shared" si="36"/>
        <v>0</v>
      </c>
      <c r="BP138" s="43">
        <f t="shared" si="36"/>
        <v>0</v>
      </c>
      <c r="BQ138" s="43">
        <f t="shared" si="36"/>
        <v>28</v>
      </c>
    </row>
    <row r="139" spans="3:69" ht="20.100000000000001" customHeight="1">
      <c r="C139" s="539" t="str">
        <f ca="1">Lists!F9</f>
        <v>Wrzesień</v>
      </c>
      <c r="D139" s="540"/>
      <c r="E139" s="540"/>
      <c r="F139" s="540"/>
      <c r="G139" s="541"/>
    </row>
    <row r="140" spans="3:69" ht="20.100000000000001" customHeight="1">
      <c r="C140" s="542"/>
      <c r="D140" s="543"/>
      <c r="E140" s="543"/>
      <c r="F140" s="543"/>
      <c r="G140" s="544"/>
    </row>
    <row r="141" spans="3:69" ht="20.100000000000001" hidden="1" customHeight="1">
      <c r="C141" s="31"/>
      <c r="D141" s="32"/>
      <c r="E141" s="32"/>
      <c r="F141" s="32"/>
      <c r="G141" s="32"/>
      <c r="M141" s="10">
        <f>M124+31</f>
        <v>46266</v>
      </c>
      <c r="N141" s="10">
        <f>M141+1</f>
        <v>46267</v>
      </c>
      <c r="O141" s="10">
        <f t="shared" ref="O141:AQ141" si="38">N141+1</f>
        <v>46268</v>
      </c>
      <c r="P141" s="10">
        <f t="shared" si="38"/>
        <v>46269</v>
      </c>
      <c r="Q141" s="10">
        <f t="shared" si="38"/>
        <v>46270</v>
      </c>
      <c r="R141" s="10">
        <f t="shared" si="38"/>
        <v>46271</v>
      </c>
      <c r="S141" s="10">
        <f t="shared" si="38"/>
        <v>46272</v>
      </c>
      <c r="T141" s="10">
        <f t="shared" si="38"/>
        <v>46273</v>
      </c>
      <c r="U141" s="10">
        <f t="shared" si="38"/>
        <v>46274</v>
      </c>
      <c r="V141" s="10">
        <f t="shared" si="38"/>
        <v>46275</v>
      </c>
      <c r="W141" s="10">
        <f t="shared" si="38"/>
        <v>46276</v>
      </c>
      <c r="X141" s="10">
        <f t="shared" si="38"/>
        <v>46277</v>
      </c>
      <c r="Y141" s="10">
        <f t="shared" si="38"/>
        <v>46278</v>
      </c>
      <c r="Z141" s="10">
        <f t="shared" si="38"/>
        <v>46279</v>
      </c>
      <c r="AA141" s="10">
        <f t="shared" si="38"/>
        <v>46280</v>
      </c>
      <c r="AB141" s="10">
        <f t="shared" si="38"/>
        <v>46281</v>
      </c>
      <c r="AC141" s="10">
        <f t="shared" si="38"/>
        <v>46282</v>
      </c>
      <c r="AD141" s="10">
        <f t="shared" si="38"/>
        <v>46283</v>
      </c>
      <c r="AE141" s="10">
        <f t="shared" si="38"/>
        <v>46284</v>
      </c>
      <c r="AF141" s="10">
        <f t="shared" si="38"/>
        <v>46285</v>
      </c>
      <c r="AG141" s="10">
        <f t="shared" si="38"/>
        <v>46286</v>
      </c>
      <c r="AH141" s="10">
        <f t="shared" si="38"/>
        <v>46287</v>
      </c>
      <c r="AI141" s="10">
        <f t="shared" si="38"/>
        <v>46288</v>
      </c>
      <c r="AJ141" s="10">
        <f t="shared" si="38"/>
        <v>46289</v>
      </c>
      <c r="AK141" s="10">
        <f t="shared" si="38"/>
        <v>46290</v>
      </c>
      <c r="AL141" s="10">
        <f t="shared" si="38"/>
        <v>46291</v>
      </c>
      <c r="AM141" s="10">
        <f t="shared" si="38"/>
        <v>46292</v>
      </c>
      <c r="AN141" s="10">
        <f t="shared" si="38"/>
        <v>46293</v>
      </c>
      <c r="AO141" s="10">
        <f t="shared" si="38"/>
        <v>46294</v>
      </c>
      <c r="AP141" s="10">
        <f t="shared" si="38"/>
        <v>46295</v>
      </c>
      <c r="AQ141" s="10">
        <f t="shared" si="38"/>
        <v>46296</v>
      </c>
    </row>
    <row r="142" spans="3:69" ht="20.100000000000001" hidden="1" customHeight="1">
      <c r="C142" s="31"/>
      <c r="D142" s="32"/>
      <c r="E142" s="32"/>
      <c r="F142" s="32"/>
      <c r="G142" s="32"/>
      <c r="M142">
        <f t="shared" ref="M142:AQ142" si="39">WEEKDAY(M141,2)</f>
        <v>2</v>
      </c>
      <c r="N142">
        <f t="shared" si="39"/>
        <v>3</v>
      </c>
      <c r="O142">
        <f t="shared" si="39"/>
        <v>4</v>
      </c>
      <c r="P142">
        <f t="shared" si="39"/>
        <v>5</v>
      </c>
      <c r="Q142">
        <f t="shared" si="39"/>
        <v>6</v>
      </c>
      <c r="R142">
        <f t="shared" si="39"/>
        <v>7</v>
      </c>
      <c r="S142">
        <f t="shared" si="39"/>
        <v>1</v>
      </c>
      <c r="T142">
        <f t="shared" si="39"/>
        <v>2</v>
      </c>
      <c r="U142">
        <f t="shared" si="39"/>
        <v>3</v>
      </c>
      <c r="V142">
        <f t="shared" si="39"/>
        <v>4</v>
      </c>
      <c r="W142">
        <f t="shared" si="39"/>
        <v>5</v>
      </c>
      <c r="X142">
        <f t="shared" si="39"/>
        <v>6</v>
      </c>
      <c r="Y142">
        <f t="shared" si="39"/>
        <v>7</v>
      </c>
      <c r="Z142">
        <f t="shared" si="39"/>
        <v>1</v>
      </c>
      <c r="AA142">
        <f t="shared" si="39"/>
        <v>2</v>
      </c>
      <c r="AB142">
        <f t="shared" si="39"/>
        <v>3</v>
      </c>
      <c r="AC142">
        <f t="shared" si="39"/>
        <v>4</v>
      </c>
      <c r="AD142">
        <f t="shared" si="39"/>
        <v>5</v>
      </c>
      <c r="AE142">
        <f t="shared" si="39"/>
        <v>6</v>
      </c>
      <c r="AF142">
        <f t="shared" si="39"/>
        <v>7</v>
      </c>
      <c r="AG142">
        <f t="shared" si="39"/>
        <v>1</v>
      </c>
      <c r="AH142">
        <f t="shared" si="39"/>
        <v>2</v>
      </c>
      <c r="AI142">
        <f t="shared" si="39"/>
        <v>3</v>
      </c>
      <c r="AJ142">
        <f t="shared" si="39"/>
        <v>4</v>
      </c>
      <c r="AK142">
        <f t="shared" si="39"/>
        <v>5</v>
      </c>
      <c r="AL142">
        <f t="shared" si="39"/>
        <v>6</v>
      </c>
      <c r="AM142">
        <f t="shared" si="39"/>
        <v>7</v>
      </c>
      <c r="AN142">
        <f t="shared" si="39"/>
        <v>1</v>
      </c>
      <c r="AO142">
        <f t="shared" si="39"/>
        <v>2</v>
      </c>
      <c r="AP142">
        <f t="shared" si="39"/>
        <v>3</v>
      </c>
      <c r="AQ142">
        <f t="shared" si="39"/>
        <v>4</v>
      </c>
    </row>
    <row r="143" spans="3:69" ht="20.100000000000001" customHeight="1">
      <c r="C143" s="559" t="str">
        <f ca="1">INDIRECT("T!"&amp;T!A1&amp;"33")</f>
        <v>Etat</v>
      </c>
      <c r="D143" s="560"/>
      <c r="E143" s="563" t="s">
        <v>6</v>
      </c>
      <c r="F143" s="564"/>
      <c r="G143" s="564"/>
      <c r="H143" s="564"/>
      <c r="I143" s="565"/>
      <c r="J143" s="569" t="str">
        <f ca="1">INDIRECT("T!"&amp;T!A1&amp;"34")</f>
        <v>Pozycja</v>
      </c>
      <c r="K143" s="570"/>
      <c r="L143" s="571"/>
      <c r="M143" s="28">
        <v>1</v>
      </c>
      <c r="N143" s="28">
        <v>2</v>
      </c>
      <c r="O143" s="28">
        <v>3</v>
      </c>
      <c r="P143" s="28">
        <v>4</v>
      </c>
      <c r="Q143" s="28">
        <v>5</v>
      </c>
      <c r="R143" s="28">
        <v>6</v>
      </c>
      <c r="S143" s="28">
        <v>7</v>
      </c>
      <c r="T143" s="28">
        <v>8</v>
      </c>
      <c r="U143" s="28">
        <v>9</v>
      </c>
      <c r="V143" s="28">
        <v>10</v>
      </c>
      <c r="W143" s="28">
        <v>11</v>
      </c>
      <c r="X143" s="28">
        <v>12</v>
      </c>
      <c r="Y143" s="28">
        <v>13</v>
      </c>
      <c r="Z143" s="28">
        <v>14</v>
      </c>
      <c r="AA143" s="28">
        <v>15</v>
      </c>
      <c r="AB143" s="28">
        <v>16</v>
      </c>
      <c r="AC143" s="28">
        <v>17</v>
      </c>
      <c r="AD143" s="28">
        <v>18</v>
      </c>
      <c r="AE143" s="28">
        <v>19</v>
      </c>
      <c r="AF143" s="28">
        <v>20</v>
      </c>
      <c r="AG143" s="28">
        <v>21</v>
      </c>
      <c r="AH143" s="28">
        <v>22</v>
      </c>
      <c r="AI143" s="28">
        <v>23</v>
      </c>
      <c r="AJ143" s="28">
        <v>24</v>
      </c>
      <c r="AK143" s="28">
        <v>25</v>
      </c>
      <c r="AL143" s="28">
        <v>26</v>
      </c>
      <c r="AM143" s="28">
        <v>27</v>
      </c>
      <c r="AN143" s="28">
        <v>28</v>
      </c>
      <c r="AO143" s="28">
        <v>29</v>
      </c>
      <c r="AP143" s="28">
        <v>30</v>
      </c>
      <c r="AQ143" s="28">
        <v>31</v>
      </c>
    </row>
    <row r="144" spans="3:69" ht="20.100000000000001" customHeight="1">
      <c r="C144" s="561"/>
      <c r="D144" s="562"/>
      <c r="E144" s="566"/>
      <c r="F144" s="567"/>
      <c r="G144" s="567"/>
      <c r="H144" s="567"/>
      <c r="I144" s="568"/>
      <c r="J144" s="572"/>
      <c r="K144" s="573"/>
      <c r="L144" s="574"/>
      <c r="M144" s="29" t="str">
        <f ca="1">IF(M142=1,INDIRECT("T!"&amp;T!$A$1&amp;"26"),IF(M142=2,INDIRECT("T!"&amp;T!$A$1&amp;"27"),IF(M142=3,INDIRECT("T!"&amp;T!$A$1&amp;"28"),IF(M142=4,INDIRECT("T!"&amp;T!$A$1&amp;"29"),IF(M142=5,INDIRECT("T!"&amp;T!$A$1&amp;"30"),IF(M142=6,INDIRECT("T!"&amp;T!$A$1&amp;"31"),IF(M142=7,INDIRECT("T!"&amp;T!$A$1&amp;"32"),0)))))))</f>
        <v>Wt</v>
      </c>
      <c r="N144" s="29" t="str">
        <f ca="1">IF(N142=1,INDIRECT("T!"&amp;T!$A$1&amp;"26"),IF(N142=2,INDIRECT("T!"&amp;T!$A$1&amp;"27"),IF(N142=3,INDIRECT("T!"&amp;T!$A$1&amp;"28"),IF(N142=4,INDIRECT("T!"&amp;T!$A$1&amp;"29"),IF(N142=5,INDIRECT("T!"&amp;T!$A$1&amp;"30"),IF(N142=6,INDIRECT("T!"&amp;T!$A$1&amp;"31"),IF(N142=7,INDIRECT("T!"&amp;T!$A$1&amp;"32"),0)))))))</f>
        <v>Śr</v>
      </c>
      <c r="O144" s="29" t="str">
        <f ca="1">IF(O142=1,INDIRECT("T!"&amp;T!$A$1&amp;"26"),IF(O142=2,INDIRECT("T!"&amp;T!$A$1&amp;"27"),IF(O142=3,INDIRECT("T!"&amp;T!$A$1&amp;"28"),IF(O142=4,INDIRECT("T!"&amp;T!$A$1&amp;"29"),IF(O142=5,INDIRECT("T!"&amp;T!$A$1&amp;"30"),IF(O142=6,INDIRECT("T!"&amp;T!$A$1&amp;"31"),IF(O142=7,INDIRECT("T!"&amp;T!$A$1&amp;"32"),0)))))))</f>
        <v>Cz</v>
      </c>
      <c r="P144" s="29" t="str">
        <f ca="1">IF(P142=1,INDIRECT("T!"&amp;T!$A$1&amp;"26"),IF(P142=2,INDIRECT("T!"&amp;T!$A$1&amp;"27"),IF(P142=3,INDIRECT("T!"&amp;T!$A$1&amp;"28"),IF(P142=4,INDIRECT("T!"&amp;T!$A$1&amp;"29"),IF(P142=5,INDIRECT("T!"&amp;T!$A$1&amp;"30"),IF(P142=6,INDIRECT("T!"&amp;T!$A$1&amp;"31"),IF(P142=7,INDIRECT("T!"&amp;T!$A$1&amp;"32"),0)))))))</f>
        <v>Pt</v>
      </c>
      <c r="Q144" s="29" t="str">
        <f ca="1">IF(Q142=1,INDIRECT("T!"&amp;T!$A$1&amp;"26"),IF(Q142=2,INDIRECT("T!"&amp;T!$A$1&amp;"27"),IF(Q142=3,INDIRECT("T!"&amp;T!$A$1&amp;"28"),IF(Q142=4,INDIRECT("T!"&amp;T!$A$1&amp;"29"),IF(Q142=5,INDIRECT("T!"&amp;T!$A$1&amp;"30"),IF(Q142=6,INDIRECT("T!"&amp;T!$A$1&amp;"31"),IF(Q142=7,INDIRECT("T!"&amp;T!$A$1&amp;"32"),0)))))))</f>
        <v>So</v>
      </c>
      <c r="R144" s="29" t="str">
        <f ca="1">IF(R142=1,INDIRECT("T!"&amp;T!$A$1&amp;"26"),IF(R142=2,INDIRECT("T!"&amp;T!$A$1&amp;"27"),IF(R142=3,INDIRECT("T!"&amp;T!$A$1&amp;"28"),IF(R142=4,INDIRECT("T!"&amp;T!$A$1&amp;"29"),IF(R142=5,INDIRECT("T!"&amp;T!$A$1&amp;"30"),IF(R142=6,INDIRECT("T!"&amp;T!$A$1&amp;"31"),IF(R142=7,INDIRECT("T!"&amp;T!$A$1&amp;"32"),0)))))))</f>
        <v>Nd</v>
      </c>
      <c r="S144" s="29" t="str">
        <f ca="1">IF(S142=1,INDIRECT("T!"&amp;T!$A$1&amp;"26"),IF(S142=2,INDIRECT("T!"&amp;T!$A$1&amp;"27"),IF(S142=3,INDIRECT("T!"&amp;T!$A$1&amp;"28"),IF(S142=4,INDIRECT("T!"&amp;T!$A$1&amp;"29"),IF(S142=5,INDIRECT("T!"&amp;T!$A$1&amp;"30"),IF(S142=6,INDIRECT("T!"&amp;T!$A$1&amp;"31"),IF(S142=7,INDIRECT("T!"&amp;T!$A$1&amp;"32"),0)))))))</f>
        <v>Pn</v>
      </c>
      <c r="T144" s="29" t="str">
        <f ca="1">IF(T142=1,INDIRECT("T!"&amp;T!$A$1&amp;"26"),IF(T142=2,INDIRECT("T!"&amp;T!$A$1&amp;"27"),IF(T142=3,INDIRECT("T!"&amp;T!$A$1&amp;"28"),IF(T142=4,INDIRECT("T!"&amp;T!$A$1&amp;"29"),IF(T142=5,INDIRECT("T!"&amp;T!$A$1&amp;"30"),IF(T142=6,INDIRECT("T!"&amp;T!$A$1&amp;"31"),IF(T142=7,INDIRECT("T!"&amp;T!$A$1&amp;"32"),0)))))))</f>
        <v>Wt</v>
      </c>
      <c r="U144" s="29" t="str">
        <f ca="1">IF(U142=1,INDIRECT("T!"&amp;T!$A$1&amp;"26"),IF(U142=2,INDIRECT("T!"&amp;T!$A$1&amp;"27"),IF(U142=3,INDIRECT("T!"&amp;T!$A$1&amp;"28"),IF(U142=4,INDIRECT("T!"&amp;T!$A$1&amp;"29"),IF(U142=5,INDIRECT("T!"&amp;T!$A$1&amp;"30"),IF(U142=6,INDIRECT("T!"&amp;T!$A$1&amp;"31"),IF(U142=7,INDIRECT("T!"&amp;T!$A$1&amp;"32"),0)))))))</f>
        <v>Śr</v>
      </c>
      <c r="V144" s="29" t="str">
        <f ca="1">IF(V142=1,INDIRECT("T!"&amp;T!$A$1&amp;"26"),IF(V142=2,INDIRECT("T!"&amp;T!$A$1&amp;"27"),IF(V142=3,INDIRECT("T!"&amp;T!$A$1&amp;"28"),IF(V142=4,INDIRECT("T!"&amp;T!$A$1&amp;"29"),IF(V142=5,INDIRECT("T!"&amp;T!$A$1&amp;"30"),IF(V142=6,INDIRECT("T!"&amp;T!$A$1&amp;"31"),IF(V142=7,INDIRECT("T!"&amp;T!$A$1&amp;"32"),0)))))))</f>
        <v>Cz</v>
      </c>
      <c r="W144" s="29" t="str">
        <f ca="1">IF(W142=1,INDIRECT("T!"&amp;T!$A$1&amp;"26"),IF(W142=2,INDIRECT("T!"&amp;T!$A$1&amp;"27"),IF(W142=3,INDIRECT("T!"&amp;T!$A$1&amp;"28"),IF(W142=4,INDIRECT("T!"&amp;T!$A$1&amp;"29"),IF(W142=5,INDIRECT("T!"&amp;T!$A$1&amp;"30"),IF(W142=6,INDIRECT("T!"&amp;T!$A$1&amp;"31"),IF(W142=7,INDIRECT("T!"&amp;T!$A$1&amp;"32"),0)))))))</f>
        <v>Pt</v>
      </c>
      <c r="X144" s="29" t="str">
        <f ca="1">IF(X142=1,INDIRECT("T!"&amp;T!$A$1&amp;"26"),IF(X142=2,INDIRECT("T!"&amp;T!$A$1&amp;"27"),IF(X142=3,INDIRECT("T!"&amp;T!$A$1&amp;"28"),IF(X142=4,INDIRECT("T!"&amp;T!$A$1&amp;"29"),IF(X142=5,INDIRECT("T!"&amp;T!$A$1&amp;"30"),IF(X142=6,INDIRECT("T!"&amp;T!$A$1&amp;"31"),IF(X142=7,INDIRECT("T!"&amp;T!$A$1&amp;"32"),0)))))))</f>
        <v>So</v>
      </c>
      <c r="Y144" s="29" t="str">
        <f ca="1">IF(Y142=1,INDIRECT("T!"&amp;T!$A$1&amp;"26"),IF(Y142=2,INDIRECT("T!"&amp;T!$A$1&amp;"27"),IF(Y142=3,INDIRECT("T!"&amp;T!$A$1&amp;"28"),IF(Y142=4,INDIRECT("T!"&amp;T!$A$1&amp;"29"),IF(Y142=5,INDIRECT("T!"&amp;T!$A$1&amp;"30"),IF(Y142=6,INDIRECT("T!"&amp;T!$A$1&amp;"31"),IF(Y142=7,INDIRECT("T!"&amp;T!$A$1&amp;"32"),0)))))))</f>
        <v>Nd</v>
      </c>
      <c r="Z144" s="29" t="str">
        <f ca="1">IF(Z142=1,INDIRECT("T!"&amp;T!$A$1&amp;"26"),IF(Z142=2,INDIRECT("T!"&amp;T!$A$1&amp;"27"),IF(Z142=3,INDIRECT("T!"&amp;T!$A$1&amp;"28"),IF(Z142=4,INDIRECT("T!"&amp;T!$A$1&amp;"29"),IF(Z142=5,INDIRECT("T!"&amp;T!$A$1&amp;"30"),IF(Z142=6,INDIRECT("T!"&amp;T!$A$1&amp;"31"),IF(Z142=7,INDIRECT("T!"&amp;T!$A$1&amp;"32"),0)))))))</f>
        <v>Pn</v>
      </c>
      <c r="AA144" s="29" t="str">
        <f ca="1">IF(AA142=1,INDIRECT("T!"&amp;T!$A$1&amp;"26"),IF(AA142=2,INDIRECT("T!"&amp;T!$A$1&amp;"27"),IF(AA142=3,INDIRECT("T!"&amp;T!$A$1&amp;"28"),IF(AA142=4,INDIRECT("T!"&amp;T!$A$1&amp;"29"),IF(AA142=5,INDIRECT("T!"&amp;T!$A$1&amp;"30"),IF(AA142=6,INDIRECT("T!"&amp;T!$A$1&amp;"31"),IF(AA142=7,INDIRECT("T!"&amp;T!$A$1&amp;"32"),0)))))))</f>
        <v>Wt</v>
      </c>
      <c r="AB144" s="29" t="str">
        <f ca="1">IF(AB142=1,INDIRECT("T!"&amp;T!$A$1&amp;"26"),IF(AB142=2,INDIRECT("T!"&amp;T!$A$1&amp;"27"),IF(AB142=3,INDIRECT("T!"&amp;T!$A$1&amp;"28"),IF(AB142=4,INDIRECT("T!"&amp;T!$A$1&amp;"29"),IF(AB142=5,INDIRECT("T!"&amp;T!$A$1&amp;"30"),IF(AB142=6,INDIRECT("T!"&amp;T!$A$1&amp;"31"),IF(AB142=7,INDIRECT("T!"&amp;T!$A$1&amp;"32"),0)))))))</f>
        <v>Śr</v>
      </c>
      <c r="AC144" s="29" t="str">
        <f ca="1">IF(AC142=1,INDIRECT("T!"&amp;T!$A$1&amp;"26"),IF(AC142=2,INDIRECT("T!"&amp;T!$A$1&amp;"27"),IF(AC142=3,INDIRECT("T!"&amp;T!$A$1&amp;"28"),IF(AC142=4,INDIRECT("T!"&amp;T!$A$1&amp;"29"),IF(AC142=5,INDIRECT("T!"&amp;T!$A$1&amp;"30"),IF(AC142=6,INDIRECT("T!"&amp;T!$A$1&amp;"31"),IF(AC142=7,INDIRECT("T!"&amp;T!$A$1&amp;"32"),0)))))))</f>
        <v>Cz</v>
      </c>
      <c r="AD144" s="29" t="str">
        <f ca="1">IF(AD142=1,INDIRECT("T!"&amp;T!$A$1&amp;"26"),IF(AD142=2,INDIRECT("T!"&amp;T!$A$1&amp;"27"),IF(AD142=3,INDIRECT("T!"&amp;T!$A$1&amp;"28"),IF(AD142=4,INDIRECT("T!"&amp;T!$A$1&amp;"29"),IF(AD142=5,INDIRECT("T!"&amp;T!$A$1&amp;"30"),IF(AD142=6,INDIRECT("T!"&amp;T!$A$1&amp;"31"),IF(AD142=7,INDIRECT("T!"&amp;T!$A$1&amp;"32"),0)))))))</f>
        <v>Pt</v>
      </c>
      <c r="AE144" s="29" t="str">
        <f ca="1">IF(AE142=1,INDIRECT("T!"&amp;T!$A$1&amp;"26"),IF(AE142=2,INDIRECT("T!"&amp;T!$A$1&amp;"27"),IF(AE142=3,INDIRECT("T!"&amp;T!$A$1&amp;"28"),IF(AE142=4,INDIRECT("T!"&amp;T!$A$1&amp;"29"),IF(AE142=5,INDIRECT("T!"&amp;T!$A$1&amp;"30"),IF(AE142=6,INDIRECT("T!"&amp;T!$A$1&amp;"31"),IF(AE142=7,INDIRECT("T!"&amp;T!$A$1&amp;"32"),0)))))))</f>
        <v>So</v>
      </c>
      <c r="AF144" s="29" t="str">
        <f ca="1">IF(AF142=1,INDIRECT("T!"&amp;T!$A$1&amp;"26"),IF(AF142=2,INDIRECT("T!"&amp;T!$A$1&amp;"27"),IF(AF142=3,INDIRECT("T!"&amp;T!$A$1&amp;"28"),IF(AF142=4,INDIRECT("T!"&amp;T!$A$1&amp;"29"),IF(AF142=5,INDIRECT("T!"&amp;T!$A$1&amp;"30"),IF(AF142=6,INDIRECT("T!"&amp;T!$A$1&amp;"31"),IF(AF142=7,INDIRECT("T!"&amp;T!$A$1&amp;"32"),0)))))))</f>
        <v>Nd</v>
      </c>
      <c r="AG144" s="29" t="str">
        <f ca="1">IF(AG142=1,INDIRECT("T!"&amp;T!$A$1&amp;"26"),IF(AG142=2,INDIRECT("T!"&amp;T!$A$1&amp;"27"),IF(AG142=3,INDIRECT("T!"&amp;T!$A$1&amp;"28"),IF(AG142=4,INDIRECT("T!"&amp;T!$A$1&amp;"29"),IF(AG142=5,INDIRECT("T!"&amp;T!$A$1&amp;"30"),IF(AG142=6,INDIRECT("T!"&amp;T!$A$1&amp;"31"),IF(AG142=7,INDIRECT("T!"&amp;T!$A$1&amp;"32"),0)))))))</f>
        <v>Pn</v>
      </c>
      <c r="AH144" s="29" t="str">
        <f ca="1">IF(AH142=1,INDIRECT("T!"&amp;T!$A$1&amp;"26"),IF(AH142=2,INDIRECT("T!"&amp;T!$A$1&amp;"27"),IF(AH142=3,INDIRECT("T!"&amp;T!$A$1&amp;"28"),IF(AH142=4,INDIRECT("T!"&amp;T!$A$1&amp;"29"),IF(AH142=5,INDIRECT("T!"&amp;T!$A$1&amp;"30"),IF(AH142=6,INDIRECT("T!"&amp;T!$A$1&amp;"31"),IF(AH142=7,INDIRECT("T!"&amp;T!$A$1&amp;"32"),0)))))))</f>
        <v>Wt</v>
      </c>
      <c r="AI144" s="29" t="str">
        <f ca="1">IF(AI142=1,INDIRECT("T!"&amp;T!$A$1&amp;"26"),IF(AI142=2,INDIRECT("T!"&amp;T!$A$1&amp;"27"),IF(AI142=3,INDIRECT("T!"&amp;T!$A$1&amp;"28"),IF(AI142=4,INDIRECT("T!"&amp;T!$A$1&amp;"29"),IF(AI142=5,INDIRECT("T!"&amp;T!$A$1&amp;"30"),IF(AI142=6,INDIRECT("T!"&amp;T!$A$1&amp;"31"),IF(AI142=7,INDIRECT("T!"&amp;T!$A$1&amp;"32"),0)))))))</f>
        <v>Śr</v>
      </c>
      <c r="AJ144" s="29" t="str">
        <f ca="1">IF(AJ142=1,INDIRECT("T!"&amp;T!$A$1&amp;"26"),IF(AJ142=2,INDIRECT("T!"&amp;T!$A$1&amp;"27"),IF(AJ142=3,INDIRECT("T!"&amp;T!$A$1&amp;"28"),IF(AJ142=4,INDIRECT("T!"&amp;T!$A$1&amp;"29"),IF(AJ142=5,INDIRECT("T!"&amp;T!$A$1&amp;"30"),IF(AJ142=6,INDIRECT("T!"&amp;T!$A$1&amp;"31"),IF(AJ142=7,INDIRECT("T!"&amp;T!$A$1&amp;"32"),0)))))))</f>
        <v>Cz</v>
      </c>
      <c r="AK144" s="29" t="str">
        <f ca="1">IF(AK142=1,INDIRECT("T!"&amp;T!$A$1&amp;"26"),IF(AK142=2,INDIRECT("T!"&amp;T!$A$1&amp;"27"),IF(AK142=3,INDIRECT("T!"&amp;T!$A$1&amp;"28"),IF(AK142=4,INDIRECT("T!"&amp;T!$A$1&amp;"29"),IF(AK142=5,INDIRECT("T!"&amp;T!$A$1&amp;"30"),IF(AK142=6,INDIRECT("T!"&amp;T!$A$1&amp;"31"),IF(AK142=7,INDIRECT("T!"&amp;T!$A$1&amp;"32"),0)))))))</f>
        <v>Pt</v>
      </c>
      <c r="AL144" s="29" t="str">
        <f ca="1">IF(AL142=1,INDIRECT("T!"&amp;T!$A$1&amp;"26"),IF(AL142=2,INDIRECT("T!"&amp;T!$A$1&amp;"27"),IF(AL142=3,INDIRECT("T!"&amp;T!$A$1&amp;"28"),IF(AL142=4,INDIRECT("T!"&amp;T!$A$1&amp;"29"),IF(AL142=5,INDIRECT("T!"&amp;T!$A$1&amp;"30"),IF(AL142=6,INDIRECT("T!"&amp;T!$A$1&amp;"31"),IF(AL142=7,INDIRECT("T!"&amp;T!$A$1&amp;"32"),0)))))))</f>
        <v>So</v>
      </c>
      <c r="AM144" s="29" t="str">
        <f ca="1">IF(AM142=1,INDIRECT("T!"&amp;T!$A$1&amp;"26"),IF(AM142=2,INDIRECT("T!"&amp;T!$A$1&amp;"27"),IF(AM142=3,INDIRECT("T!"&amp;T!$A$1&amp;"28"),IF(AM142=4,INDIRECT("T!"&amp;T!$A$1&amp;"29"),IF(AM142=5,INDIRECT("T!"&amp;T!$A$1&amp;"30"),IF(AM142=6,INDIRECT("T!"&amp;T!$A$1&amp;"31"),IF(AM142=7,INDIRECT("T!"&amp;T!$A$1&amp;"32"),0)))))))</f>
        <v>Nd</v>
      </c>
      <c r="AN144" s="29" t="str">
        <f ca="1">IF(AN142=1,INDIRECT("T!"&amp;T!$A$1&amp;"26"),IF(AN142=2,INDIRECT("T!"&amp;T!$A$1&amp;"27"),IF(AN142=3,INDIRECT("T!"&amp;T!$A$1&amp;"28"),IF(AN142=4,INDIRECT("T!"&amp;T!$A$1&amp;"29"),IF(AN142=5,INDIRECT("T!"&amp;T!$A$1&amp;"30"),IF(AN142=6,INDIRECT("T!"&amp;T!$A$1&amp;"31"),IF(AN142=7,INDIRECT("T!"&amp;T!$A$1&amp;"32"),0)))))))</f>
        <v>Pn</v>
      </c>
      <c r="AO144" s="29" t="str">
        <f ca="1">IF(AO142=1,INDIRECT("T!"&amp;T!$A$1&amp;"26"),IF(AO142=2,INDIRECT("T!"&amp;T!$A$1&amp;"27"),IF(AO142=3,INDIRECT("T!"&amp;T!$A$1&amp;"28"),IF(AO142=4,INDIRECT("T!"&amp;T!$A$1&amp;"29"),IF(AO142=5,INDIRECT("T!"&amp;T!$A$1&amp;"30"),IF(AO142=6,INDIRECT("T!"&amp;T!$A$1&amp;"31"),IF(AO142=7,INDIRECT("T!"&amp;T!$A$1&amp;"32"),0)))))))</f>
        <v>Wt</v>
      </c>
      <c r="AP144" s="29" t="str">
        <f ca="1">IF(AP142=1,INDIRECT("T!"&amp;T!$A$1&amp;"26"),IF(AP142=2,INDIRECT("T!"&amp;T!$A$1&amp;"27"),IF(AP142=3,INDIRECT("T!"&amp;T!$A$1&amp;"28"),IF(AP142=4,INDIRECT("T!"&amp;T!$A$1&amp;"29"),IF(AP142=5,INDIRECT("T!"&amp;T!$A$1&amp;"30"),IF(AP142=6,INDIRECT("T!"&amp;T!$A$1&amp;"31"),IF(AP142=7,INDIRECT("T!"&amp;T!$A$1&amp;"32"),0)))))))</f>
        <v>Śr</v>
      </c>
      <c r="AQ144" s="29" t="str">
        <f ca="1">IF(AQ142=1,INDIRECT("T!"&amp;T!$A$1&amp;"26"),IF(AQ142=2,INDIRECT("T!"&amp;T!$A$1&amp;"27"),IF(AQ142=3,INDIRECT("T!"&amp;T!$A$1&amp;"28"),IF(AQ142=4,INDIRECT("T!"&amp;T!$A$1&amp;"29"),IF(AQ142=5,INDIRECT("T!"&amp;T!$A$1&amp;"30"),IF(AQ142=6,INDIRECT("T!"&amp;T!$A$1&amp;"31"),IF(AQ142=7,INDIRECT("T!"&amp;T!$A$1&amp;"32"),0)))))))</f>
        <v>Cz</v>
      </c>
    </row>
    <row r="145" spans="3:69" ht="20.100000000000001" customHeight="1">
      <c r="C145" s="551"/>
      <c r="D145" s="552"/>
      <c r="E145" s="575"/>
      <c r="F145" s="576"/>
      <c r="G145" s="576"/>
      <c r="H145" s="576"/>
      <c r="I145" s="577"/>
      <c r="J145" s="578"/>
      <c r="K145" s="579"/>
      <c r="L145" s="580"/>
      <c r="M145" s="256"/>
      <c r="N145" s="257"/>
      <c r="O145" s="257"/>
      <c r="P145" s="257"/>
      <c r="Q145" s="85"/>
      <c r="R145" s="85"/>
      <c r="S145" s="257"/>
      <c r="T145" s="257"/>
      <c r="U145" s="257"/>
      <c r="V145" s="257"/>
      <c r="W145" s="257"/>
      <c r="X145" s="85"/>
      <c r="Y145" s="85"/>
      <c r="Z145" s="257"/>
      <c r="AA145" s="257"/>
      <c r="AB145" s="257"/>
      <c r="AC145" s="257"/>
      <c r="AD145" s="257"/>
      <c r="AE145" s="85"/>
      <c r="AF145" s="85"/>
      <c r="AG145" s="257"/>
      <c r="AH145" s="257"/>
      <c r="AI145" s="85"/>
      <c r="AJ145" s="257"/>
      <c r="AK145" s="257"/>
      <c r="AL145" s="85"/>
      <c r="AM145" s="85"/>
      <c r="AN145" s="257"/>
      <c r="AO145" s="257"/>
      <c r="AP145" s="85"/>
      <c r="AQ145" s="183"/>
      <c r="AS145" s="43">
        <f t="shared" si="37"/>
        <v>0</v>
      </c>
      <c r="AT145" s="43">
        <f t="shared" si="37"/>
        <v>0</v>
      </c>
      <c r="AU145" s="43">
        <f t="shared" si="37"/>
        <v>0</v>
      </c>
      <c r="AV145" s="43">
        <f t="shared" si="37"/>
        <v>0</v>
      </c>
      <c r="AW145" s="43">
        <f t="shared" si="37"/>
        <v>0</v>
      </c>
      <c r="AX145" s="43">
        <f t="shared" si="37"/>
        <v>0</v>
      </c>
      <c r="AY145" s="43">
        <f t="shared" si="37"/>
        <v>0</v>
      </c>
      <c r="AZ145" s="43">
        <f t="shared" si="37"/>
        <v>0</v>
      </c>
      <c r="BA145" s="43">
        <f t="shared" si="37"/>
        <v>0</v>
      </c>
      <c r="BB145" s="43">
        <f t="shared" si="37"/>
        <v>0</v>
      </c>
      <c r="BC145" s="43">
        <f t="shared" si="37"/>
        <v>0</v>
      </c>
      <c r="BD145" s="43">
        <f t="shared" si="37"/>
        <v>0</v>
      </c>
      <c r="BE145" s="43">
        <f t="shared" si="37"/>
        <v>0</v>
      </c>
      <c r="BF145" s="43">
        <f t="shared" si="37"/>
        <v>0</v>
      </c>
      <c r="BG145" s="43">
        <f t="shared" si="37"/>
        <v>0</v>
      </c>
      <c r="BH145" s="43">
        <f t="shared" si="37"/>
        <v>0</v>
      </c>
      <c r="BI145" s="43">
        <f t="shared" si="36"/>
        <v>0</v>
      </c>
      <c r="BJ145" s="43">
        <f t="shared" si="36"/>
        <v>0</v>
      </c>
      <c r="BK145" s="43">
        <f t="shared" si="36"/>
        <v>0</v>
      </c>
      <c r="BL145" s="43">
        <f t="shared" si="36"/>
        <v>0</v>
      </c>
      <c r="BM145" s="43">
        <f t="shared" si="36"/>
        <v>0</v>
      </c>
      <c r="BN145" s="43">
        <f t="shared" si="36"/>
        <v>0</v>
      </c>
      <c r="BO145" s="43">
        <f t="shared" si="36"/>
        <v>0</v>
      </c>
      <c r="BP145" s="43">
        <f t="shared" si="36"/>
        <v>0</v>
      </c>
      <c r="BQ145" s="43">
        <f t="shared" si="36"/>
        <v>0</v>
      </c>
    </row>
    <row r="146" spans="3:69" ht="20.100000000000001" customHeight="1">
      <c r="C146" s="551"/>
      <c r="D146" s="552"/>
      <c r="E146" s="553"/>
      <c r="F146" s="554"/>
      <c r="G146" s="554"/>
      <c r="H146" s="554"/>
      <c r="I146" s="555"/>
      <c r="J146" s="556"/>
      <c r="K146" s="557"/>
      <c r="L146" s="558"/>
      <c r="M146" s="254"/>
      <c r="N146" s="255"/>
      <c r="O146" s="255"/>
      <c r="P146" s="255"/>
      <c r="Q146" s="87"/>
      <c r="R146" s="87"/>
      <c r="S146" s="255"/>
      <c r="T146" s="255"/>
      <c r="U146" s="255"/>
      <c r="V146" s="255"/>
      <c r="W146" s="255"/>
      <c r="X146" s="87"/>
      <c r="Y146" s="87"/>
      <c r="Z146" s="255"/>
      <c r="AA146" s="255"/>
      <c r="AB146" s="255"/>
      <c r="AC146" s="255"/>
      <c r="AD146" s="255"/>
      <c r="AE146" s="87"/>
      <c r="AF146" s="87"/>
      <c r="AG146" s="255"/>
      <c r="AH146" s="255"/>
      <c r="AI146" s="87"/>
      <c r="AJ146" s="255"/>
      <c r="AK146" s="255"/>
      <c r="AL146" s="87"/>
      <c r="AM146" s="87"/>
      <c r="AN146" s="255"/>
      <c r="AO146" s="255"/>
      <c r="AP146" s="87"/>
      <c r="AQ146" s="184"/>
      <c r="AS146" s="43">
        <f t="shared" si="37"/>
        <v>0</v>
      </c>
      <c r="AT146" s="43">
        <f t="shared" si="37"/>
        <v>0</v>
      </c>
      <c r="AU146" s="43">
        <f t="shared" si="37"/>
        <v>0</v>
      </c>
      <c r="AV146" s="43">
        <f t="shared" si="37"/>
        <v>0</v>
      </c>
      <c r="AW146" s="43">
        <f t="shared" si="37"/>
        <v>0</v>
      </c>
      <c r="AX146" s="43">
        <f t="shared" si="37"/>
        <v>0</v>
      </c>
      <c r="AY146" s="43">
        <f t="shared" si="37"/>
        <v>0</v>
      </c>
      <c r="AZ146" s="43">
        <f t="shared" si="37"/>
        <v>0</v>
      </c>
      <c r="BA146" s="43">
        <f t="shared" si="37"/>
        <v>0</v>
      </c>
      <c r="BB146" s="43">
        <f t="shared" si="37"/>
        <v>0</v>
      </c>
      <c r="BC146" s="43">
        <f t="shared" si="37"/>
        <v>0</v>
      </c>
      <c r="BD146" s="43">
        <f t="shared" si="37"/>
        <v>0</v>
      </c>
      <c r="BE146" s="43">
        <f t="shared" si="37"/>
        <v>0</v>
      </c>
      <c r="BF146" s="43">
        <f t="shared" si="37"/>
        <v>0</v>
      </c>
      <c r="BG146" s="43">
        <f t="shared" si="37"/>
        <v>0</v>
      </c>
      <c r="BH146" s="43">
        <f t="shared" si="37"/>
        <v>0</v>
      </c>
      <c r="BI146" s="43">
        <f t="shared" si="36"/>
        <v>0</v>
      </c>
      <c r="BJ146" s="43">
        <f t="shared" si="36"/>
        <v>0</v>
      </c>
      <c r="BK146" s="43">
        <f t="shared" si="36"/>
        <v>0</v>
      </c>
      <c r="BL146" s="43">
        <f t="shared" si="36"/>
        <v>0</v>
      </c>
      <c r="BM146" s="43">
        <f t="shared" si="36"/>
        <v>0</v>
      </c>
      <c r="BN146" s="43">
        <f t="shared" si="36"/>
        <v>0</v>
      </c>
      <c r="BO146" s="43">
        <f t="shared" si="36"/>
        <v>0</v>
      </c>
      <c r="BP146" s="43">
        <f t="shared" si="36"/>
        <v>0</v>
      </c>
      <c r="BQ146" s="43">
        <f t="shared" si="36"/>
        <v>0</v>
      </c>
    </row>
    <row r="147" spans="3:69" ht="20.100000000000001" customHeight="1">
      <c r="C147" s="551"/>
      <c r="D147" s="552"/>
      <c r="E147" s="553"/>
      <c r="F147" s="554"/>
      <c r="G147" s="554"/>
      <c r="H147" s="554"/>
      <c r="I147" s="555"/>
      <c r="J147" s="556"/>
      <c r="K147" s="557"/>
      <c r="L147" s="558"/>
      <c r="M147" s="254"/>
      <c r="N147" s="255"/>
      <c r="O147" s="255"/>
      <c r="P147" s="255"/>
      <c r="Q147" s="87"/>
      <c r="R147" s="87"/>
      <c r="S147" s="255"/>
      <c r="T147" s="255"/>
      <c r="U147" s="255"/>
      <c r="V147" s="255"/>
      <c r="W147" s="255"/>
      <c r="X147" s="87"/>
      <c r="Y147" s="87"/>
      <c r="Z147" s="255"/>
      <c r="AA147" s="255"/>
      <c r="AB147" s="255"/>
      <c r="AC147" s="255"/>
      <c r="AD147" s="255"/>
      <c r="AE147" s="87"/>
      <c r="AF147" s="87"/>
      <c r="AG147" s="255"/>
      <c r="AH147" s="255"/>
      <c r="AI147" s="87"/>
      <c r="AJ147" s="255"/>
      <c r="AK147" s="255"/>
      <c r="AL147" s="87"/>
      <c r="AM147" s="87"/>
      <c r="AN147" s="255"/>
      <c r="AO147" s="255"/>
      <c r="AP147" s="87"/>
      <c r="AQ147" s="184"/>
      <c r="AS147" s="43">
        <f t="shared" si="37"/>
        <v>0</v>
      </c>
      <c r="AT147" s="43">
        <f t="shared" si="37"/>
        <v>0</v>
      </c>
      <c r="AU147" s="43">
        <f t="shared" si="37"/>
        <v>0</v>
      </c>
      <c r="AV147" s="43">
        <f t="shared" si="37"/>
        <v>0</v>
      </c>
      <c r="AW147" s="43">
        <f t="shared" si="37"/>
        <v>0</v>
      </c>
      <c r="AX147" s="43">
        <f t="shared" si="37"/>
        <v>0</v>
      </c>
      <c r="AY147" s="43">
        <f t="shared" si="37"/>
        <v>0</v>
      </c>
      <c r="AZ147" s="43">
        <f t="shared" si="37"/>
        <v>0</v>
      </c>
      <c r="BA147" s="43">
        <f t="shared" si="37"/>
        <v>0</v>
      </c>
      <c r="BB147" s="43">
        <f t="shared" si="37"/>
        <v>0</v>
      </c>
      <c r="BC147" s="43">
        <f t="shared" si="37"/>
        <v>0</v>
      </c>
      <c r="BD147" s="43">
        <f t="shared" si="37"/>
        <v>0</v>
      </c>
      <c r="BE147" s="43">
        <f t="shared" si="37"/>
        <v>0</v>
      </c>
      <c r="BF147" s="43">
        <f t="shared" si="37"/>
        <v>0</v>
      </c>
      <c r="BG147" s="43">
        <f t="shared" si="37"/>
        <v>0</v>
      </c>
      <c r="BH147" s="43">
        <f t="shared" ref="BH147:BQ162" si="40">COUNTIFS($M147:$AQ147,BH$2)</f>
        <v>0</v>
      </c>
      <c r="BI147" s="43">
        <f t="shared" si="40"/>
        <v>0</v>
      </c>
      <c r="BJ147" s="43">
        <f t="shared" si="40"/>
        <v>0</v>
      </c>
      <c r="BK147" s="43">
        <f t="shared" si="40"/>
        <v>0</v>
      </c>
      <c r="BL147" s="43">
        <f t="shared" si="40"/>
        <v>0</v>
      </c>
      <c r="BM147" s="43">
        <f t="shared" si="40"/>
        <v>0</v>
      </c>
      <c r="BN147" s="43">
        <f t="shared" si="40"/>
        <v>0</v>
      </c>
      <c r="BO147" s="43">
        <f t="shared" si="40"/>
        <v>0</v>
      </c>
      <c r="BP147" s="43">
        <f t="shared" si="40"/>
        <v>0</v>
      </c>
      <c r="BQ147" s="43">
        <f t="shared" si="40"/>
        <v>0</v>
      </c>
    </row>
    <row r="148" spans="3:69" ht="20.100000000000001" customHeight="1">
      <c r="C148" s="551"/>
      <c r="D148" s="552"/>
      <c r="E148" s="553"/>
      <c r="F148" s="554"/>
      <c r="G148" s="554"/>
      <c r="H148" s="554"/>
      <c r="I148" s="555"/>
      <c r="J148" s="556"/>
      <c r="K148" s="557"/>
      <c r="L148" s="558"/>
      <c r="M148" s="254"/>
      <c r="N148" s="255"/>
      <c r="O148" s="255"/>
      <c r="P148" s="255"/>
      <c r="Q148" s="87"/>
      <c r="R148" s="87"/>
      <c r="S148" s="255"/>
      <c r="T148" s="255"/>
      <c r="U148" s="255"/>
      <c r="V148" s="255"/>
      <c r="W148" s="255"/>
      <c r="X148" s="87"/>
      <c r="Y148" s="87"/>
      <c r="Z148" s="255"/>
      <c r="AA148" s="255"/>
      <c r="AB148" s="255"/>
      <c r="AC148" s="255"/>
      <c r="AD148" s="255"/>
      <c r="AE148" s="87"/>
      <c r="AF148" s="87"/>
      <c r="AG148" s="255"/>
      <c r="AH148" s="255"/>
      <c r="AI148" s="87"/>
      <c r="AJ148" s="255"/>
      <c r="AK148" s="255"/>
      <c r="AL148" s="87"/>
      <c r="AM148" s="87"/>
      <c r="AN148" s="255"/>
      <c r="AO148" s="255"/>
      <c r="AP148" s="87"/>
      <c r="AQ148" s="184"/>
      <c r="AS148" s="43">
        <f t="shared" ref="AS148:BH163" si="41">COUNTIFS($M148:$AQ148,AS$2)</f>
        <v>0</v>
      </c>
      <c r="AT148" s="43">
        <f t="shared" si="41"/>
        <v>0</v>
      </c>
      <c r="AU148" s="43">
        <f t="shared" si="41"/>
        <v>0</v>
      </c>
      <c r="AV148" s="43">
        <f t="shared" si="41"/>
        <v>0</v>
      </c>
      <c r="AW148" s="43">
        <f t="shared" si="41"/>
        <v>0</v>
      </c>
      <c r="AX148" s="43">
        <f t="shared" si="41"/>
        <v>0</v>
      </c>
      <c r="AY148" s="43">
        <f t="shared" si="41"/>
        <v>0</v>
      </c>
      <c r="AZ148" s="43">
        <f t="shared" si="41"/>
        <v>0</v>
      </c>
      <c r="BA148" s="43">
        <f t="shared" si="41"/>
        <v>0</v>
      </c>
      <c r="BB148" s="43">
        <f t="shared" si="41"/>
        <v>0</v>
      </c>
      <c r="BC148" s="43">
        <f t="shared" si="41"/>
        <v>0</v>
      </c>
      <c r="BD148" s="43">
        <f t="shared" si="41"/>
        <v>0</v>
      </c>
      <c r="BE148" s="43">
        <f t="shared" si="41"/>
        <v>0</v>
      </c>
      <c r="BF148" s="43">
        <f t="shared" si="41"/>
        <v>0</v>
      </c>
      <c r="BG148" s="43">
        <f t="shared" si="41"/>
        <v>0</v>
      </c>
      <c r="BH148" s="43">
        <f t="shared" si="41"/>
        <v>0</v>
      </c>
      <c r="BI148" s="43">
        <f t="shared" si="40"/>
        <v>0</v>
      </c>
      <c r="BJ148" s="43">
        <f t="shared" si="40"/>
        <v>0</v>
      </c>
      <c r="BK148" s="43">
        <f t="shared" si="40"/>
        <v>0</v>
      </c>
      <c r="BL148" s="43">
        <f t="shared" si="40"/>
        <v>0</v>
      </c>
      <c r="BM148" s="43">
        <f t="shared" si="40"/>
        <v>0</v>
      </c>
      <c r="BN148" s="43">
        <f t="shared" si="40"/>
        <v>0</v>
      </c>
      <c r="BO148" s="43">
        <f t="shared" si="40"/>
        <v>0</v>
      </c>
      <c r="BP148" s="43">
        <f t="shared" si="40"/>
        <v>0</v>
      </c>
      <c r="BQ148" s="43">
        <f t="shared" si="40"/>
        <v>0</v>
      </c>
    </row>
    <row r="149" spans="3:69" ht="20.100000000000001" customHeight="1">
      <c r="C149" s="551"/>
      <c r="D149" s="552"/>
      <c r="E149" s="553"/>
      <c r="F149" s="554"/>
      <c r="G149" s="554"/>
      <c r="H149" s="554"/>
      <c r="I149" s="555"/>
      <c r="J149" s="556"/>
      <c r="K149" s="557"/>
      <c r="L149" s="558"/>
      <c r="M149" s="254"/>
      <c r="N149" s="255"/>
      <c r="O149" s="255"/>
      <c r="P149" s="255"/>
      <c r="Q149" s="87"/>
      <c r="R149" s="87"/>
      <c r="S149" s="255"/>
      <c r="T149" s="255"/>
      <c r="U149" s="255"/>
      <c r="V149" s="255"/>
      <c r="W149" s="255"/>
      <c r="X149" s="87"/>
      <c r="Y149" s="87"/>
      <c r="Z149" s="255"/>
      <c r="AA149" s="255"/>
      <c r="AB149" s="255"/>
      <c r="AC149" s="255"/>
      <c r="AD149" s="255"/>
      <c r="AE149" s="87"/>
      <c r="AF149" s="87"/>
      <c r="AG149" s="255"/>
      <c r="AH149" s="255"/>
      <c r="AI149" s="87"/>
      <c r="AJ149" s="255"/>
      <c r="AK149" s="255"/>
      <c r="AL149" s="87"/>
      <c r="AM149" s="87"/>
      <c r="AN149" s="255"/>
      <c r="AO149" s="255"/>
      <c r="AP149" s="87"/>
      <c r="AQ149" s="184"/>
      <c r="AS149" s="43">
        <f t="shared" si="41"/>
        <v>0</v>
      </c>
      <c r="AT149" s="43">
        <f t="shared" si="41"/>
        <v>0</v>
      </c>
      <c r="AU149" s="43">
        <f t="shared" si="41"/>
        <v>0</v>
      </c>
      <c r="AV149" s="43">
        <f t="shared" si="41"/>
        <v>0</v>
      </c>
      <c r="AW149" s="43">
        <f t="shared" si="41"/>
        <v>0</v>
      </c>
      <c r="AX149" s="43">
        <f t="shared" si="41"/>
        <v>0</v>
      </c>
      <c r="AY149" s="43">
        <f t="shared" si="41"/>
        <v>0</v>
      </c>
      <c r="AZ149" s="43">
        <f t="shared" si="41"/>
        <v>0</v>
      </c>
      <c r="BA149" s="43">
        <f t="shared" si="41"/>
        <v>0</v>
      </c>
      <c r="BB149" s="43">
        <f t="shared" si="41"/>
        <v>0</v>
      </c>
      <c r="BC149" s="43">
        <f t="shared" si="41"/>
        <v>0</v>
      </c>
      <c r="BD149" s="43">
        <f t="shared" si="41"/>
        <v>0</v>
      </c>
      <c r="BE149" s="43">
        <f t="shared" si="41"/>
        <v>0</v>
      </c>
      <c r="BF149" s="43">
        <f t="shared" si="41"/>
        <v>0</v>
      </c>
      <c r="BG149" s="43">
        <f t="shared" si="41"/>
        <v>0</v>
      </c>
      <c r="BH149" s="43">
        <f t="shared" si="41"/>
        <v>0</v>
      </c>
      <c r="BI149" s="43">
        <f t="shared" si="40"/>
        <v>0</v>
      </c>
      <c r="BJ149" s="43">
        <f t="shared" si="40"/>
        <v>0</v>
      </c>
      <c r="BK149" s="43">
        <f t="shared" si="40"/>
        <v>0</v>
      </c>
      <c r="BL149" s="43">
        <f t="shared" si="40"/>
        <v>0</v>
      </c>
      <c r="BM149" s="43">
        <f t="shared" si="40"/>
        <v>0</v>
      </c>
      <c r="BN149" s="43">
        <f t="shared" si="40"/>
        <v>0</v>
      </c>
      <c r="BO149" s="43">
        <f t="shared" si="40"/>
        <v>0</v>
      </c>
      <c r="BP149" s="43">
        <f t="shared" si="40"/>
        <v>0</v>
      </c>
      <c r="BQ149" s="43">
        <f t="shared" si="40"/>
        <v>0</v>
      </c>
    </row>
    <row r="150" spans="3:69" ht="20.100000000000001" customHeight="1">
      <c r="C150" s="551"/>
      <c r="D150" s="552"/>
      <c r="E150" s="553"/>
      <c r="F150" s="554"/>
      <c r="G150" s="554"/>
      <c r="H150" s="554"/>
      <c r="I150" s="555"/>
      <c r="J150" s="556"/>
      <c r="K150" s="557"/>
      <c r="L150" s="558"/>
      <c r="M150" s="254"/>
      <c r="N150" s="255"/>
      <c r="O150" s="255"/>
      <c r="P150" s="255"/>
      <c r="Q150" s="87"/>
      <c r="R150" s="87"/>
      <c r="S150" s="255"/>
      <c r="T150" s="255"/>
      <c r="U150" s="255"/>
      <c r="V150" s="255"/>
      <c r="W150" s="255"/>
      <c r="X150" s="87"/>
      <c r="Y150" s="87"/>
      <c r="Z150" s="255"/>
      <c r="AA150" s="255"/>
      <c r="AB150" s="255"/>
      <c r="AC150" s="255"/>
      <c r="AD150" s="255"/>
      <c r="AE150" s="87"/>
      <c r="AF150" s="87"/>
      <c r="AG150" s="255"/>
      <c r="AH150" s="255"/>
      <c r="AI150" s="87"/>
      <c r="AJ150" s="255"/>
      <c r="AK150" s="255"/>
      <c r="AL150" s="87"/>
      <c r="AM150" s="87"/>
      <c r="AN150" s="255"/>
      <c r="AO150" s="255"/>
      <c r="AP150" s="87"/>
      <c r="AQ150" s="184"/>
      <c r="AS150" s="43">
        <f t="shared" si="41"/>
        <v>0</v>
      </c>
      <c r="AT150" s="43">
        <f t="shared" si="41"/>
        <v>0</v>
      </c>
      <c r="AU150" s="43">
        <f t="shared" si="41"/>
        <v>0</v>
      </c>
      <c r="AV150" s="43">
        <f t="shared" si="41"/>
        <v>0</v>
      </c>
      <c r="AW150" s="43">
        <f t="shared" si="41"/>
        <v>0</v>
      </c>
      <c r="AX150" s="43">
        <f t="shared" si="41"/>
        <v>0</v>
      </c>
      <c r="AY150" s="43">
        <f t="shared" si="41"/>
        <v>0</v>
      </c>
      <c r="AZ150" s="43">
        <f t="shared" si="41"/>
        <v>0</v>
      </c>
      <c r="BA150" s="43">
        <f t="shared" si="41"/>
        <v>0</v>
      </c>
      <c r="BB150" s="43">
        <f t="shared" si="41"/>
        <v>0</v>
      </c>
      <c r="BC150" s="43">
        <f t="shared" si="41"/>
        <v>0</v>
      </c>
      <c r="BD150" s="43">
        <f t="shared" si="41"/>
        <v>0</v>
      </c>
      <c r="BE150" s="43">
        <f t="shared" si="41"/>
        <v>0</v>
      </c>
      <c r="BF150" s="43">
        <f t="shared" si="41"/>
        <v>0</v>
      </c>
      <c r="BG150" s="43">
        <f t="shared" si="41"/>
        <v>0</v>
      </c>
      <c r="BH150" s="43">
        <f t="shared" si="41"/>
        <v>0</v>
      </c>
      <c r="BI150" s="43">
        <f t="shared" si="40"/>
        <v>0</v>
      </c>
      <c r="BJ150" s="43">
        <f t="shared" si="40"/>
        <v>0</v>
      </c>
      <c r="BK150" s="43">
        <f t="shared" si="40"/>
        <v>0</v>
      </c>
      <c r="BL150" s="43">
        <f t="shared" si="40"/>
        <v>0</v>
      </c>
      <c r="BM150" s="43">
        <f t="shared" si="40"/>
        <v>0</v>
      </c>
      <c r="BN150" s="43">
        <f t="shared" si="40"/>
        <v>0</v>
      </c>
      <c r="BO150" s="43">
        <f t="shared" si="40"/>
        <v>0</v>
      </c>
      <c r="BP150" s="43">
        <f t="shared" si="40"/>
        <v>0</v>
      </c>
      <c r="BQ150" s="43">
        <f t="shared" si="40"/>
        <v>0</v>
      </c>
    </row>
    <row r="151" spans="3:69" ht="20.100000000000001" customHeight="1">
      <c r="C151" s="551"/>
      <c r="D151" s="552"/>
      <c r="E151" s="553"/>
      <c r="F151" s="554"/>
      <c r="G151" s="554"/>
      <c r="H151" s="554"/>
      <c r="I151" s="555"/>
      <c r="J151" s="556"/>
      <c r="K151" s="557"/>
      <c r="L151" s="558"/>
      <c r="M151" s="254"/>
      <c r="N151" s="255"/>
      <c r="O151" s="255"/>
      <c r="P151" s="255"/>
      <c r="Q151" s="87"/>
      <c r="R151" s="87"/>
      <c r="S151" s="255"/>
      <c r="T151" s="255"/>
      <c r="U151" s="255"/>
      <c r="V151" s="255"/>
      <c r="W151" s="255"/>
      <c r="X151" s="87"/>
      <c r="Y151" s="87"/>
      <c r="Z151" s="255"/>
      <c r="AA151" s="255"/>
      <c r="AB151" s="255"/>
      <c r="AC151" s="255"/>
      <c r="AD151" s="255"/>
      <c r="AE151" s="87"/>
      <c r="AF151" s="87"/>
      <c r="AG151" s="255"/>
      <c r="AH151" s="255"/>
      <c r="AI151" s="87"/>
      <c r="AJ151" s="255"/>
      <c r="AK151" s="255"/>
      <c r="AL151" s="87"/>
      <c r="AM151" s="87"/>
      <c r="AN151" s="255"/>
      <c r="AO151" s="255"/>
      <c r="AP151" s="87"/>
      <c r="AQ151" s="184"/>
      <c r="AS151" s="43">
        <f t="shared" si="41"/>
        <v>0</v>
      </c>
      <c r="AT151" s="43">
        <f t="shared" si="41"/>
        <v>0</v>
      </c>
      <c r="AU151" s="43">
        <f t="shared" si="41"/>
        <v>0</v>
      </c>
      <c r="AV151" s="43">
        <f t="shared" si="41"/>
        <v>0</v>
      </c>
      <c r="AW151" s="43">
        <f t="shared" si="41"/>
        <v>0</v>
      </c>
      <c r="AX151" s="43">
        <f t="shared" si="41"/>
        <v>0</v>
      </c>
      <c r="AY151" s="43">
        <f t="shared" si="41"/>
        <v>0</v>
      </c>
      <c r="AZ151" s="43">
        <f t="shared" si="41"/>
        <v>0</v>
      </c>
      <c r="BA151" s="43">
        <f t="shared" si="41"/>
        <v>0</v>
      </c>
      <c r="BB151" s="43">
        <f t="shared" si="41"/>
        <v>0</v>
      </c>
      <c r="BC151" s="43">
        <f t="shared" si="41"/>
        <v>0</v>
      </c>
      <c r="BD151" s="43">
        <f t="shared" si="41"/>
        <v>0</v>
      </c>
      <c r="BE151" s="43">
        <f t="shared" si="41"/>
        <v>0</v>
      </c>
      <c r="BF151" s="43">
        <f t="shared" si="41"/>
        <v>0</v>
      </c>
      <c r="BG151" s="43">
        <f t="shared" si="41"/>
        <v>0</v>
      </c>
      <c r="BH151" s="43">
        <f t="shared" si="41"/>
        <v>0</v>
      </c>
      <c r="BI151" s="43">
        <f t="shared" si="40"/>
        <v>0</v>
      </c>
      <c r="BJ151" s="43">
        <f t="shared" si="40"/>
        <v>0</v>
      </c>
      <c r="BK151" s="43">
        <f t="shared" si="40"/>
        <v>0</v>
      </c>
      <c r="BL151" s="43">
        <f t="shared" si="40"/>
        <v>0</v>
      </c>
      <c r="BM151" s="43">
        <f t="shared" si="40"/>
        <v>0</v>
      </c>
      <c r="BN151" s="43">
        <f t="shared" si="40"/>
        <v>0</v>
      </c>
      <c r="BO151" s="43">
        <f t="shared" si="40"/>
        <v>0</v>
      </c>
      <c r="BP151" s="43">
        <f t="shared" si="40"/>
        <v>0</v>
      </c>
      <c r="BQ151" s="43">
        <f t="shared" si="40"/>
        <v>0</v>
      </c>
    </row>
    <row r="152" spans="3:69" ht="20.100000000000001" customHeight="1">
      <c r="C152" s="523"/>
      <c r="D152" s="524"/>
      <c r="E152" s="525"/>
      <c r="F152" s="526"/>
      <c r="G152" s="526"/>
      <c r="H152" s="526"/>
      <c r="I152" s="526"/>
      <c r="J152" s="527"/>
      <c r="K152" s="527"/>
      <c r="L152" s="528"/>
      <c r="M152" s="254"/>
      <c r="N152" s="255"/>
      <c r="O152" s="255"/>
      <c r="P152" s="255"/>
      <c r="Q152" s="87"/>
      <c r="R152" s="87"/>
      <c r="S152" s="255"/>
      <c r="T152" s="255"/>
      <c r="U152" s="255"/>
      <c r="V152" s="255"/>
      <c r="W152" s="255"/>
      <c r="X152" s="87"/>
      <c r="Y152" s="87"/>
      <c r="Z152" s="255"/>
      <c r="AA152" s="255"/>
      <c r="AB152" s="255"/>
      <c r="AC152" s="255"/>
      <c r="AD152" s="255"/>
      <c r="AE152" s="87"/>
      <c r="AF152" s="87"/>
      <c r="AG152" s="255"/>
      <c r="AH152" s="255"/>
      <c r="AI152" s="87"/>
      <c r="AJ152" s="255"/>
      <c r="AK152" s="255"/>
      <c r="AL152" s="87"/>
      <c r="AM152" s="87"/>
      <c r="AN152" s="255"/>
      <c r="AO152" s="255"/>
      <c r="AP152" s="87"/>
      <c r="AQ152" s="184"/>
      <c r="AS152" s="43">
        <f t="shared" si="41"/>
        <v>0</v>
      </c>
      <c r="AT152" s="43">
        <f t="shared" si="41"/>
        <v>0</v>
      </c>
      <c r="AU152" s="43">
        <f t="shared" si="41"/>
        <v>0</v>
      </c>
      <c r="AV152" s="43">
        <f t="shared" si="41"/>
        <v>0</v>
      </c>
      <c r="AW152" s="43">
        <f t="shared" si="41"/>
        <v>0</v>
      </c>
      <c r="AX152" s="43">
        <f t="shared" si="41"/>
        <v>0</v>
      </c>
      <c r="AY152" s="43">
        <f t="shared" si="41"/>
        <v>0</v>
      </c>
      <c r="AZ152" s="43">
        <f t="shared" si="41"/>
        <v>0</v>
      </c>
      <c r="BA152" s="43">
        <f t="shared" si="41"/>
        <v>0</v>
      </c>
      <c r="BB152" s="43">
        <f t="shared" si="41"/>
        <v>0</v>
      </c>
      <c r="BC152" s="43">
        <f t="shared" si="41"/>
        <v>0</v>
      </c>
      <c r="BD152" s="43">
        <f t="shared" si="41"/>
        <v>0</v>
      </c>
      <c r="BE152" s="43">
        <f t="shared" si="41"/>
        <v>0</v>
      </c>
      <c r="BF152" s="43">
        <f t="shared" si="41"/>
        <v>0</v>
      </c>
      <c r="BG152" s="43">
        <f t="shared" si="41"/>
        <v>0</v>
      </c>
      <c r="BH152" s="43">
        <f t="shared" si="41"/>
        <v>0</v>
      </c>
      <c r="BI152" s="43">
        <f t="shared" si="40"/>
        <v>0</v>
      </c>
      <c r="BJ152" s="43">
        <f t="shared" si="40"/>
        <v>0</v>
      </c>
      <c r="BK152" s="43">
        <f t="shared" si="40"/>
        <v>0</v>
      </c>
      <c r="BL152" s="43">
        <f t="shared" si="40"/>
        <v>0</v>
      </c>
      <c r="BM152" s="43">
        <f t="shared" si="40"/>
        <v>0</v>
      </c>
      <c r="BN152" s="43">
        <f t="shared" si="40"/>
        <v>0</v>
      </c>
      <c r="BO152" s="43">
        <f t="shared" si="40"/>
        <v>0</v>
      </c>
      <c r="BP152" s="43">
        <f t="shared" si="40"/>
        <v>0</v>
      </c>
      <c r="BQ152" s="43">
        <f t="shared" si="40"/>
        <v>0</v>
      </c>
    </row>
    <row r="153" spans="3:69" ht="20.100000000000001" customHeight="1">
      <c r="C153" s="523"/>
      <c r="D153" s="524"/>
      <c r="E153" s="525"/>
      <c r="F153" s="526"/>
      <c r="G153" s="526"/>
      <c r="H153" s="526"/>
      <c r="I153" s="526"/>
      <c r="J153" s="527"/>
      <c r="K153" s="527"/>
      <c r="L153" s="528"/>
      <c r="M153" s="254"/>
      <c r="N153" s="255"/>
      <c r="O153" s="255"/>
      <c r="P153" s="255"/>
      <c r="Q153" s="87"/>
      <c r="R153" s="87"/>
      <c r="S153" s="255"/>
      <c r="T153" s="255"/>
      <c r="U153" s="255"/>
      <c r="V153" s="255"/>
      <c r="W153" s="255"/>
      <c r="X153" s="87"/>
      <c r="Y153" s="87"/>
      <c r="Z153" s="255"/>
      <c r="AA153" s="255"/>
      <c r="AB153" s="255"/>
      <c r="AC153" s="255"/>
      <c r="AD153" s="255"/>
      <c r="AE153" s="87"/>
      <c r="AF153" s="87"/>
      <c r="AG153" s="255"/>
      <c r="AH153" s="255"/>
      <c r="AI153" s="87"/>
      <c r="AJ153" s="255"/>
      <c r="AK153" s="255"/>
      <c r="AL153" s="87"/>
      <c r="AM153" s="87"/>
      <c r="AN153" s="255"/>
      <c r="AO153" s="255"/>
      <c r="AP153" s="87"/>
      <c r="AQ153" s="184"/>
      <c r="AS153" s="43">
        <f t="shared" si="41"/>
        <v>0</v>
      </c>
      <c r="AT153" s="43">
        <f t="shared" si="41"/>
        <v>0</v>
      </c>
      <c r="AU153" s="43">
        <f t="shared" si="41"/>
        <v>0</v>
      </c>
      <c r="AV153" s="43">
        <f t="shared" si="41"/>
        <v>0</v>
      </c>
      <c r="AW153" s="43">
        <f t="shared" si="41"/>
        <v>0</v>
      </c>
      <c r="AX153" s="43">
        <f t="shared" si="41"/>
        <v>0</v>
      </c>
      <c r="AY153" s="43">
        <f t="shared" si="41"/>
        <v>0</v>
      </c>
      <c r="AZ153" s="43">
        <f t="shared" si="41"/>
        <v>0</v>
      </c>
      <c r="BA153" s="43">
        <f t="shared" si="41"/>
        <v>0</v>
      </c>
      <c r="BB153" s="43">
        <f t="shared" si="41"/>
        <v>0</v>
      </c>
      <c r="BC153" s="43">
        <f t="shared" si="41"/>
        <v>0</v>
      </c>
      <c r="BD153" s="43">
        <f t="shared" si="41"/>
        <v>0</v>
      </c>
      <c r="BE153" s="43">
        <f t="shared" si="41"/>
        <v>0</v>
      </c>
      <c r="BF153" s="43">
        <f t="shared" si="41"/>
        <v>0</v>
      </c>
      <c r="BG153" s="43">
        <f t="shared" si="41"/>
        <v>0</v>
      </c>
      <c r="BH153" s="43">
        <f t="shared" si="41"/>
        <v>0</v>
      </c>
      <c r="BI153" s="43">
        <f t="shared" si="40"/>
        <v>0</v>
      </c>
      <c r="BJ153" s="43">
        <f t="shared" si="40"/>
        <v>0</v>
      </c>
      <c r="BK153" s="43">
        <f t="shared" si="40"/>
        <v>0</v>
      </c>
      <c r="BL153" s="43">
        <f t="shared" si="40"/>
        <v>0</v>
      </c>
      <c r="BM153" s="43">
        <f t="shared" si="40"/>
        <v>0</v>
      </c>
      <c r="BN153" s="43">
        <f t="shared" si="40"/>
        <v>0</v>
      </c>
      <c r="BO153" s="43">
        <f t="shared" si="40"/>
        <v>0</v>
      </c>
      <c r="BP153" s="43">
        <f t="shared" si="40"/>
        <v>0</v>
      </c>
      <c r="BQ153" s="43">
        <f t="shared" si="40"/>
        <v>0</v>
      </c>
    </row>
    <row r="154" spans="3:69" ht="20.100000000000001" customHeight="1" thickBot="1">
      <c r="C154" s="529"/>
      <c r="D154" s="530"/>
      <c r="E154" s="531"/>
      <c r="F154" s="532"/>
      <c r="G154" s="532"/>
      <c r="H154" s="532"/>
      <c r="I154" s="532"/>
      <c r="J154" s="533"/>
      <c r="K154" s="533"/>
      <c r="L154" s="534"/>
      <c r="M154" s="258"/>
      <c r="N154" s="259"/>
      <c r="O154" s="259"/>
      <c r="P154" s="259"/>
      <c r="Q154" s="77"/>
      <c r="R154" s="77"/>
      <c r="S154" s="259"/>
      <c r="T154" s="259"/>
      <c r="U154" s="259"/>
      <c r="V154" s="259"/>
      <c r="W154" s="259"/>
      <c r="X154" s="77"/>
      <c r="Y154" s="77"/>
      <c r="Z154" s="259"/>
      <c r="AA154" s="259"/>
      <c r="AB154" s="259"/>
      <c r="AC154" s="259"/>
      <c r="AD154" s="259"/>
      <c r="AE154" s="77"/>
      <c r="AF154" s="77"/>
      <c r="AG154" s="259"/>
      <c r="AH154" s="259"/>
      <c r="AI154" s="77"/>
      <c r="AJ154" s="259"/>
      <c r="AK154" s="259"/>
      <c r="AL154" s="77"/>
      <c r="AM154" s="77"/>
      <c r="AN154" s="259"/>
      <c r="AO154" s="259"/>
      <c r="AP154" s="77"/>
      <c r="AQ154" s="185"/>
      <c r="AS154" s="43">
        <f t="shared" si="41"/>
        <v>0</v>
      </c>
      <c r="AT154" s="43">
        <f t="shared" si="41"/>
        <v>0</v>
      </c>
      <c r="AU154" s="43">
        <f t="shared" si="41"/>
        <v>0</v>
      </c>
      <c r="AV154" s="43">
        <f t="shared" si="41"/>
        <v>0</v>
      </c>
      <c r="AW154" s="43">
        <f t="shared" si="41"/>
        <v>0</v>
      </c>
      <c r="AX154" s="43">
        <f t="shared" si="41"/>
        <v>0</v>
      </c>
      <c r="AY154" s="43">
        <f t="shared" si="41"/>
        <v>0</v>
      </c>
      <c r="AZ154" s="43">
        <f t="shared" si="41"/>
        <v>0</v>
      </c>
      <c r="BA154" s="43">
        <f t="shared" si="41"/>
        <v>0</v>
      </c>
      <c r="BB154" s="43">
        <f t="shared" si="41"/>
        <v>0</v>
      </c>
      <c r="BC154" s="43">
        <f t="shared" si="41"/>
        <v>0</v>
      </c>
      <c r="BD154" s="43">
        <f t="shared" si="41"/>
        <v>0</v>
      </c>
      <c r="BE154" s="43">
        <f t="shared" si="41"/>
        <v>0</v>
      </c>
      <c r="BF154" s="43">
        <f t="shared" si="41"/>
        <v>0</v>
      </c>
      <c r="BG154" s="43">
        <f t="shared" si="41"/>
        <v>0</v>
      </c>
      <c r="BH154" s="43">
        <f t="shared" si="41"/>
        <v>0</v>
      </c>
      <c r="BI154" s="43">
        <f t="shared" si="40"/>
        <v>0</v>
      </c>
      <c r="BJ154" s="43">
        <f t="shared" si="40"/>
        <v>0</v>
      </c>
      <c r="BK154" s="43">
        <f t="shared" si="40"/>
        <v>0</v>
      </c>
      <c r="BL154" s="43">
        <f t="shared" si="40"/>
        <v>0</v>
      </c>
      <c r="BM154" s="43">
        <f t="shared" si="40"/>
        <v>0</v>
      </c>
      <c r="BN154" s="43">
        <f t="shared" si="40"/>
        <v>0</v>
      </c>
      <c r="BO154" s="43">
        <f t="shared" si="40"/>
        <v>0</v>
      </c>
      <c r="BP154" s="43">
        <f t="shared" si="40"/>
        <v>0</v>
      </c>
      <c r="BQ154" s="43">
        <f t="shared" si="40"/>
        <v>0</v>
      </c>
    </row>
    <row r="155" spans="3:69" ht="20.100000000000001" hidden="1" customHeight="1" thickBot="1">
      <c r="M155">
        <f>DTCHK(M141,YK!$J$3:$J$52)</f>
        <v>0</v>
      </c>
      <c r="N155">
        <f>DTCHK(N141,YK!$J$3:$J$52)</f>
        <v>0</v>
      </c>
      <c r="O155">
        <f>DTCHK(O141,YK!$J$3:$J$52)</f>
        <v>0</v>
      </c>
      <c r="P155">
        <f>DTCHK(P141,YK!$J$3:$J$52)</f>
        <v>0</v>
      </c>
      <c r="Q155">
        <f>DTCHK(Q141,YK!$J$3:$J$52)</f>
        <v>0</v>
      </c>
      <c r="R155">
        <f>DTCHK(R141,YK!$J$3:$J$52)</f>
        <v>0</v>
      </c>
      <c r="S155">
        <f>DTCHK(S141,YK!$J$3:$J$52)</f>
        <v>0</v>
      </c>
      <c r="T155">
        <f>DTCHK(T141,YK!$J$3:$J$52)</f>
        <v>0</v>
      </c>
      <c r="U155">
        <f>DTCHK(U141,YK!$J$3:$J$52)</f>
        <v>0</v>
      </c>
      <c r="V155">
        <f>DTCHK(V141,YK!$J$3:$J$52)</f>
        <v>0</v>
      </c>
      <c r="W155">
        <f>DTCHK(W141,YK!$J$3:$J$52)</f>
        <v>0</v>
      </c>
      <c r="X155">
        <f>DTCHK(X141,YK!$J$3:$J$52)</f>
        <v>0</v>
      </c>
      <c r="Y155">
        <f>DTCHK(Y141,YK!$J$3:$J$52)</f>
        <v>0</v>
      </c>
      <c r="Z155">
        <f>DTCHK(Z141,YK!$J$3:$J$52)</f>
        <v>0</v>
      </c>
      <c r="AA155">
        <f>DTCHK(AA141,YK!$J$3:$J$52)</f>
        <v>0</v>
      </c>
      <c r="AB155">
        <f>DTCHK(AB141,YK!$J$3:$J$52)</f>
        <v>0</v>
      </c>
      <c r="AC155">
        <f>DTCHK(AC141,YK!$J$3:$J$52)</f>
        <v>0</v>
      </c>
      <c r="AD155">
        <f>DTCHK(AD141,YK!$J$3:$J$52)</f>
        <v>0</v>
      </c>
      <c r="AE155">
        <f>DTCHK(AE141,YK!$J$3:$J$52)</f>
        <v>0</v>
      </c>
      <c r="AF155">
        <f>DTCHK(AF141,YK!$J$3:$J$52)</f>
        <v>0</v>
      </c>
      <c r="AG155">
        <f>DTCHK(AG141,YK!$J$3:$J$52)</f>
        <v>0</v>
      </c>
      <c r="AH155">
        <f>DTCHK(AH141,YK!$J$3:$J$52)</f>
        <v>0</v>
      </c>
      <c r="AI155">
        <f>DTCHK(AI141,YK!$J$3:$J$52)</f>
        <v>1</v>
      </c>
      <c r="AJ155">
        <f>DTCHK(AJ141,YK!$J$3:$J$52)</f>
        <v>0</v>
      </c>
      <c r="AK155">
        <f>DTCHK(AK141,YK!$J$3:$J$52)</f>
        <v>0</v>
      </c>
      <c r="AL155">
        <f>DTCHK(AL141,YK!$J$3:$J$52)</f>
        <v>0</v>
      </c>
      <c r="AM155">
        <f>DTCHK(AM141,YK!$J$3:$J$52)</f>
        <v>0</v>
      </c>
      <c r="AN155">
        <f>DTCHK(AN141,YK!$J$3:$J$52)</f>
        <v>0</v>
      </c>
      <c r="AO155">
        <f>DTCHK(AO141,YK!$J$3:$J$52)</f>
        <v>0</v>
      </c>
      <c r="AP155">
        <f>DTCHK(AP141,YK!$J$3:$J$52)</f>
        <v>1</v>
      </c>
      <c r="AQ155">
        <f>DTCHK(AQ141,YK!$J$3:$J$52)</f>
        <v>0</v>
      </c>
      <c r="AS155" s="43">
        <f t="shared" si="41"/>
        <v>0</v>
      </c>
      <c r="AT155" s="43">
        <f t="shared" si="41"/>
        <v>0</v>
      </c>
      <c r="AU155" s="43">
        <f t="shared" si="41"/>
        <v>0</v>
      </c>
      <c r="AV155" s="43">
        <f t="shared" si="41"/>
        <v>0</v>
      </c>
      <c r="AW155" s="43">
        <f t="shared" si="41"/>
        <v>0</v>
      </c>
      <c r="AX155" s="43">
        <f t="shared" si="41"/>
        <v>0</v>
      </c>
      <c r="AY155" s="43">
        <f t="shared" si="41"/>
        <v>0</v>
      </c>
      <c r="AZ155" s="43">
        <f t="shared" si="41"/>
        <v>0</v>
      </c>
      <c r="BA155" s="43">
        <f t="shared" si="41"/>
        <v>0</v>
      </c>
      <c r="BB155" s="43">
        <f t="shared" si="41"/>
        <v>0</v>
      </c>
      <c r="BC155" s="43">
        <f t="shared" si="41"/>
        <v>0</v>
      </c>
      <c r="BD155" s="43">
        <f t="shared" si="41"/>
        <v>0</v>
      </c>
      <c r="BE155" s="43">
        <f t="shared" si="41"/>
        <v>29</v>
      </c>
      <c r="BF155" s="43">
        <f t="shared" si="41"/>
        <v>29</v>
      </c>
      <c r="BG155" s="43">
        <f t="shared" si="41"/>
        <v>29</v>
      </c>
      <c r="BH155" s="43">
        <f t="shared" si="41"/>
        <v>29</v>
      </c>
      <c r="BI155" s="43">
        <f t="shared" si="40"/>
        <v>29</v>
      </c>
      <c r="BJ155" s="43">
        <f t="shared" si="40"/>
        <v>0</v>
      </c>
      <c r="BK155" s="43">
        <f t="shared" si="40"/>
        <v>29</v>
      </c>
      <c r="BL155" s="43">
        <f t="shared" si="40"/>
        <v>29</v>
      </c>
      <c r="BM155" s="43">
        <f t="shared" si="40"/>
        <v>29</v>
      </c>
      <c r="BN155" s="43">
        <f t="shared" si="40"/>
        <v>0</v>
      </c>
      <c r="BO155" s="43">
        <f t="shared" si="40"/>
        <v>0</v>
      </c>
      <c r="BP155" s="43">
        <f t="shared" si="40"/>
        <v>0</v>
      </c>
      <c r="BQ155" s="43">
        <f t="shared" si="40"/>
        <v>29</v>
      </c>
    </row>
    <row r="156" spans="3:69" ht="20.100000000000001" customHeight="1">
      <c r="C156" s="539" t="str">
        <f ca="1">Lists!F10</f>
        <v>Październik</v>
      </c>
      <c r="D156" s="540"/>
      <c r="E156" s="540"/>
      <c r="F156" s="540"/>
      <c r="G156" s="541"/>
    </row>
    <row r="157" spans="3:69" ht="20.100000000000001" customHeight="1" thickBot="1">
      <c r="C157" s="542"/>
      <c r="D157" s="543"/>
      <c r="E157" s="543"/>
      <c r="F157" s="543"/>
      <c r="G157" s="544"/>
    </row>
    <row r="158" spans="3:69" ht="20.100000000000001" hidden="1" customHeight="1">
      <c r="C158" s="31"/>
      <c r="D158" s="32"/>
      <c r="E158" s="32"/>
      <c r="F158" s="32"/>
      <c r="G158" s="32"/>
      <c r="M158" s="10">
        <f>M141+30</f>
        <v>46296</v>
      </c>
      <c r="N158" s="10">
        <f>M158+1</f>
        <v>46297</v>
      </c>
      <c r="O158" s="10">
        <f t="shared" ref="O158:AQ158" si="42">N158+1</f>
        <v>46298</v>
      </c>
      <c r="P158" s="10">
        <f t="shared" si="42"/>
        <v>46299</v>
      </c>
      <c r="Q158" s="10">
        <f t="shared" si="42"/>
        <v>46300</v>
      </c>
      <c r="R158" s="10">
        <f t="shared" si="42"/>
        <v>46301</v>
      </c>
      <c r="S158" s="10">
        <f t="shared" si="42"/>
        <v>46302</v>
      </c>
      <c r="T158" s="10">
        <f t="shared" si="42"/>
        <v>46303</v>
      </c>
      <c r="U158" s="10">
        <f t="shared" si="42"/>
        <v>46304</v>
      </c>
      <c r="V158" s="10">
        <f t="shared" si="42"/>
        <v>46305</v>
      </c>
      <c r="W158" s="10">
        <f t="shared" si="42"/>
        <v>46306</v>
      </c>
      <c r="X158" s="10">
        <f t="shared" si="42"/>
        <v>46307</v>
      </c>
      <c r="Y158" s="10">
        <f t="shared" si="42"/>
        <v>46308</v>
      </c>
      <c r="Z158" s="10">
        <f t="shared" si="42"/>
        <v>46309</v>
      </c>
      <c r="AA158" s="10">
        <f t="shared" si="42"/>
        <v>46310</v>
      </c>
      <c r="AB158" s="10">
        <f t="shared" si="42"/>
        <v>46311</v>
      </c>
      <c r="AC158" s="10">
        <f t="shared" si="42"/>
        <v>46312</v>
      </c>
      <c r="AD158" s="10">
        <f t="shared" si="42"/>
        <v>46313</v>
      </c>
      <c r="AE158" s="10">
        <f t="shared" si="42"/>
        <v>46314</v>
      </c>
      <c r="AF158" s="10">
        <f t="shared" si="42"/>
        <v>46315</v>
      </c>
      <c r="AG158" s="10">
        <f t="shared" si="42"/>
        <v>46316</v>
      </c>
      <c r="AH158" s="10">
        <f t="shared" si="42"/>
        <v>46317</v>
      </c>
      <c r="AI158" s="10">
        <f t="shared" si="42"/>
        <v>46318</v>
      </c>
      <c r="AJ158" s="10">
        <f t="shared" si="42"/>
        <v>46319</v>
      </c>
      <c r="AK158" s="10">
        <f t="shared" si="42"/>
        <v>46320</v>
      </c>
      <c r="AL158" s="10">
        <f t="shared" si="42"/>
        <v>46321</v>
      </c>
      <c r="AM158" s="10">
        <f t="shared" si="42"/>
        <v>46322</v>
      </c>
      <c r="AN158" s="10">
        <f t="shared" si="42"/>
        <v>46323</v>
      </c>
      <c r="AO158" s="10">
        <f t="shared" si="42"/>
        <v>46324</v>
      </c>
      <c r="AP158" s="10">
        <f t="shared" si="42"/>
        <v>46325</v>
      </c>
      <c r="AQ158" s="10">
        <f t="shared" si="42"/>
        <v>46326</v>
      </c>
    </row>
    <row r="159" spans="3:69" ht="20.100000000000001" hidden="1" customHeight="1" thickBot="1">
      <c r="C159" s="31"/>
      <c r="D159" s="32"/>
      <c r="E159" s="32"/>
      <c r="F159" s="32"/>
      <c r="G159" s="32"/>
      <c r="M159">
        <f t="shared" ref="M159:AQ159" si="43">WEEKDAY(M158,2)</f>
        <v>4</v>
      </c>
      <c r="N159">
        <f t="shared" si="43"/>
        <v>5</v>
      </c>
      <c r="O159">
        <f t="shared" si="43"/>
        <v>6</v>
      </c>
      <c r="P159">
        <f t="shared" si="43"/>
        <v>7</v>
      </c>
      <c r="Q159">
        <f t="shared" si="43"/>
        <v>1</v>
      </c>
      <c r="R159">
        <f t="shared" si="43"/>
        <v>2</v>
      </c>
      <c r="S159">
        <f t="shared" si="43"/>
        <v>3</v>
      </c>
      <c r="T159">
        <f t="shared" si="43"/>
        <v>4</v>
      </c>
      <c r="U159">
        <f t="shared" si="43"/>
        <v>5</v>
      </c>
      <c r="V159">
        <f t="shared" si="43"/>
        <v>6</v>
      </c>
      <c r="W159">
        <f t="shared" si="43"/>
        <v>7</v>
      </c>
      <c r="X159">
        <f t="shared" si="43"/>
        <v>1</v>
      </c>
      <c r="Y159">
        <f t="shared" si="43"/>
        <v>2</v>
      </c>
      <c r="Z159">
        <f t="shared" si="43"/>
        <v>3</v>
      </c>
      <c r="AA159">
        <f t="shared" si="43"/>
        <v>4</v>
      </c>
      <c r="AB159">
        <f t="shared" si="43"/>
        <v>5</v>
      </c>
      <c r="AC159">
        <f t="shared" si="43"/>
        <v>6</v>
      </c>
      <c r="AD159">
        <f t="shared" si="43"/>
        <v>7</v>
      </c>
      <c r="AE159">
        <f t="shared" si="43"/>
        <v>1</v>
      </c>
      <c r="AF159">
        <f t="shared" si="43"/>
        <v>2</v>
      </c>
      <c r="AG159">
        <f t="shared" si="43"/>
        <v>3</v>
      </c>
      <c r="AH159">
        <f t="shared" si="43"/>
        <v>4</v>
      </c>
      <c r="AI159">
        <f t="shared" si="43"/>
        <v>5</v>
      </c>
      <c r="AJ159">
        <f t="shared" si="43"/>
        <v>6</v>
      </c>
      <c r="AK159">
        <f t="shared" si="43"/>
        <v>7</v>
      </c>
      <c r="AL159">
        <f t="shared" si="43"/>
        <v>1</v>
      </c>
      <c r="AM159">
        <f t="shared" si="43"/>
        <v>2</v>
      </c>
      <c r="AN159">
        <f t="shared" si="43"/>
        <v>3</v>
      </c>
      <c r="AO159">
        <f t="shared" si="43"/>
        <v>4</v>
      </c>
      <c r="AP159">
        <f t="shared" si="43"/>
        <v>5</v>
      </c>
      <c r="AQ159">
        <f t="shared" si="43"/>
        <v>6</v>
      </c>
    </row>
    <row r="160" spans="3:69" ht="20.100000000000001" customHeight="1">
      <c r="C160" s="433" t="str">
        <f ca="1">INDIRECT("T!"&amp;T!A1&amp;"33")</f>
        <v>Etat</v>
      </c>
      <c r="D160" s="434"/>
      <c r="E160" s="427" t="s">
        <v>6</v>
      </c>
      <c r="F160" s="428"/>
      <c r="G160" s="428"/>
      <c r="H160" s="428"/>
      <c r="I160" s="428"/>
      <c r="J160" s="421" t="str">
        <f ca="1">INDIRECT("T!"&amp;T!A1&amp;"34")</f>
        <v>Pozycja</v>
      </c>
      <c r="K160" s="421"/>
      <c r="L160" s="549"/>
      <c r="M160" s="28">
        <v>1</v>
      </c>
      <c r="N160" s="28">
        <v>2</v>
      </c>
      <c r="O160" s="28">
        <v>3</v>
      </c>
      <c r="P160" s="28">
        <v>4</v>
      </c>
      <c r="Q160" s="28">
        <v>5</v>
      </c>
      <c r="R160" s="28">
        <v>6</v>
      </c>
      <c r="S160" s="28">
        <v>7</v>
      </c>
      <c r="T160" s="28">
        <v>8</v>
      </c>
      <c r="U160" s="28">
        <v>9</v>
      </c>
      <c r="V160" s="28">
        <v>10</v>
      </c>
      <c r="W160" s="28">
        <v>11</v>
      </c>
      <c r="X160" s="28">
        <v>12</v>
      </c>
      <c r="Y160" s="28">
        <v>13</v>
      </c>
      <c r="Z160" s="28">
        <v>14</v>
      </c>
      <c r="AA160" s="28">
        <v>15</v>
      </c>
      <c r="AB160" s="28">
        <v>16</v>
      </c>
      <c r="AC160" s="28">
        <v>17</v>
      </c>
      <c r="AD160" s="28">
        <v>18</v>
      </c>
      <c r="AE160" s="28">
        <v>19</v>
      </c>
      <c r="AF160" s="28">
        <v>20</v>
      </c>
      <c r="AG160" s="28">
        <v>21</v>
      </c>
      <c r="AH160" s="28">
        <v>22</v>
      </c>
      <c r="AI160" s="28">
        <v>23</v>
      </c>
      <c r="AJ160" s="28">
        <v>24</v>
      </c>
      <c r="AK160" s="28">
        <v>25</v>
      </c>
      <c r="AL160" s="28">
        <v>26</v>
      </c>
      <c r="AM160" s="28">
        <v>27</v>
      </c>
      <c r="AN160" s="28">
        <v>28</v>
      </c>
      <c r="AO160" s="28">
        <v>29</v>
      </c>
      <c r="AP160" s="28">
        <v>30</v>
      </c>
      <c r="AQ160" s="28">
        <v>31</v>
      </c>
    </row>
    <row r="161" spans="3:69" ht="20.100000000000001" customHeight="1" thickBot="1">
      <c r="C161" s="545"/>
      <c r="D161" s="546"/>
      <c r="E161" s="547"/>
      <c r="F161" s="548"/>
      <c r="G161" s="548"/>
      <c r="H161" s="548"/>
      <c r="I161" s="548"/>
      <c r="J161" s="424"/>
      <c r="K161" s="424"/>
      <c r="L161" s="550"/>
      <c r="M161" s="29" t="str">
        <f ca="1">IF(M159=1,INDIRECT("T!"&amp;T!$A$1&amp;"26"),IF(M159=2,INDIRECT("T!"&amp;T!$A$1&amp;"27"),IF(M159=3,INDIRECT("T!"&amp;T!$A$1&amp;"28"),IF(M159=4,INDIRECT("T!"&amp;T!$A$1&amp;"29"),IF(M159=5,INDIRECT("T!"&amp;T!$A$1&amp;"30"),IF(M159=6,INDIRECT("T!"&amp;T!$A$1&amp;"31"),IF(M159=7,INDIRECT("T!"&amp;T!$A$1&amp;"32"),0)))))))</f>
        <v>Cz</v>
      </c>
      <c r="N161" s="29" t="str">
        <f ca="1">IF(N159=1,INDIRECT("T!"&amp;T!$A$1&amp;"26"),IF(N159=2,INDIRECT("T!"&amp;T!$A$1&amp;"27"),IF(N159=3,INDIRECT("T!"&amp;T!$A$1&amp;"28"),IF(N159=4,INDIRECT("T!"&amp;T!$A$1&amp;"29"),IF(N159=5,INDIRECT("T!"&amp;T!$A$1&amp;"30"),IF(N159=6,INDIRECT("T!"&amp;T!$A$1&amp;"31"),IF(N159=7,INDIRECT("T!"&amp;T!$A$1&amp;"32"),0)))))))</f>
        <v>Pt</v>
      </c>
      <c r="O161" s="29" t="str">
        <f ca="1">IF(O159=1,INDIRECT("T!"&amp;T!$A$1&amp;"26"),IF(O159=2,INDIRECT("T!"&amp;T!$A$1&amp;"27"),IF(O159=3,INDIRECT("T!"&amp;T!$A$1&amp;"28"),IF(O159=4,INDIRECT("T!"&amp;T!$A$1&amp;"29"),IF(O159=5,INDIRECT("T!"&amp;T!$A$1&amp;"30"),IF(O159=6,INDIRECT("T!"&amp;T!$A$1&amp;"31"),IF(O159=7,INDIRECT("T!"&amp;T!$A$1&amp;"32"),0)))))))</f>
        <v>So</v>
      </c>
      <c r="P161" s="29" t="str">
        <f ca="1">IF(P159=1,INDIRECT("T!"&amp;T!$A$1&amp;"26"),IF(P159=2,INDIRECT("T!"&amp;T!$A$1&amp;"27"),IF(P159=3,INDIRECT("T!"&amp;T!$A$1&amp;"28"),IF(P159=4,INDIRECT("T!"&amp;T!$A$1&amp;"29"),IF(P159=5,INDIRECT("T!"&amp;T!$A$1&amp;"30"),IF(P159=6,INDIRECT("T!"&amp;T!$A$1&amp;"31"),IF(P159=7,INDIRECT("T!"&amp;T!$A$1&amp;"32"),0)))))))</f>
        <v>Nd</v>
      </c>
      <c r="Q161" s="29" t="str">
        <f ca="1">IF(Q159=1,INDIRECT("T!"&amp;T!$A$1&amp;"26"),IF(Q159=2,INDIRECT("T!"&amp;T!$A$1&amp;"27"),IF(Q159=3,INDIRECT("T!"&amp;T!$A$1&amp;"28"),IF(Q159=4,INDIRECT("T!"&amp;T!$A$1&amp;"29"),IF(Q159=5,INDIRECT("T!"&amp;T!$A$1&amp;"30"),IF(Q159=6,INDIRECT("T!"&amp;T!$A$1&amp;"31"),IF(Q159=7,INDIRECT("T!"&amp;T!$A$1&amp;"32"),0)))))))</f>
        <v>Pn</v>
      </c>
      <c r="R161" s="29" t="str">
        <f ca="1">IF(R159=1,INDIRECT("T!"&amp;T!$A$1&amp;"26"),IF(R159=2,INDIRECT("T!"&amp;T!$A$1&amp;"27"),IF(R159=3,INDIRECT("T!"&amp;T!$A$1&amp;"28"),IF(R159=4,INDIRECT("T!"&amp;T!$A$1&amp;"29"),IF(R159=5,INDIRECT("T!"&amp;T!$A$1&amp;"30"),IF(R159=6,INDIRECT("T!"&amp;T!$A$1&amp;"31"),IF(R159=7,INDIRECT("T!"&amp;T!$A$1&amp;"32"),0)))))))</f>
        <v>Wt</v>
      </c>
      <c r="S161" s="29" t="str">
        <f ca="1">IF(S159=1,INDIRECT("T!"&amp;T!$A$1&amp;"26"),IF(S159=2,INDIRECT("T!"&amp;T!$A$1&amp;"27"),IF(S159=3,INDIRECT("T!"&amp;T!$A$1&amp;"28"),IF(S159=4,INDIRECT("T!"&amp;T!$A$1&amp;"29"),IF(S159=5,INDIRECT("T!"&amp;T!$A$1&amp;"30"),IF(S159=6,INDIRECT("T!"&amp;T!$A$1&amp;"31"),IF(S159=7,INDIRECT("T!"&amp;T!$A$1&amp;"32"),0)))))))</f>
        <v>Śr</v>
      </c>
      <c r="T161" s="29" t="str">
        <f ca="1">IF(T159=1,INDIRECT("T!"&amp;T!$A$1&amp;"26"),IF(T159=2,INDIRECT("T!"&amp;T!$A$1&amp;"27"),IF(T159=3,INDIRECT("T!"&amp;T!$A$1&amp;"28"),IF(T159=4,INDIRECT("T!"&amp;T!$A$1&amp;"29"),IF(T159=5,INDIRECT("T!"&amp;T!$A$1&amp;"30"),IF(T159=6,INDIRECT("T!"&amp;T!$A$1&amp;"31"),IF(T159=7,INDIRECT("T!"&amp;T!$A$1&amp;"32"),0)))))))</f>
        <v>Cz</v>
      </c>
      <c r="U161" s="29" t="str">
        <f ca="1">IF(U159=1,INDIRECT("T!"&amp;T!$A$1&amp;"26"),IF(U159=2,INDIRECT("T!"&amp;T!$A$1&amp;"27"),IF(U159=3,INDIRECT("T!"&amp;T!$A$1&amp;"28"),IF(U159=4,INDIRECT("T!"&amp;T!$A$1&amp;"29"),IF(U159=5,INDIRECT("T!"&amp;T!$A$1&amp;"30"),IF(U159=6,INDIRECT("T!"&amp;T!$A$1&amp;"31"),IF(U159=7,INDIRECT("T!"&amp;T!$A$1&amp;"32"),0)))))))</f>
        <v>Pt</v>
      </c>
      <c r="V161" s="29" t="str">
        <f ca="1">IF(V159=1,INDIRECT("T!"&amp;T!$A$1&amp;"26"),IF(V159=2,INDIRECT("T!"&amp;T!$A$1&amp;"27"),IF(V159=3,INDIRECT("T!"&amp;T!$A$1&amp;"28"),IF(V159=4,INDIRECT("T!"&amp;T!$A$1&amp;"29"),IF(V159=5,INDIRECT("T!"&amp;T!$A$1&amp;"30"),IF(V159=6,INDIRECT("T!"&amp;T!$A$1&amp;"31"),IF(V159=7,INDIRECT("T!"&amp;T!$A$1&amp;"32"),0)))))))</f>
        <v>So</v>
      </c>
      <c r="W161" s="29" t="str">
        <f ca="1">IF(W159=1,INDIRECT("T!"&amp;T!$A$1&amp;"26"),IF(W159=2,INDIRECT("T!"&amp;T!$A$1&amp;"27"),IF(W159=3,INDIRECT("T!"&amp;T!$A$1&amp;"28"),IF(W159=4,INDIRECT("T!"&amp;T!$A$1&amp;"29"),IF(W159=5,INDIRECT("T!"&amp;T!$A$1&amp;"30"),IF(W159=6,INDIRECT("T!"&amp;T!$A$1&amp;"31"),IF(W159=7,INDIRECT("T!"&amp;T!$A$1&amp;"32"),0)))))))</f>
        <v>Nd</v>
      </c>
      <c r="X161" s="29" t="str">
        <f ca="1">IF(X159=1,INDIRECT("T!"&amp;T!$A$1&amp;"26"),IF(X159=2,INDIRECT("T!"&amp;T!$A$1&amp;"27"),IF(X159=3,INDIRECT("T!"&amp;T!$A$1&amp;"28"),IF(X159=4,INDIRECT("T!"&amp;T!$A$1&amp;"29"),IF(X159=5,INDIRECT("T!"&amp;T!$A$1&amp;"30"),IF(X159=6,INDIRECT("T!"&amp;T!$A$1&amp;"31"),IF(X159=7,INDIRECT("T!"&amp;T!$A$1&amp;"32"),0)))))))</f>
        <v>Pn</v>
      </c>
      <c r="Y161" s="29" t="str">
        <f ca="1">IF(Y159=1,INDIRECT("T!"&amp;T!$A$1&amp;"26"),IF(Y159=2,INDIRECT("T!"&amp;T!$A$1&amp;"27"),IF(Y159=3,INDIRECT("T!"&amp;T!$A$1&amp;"28"),IF(Y159=4,INDIRECT("T!"&amp;T!$A$1&amp;"29"),IF(Y159=5,INDIRECT("T!"&amp;T!$A$1&amp;"30"),IF(Y159=6,INDIRECT("T!"&amp;T!$A$1&amp;"31"),IF(Y159=7,INDIRECT("T!"&amp;T!$A$1&amp;"32"),0)))))))</f>
        <v>Wt</v>
      </c>
      <c r="Z161" s="29" t="str">
        <f ca="1">IF(Z159=1,INDIRECT("T!"&amp;T!$A$1&amp;"26"),IF(Z159=2,INDIRECT("T!"&amp;T!$A$1&amp;"27"),IF(Z159=3,INDIRECT("T!"&amp;T!$A$1&amp;"28"),IF(Z159=4,INDIRECT("T!"&amp;T!$A$1&amp;"29"),IF(Z159=5,INDIRECT("T!"&amp;T!$A$1&amp;"30"),IF(Z159=6,INDIRECT("T!"&amp;T!$A$1&amp;"31"),IF(Z159=7,INDIRECT("T!"&amp;T!$A$1&amp;"32"),0)))))))</f>
        <v>Śr</v>
      </c>
      <c r="AA161" s="29" t="str">
        <f ca="1">IF(AA159=1,INDIRECT("T!"&amp;T!$A$1&amp;"26"),IF(AA159=2,INDIRECT("T!"&amp;T!$A$1&amp;"27"),IF(AA159=3,INDIRECT("T!"&amp;T!$A$1&amp;"28"),IF(AA159=4,INDIRECT("T!"&amp;T!$A$1&amp;"29"),IF(AA159=5,INDIRECT("T!"&amp;T!$A$1&amp;"30"),IF(AA159=6,INDIRECT("T!"&amp;T!$A$1&amp;"31"),IF(AA159=7,INDIRECT("T!"&amp;T!$A$1&amp;"32"),0)))))))</f>
        <v>Cz</v>
      </c>
      <c r="AB161" s="29" t="str">
        <f ca="1">IF(AB159=1,INDIRECT("T!"&amp;T!$A$1&amp;"26"),IF(AB159=2,INDIRECT("T!"&amp;T!$A$1&amp;"27"),IF(AB159=3,INDIRECT("T!"&amp;T!$A$1&amp;"28"),IF(AB159=4,INDIRECT("T!"&amp;T!$A$1&amp;"29"),IF(AB159=5,INDIRECT("T!"&amp;T!$A$1&amp;"30"),IF(AB159=6,INDIRECT("T!"&amp;T!$A$1&amp;"31"),IF(AB159=7,INDIRECT("T!"&amp;T!$A$1&amp;"32"),0)))))))</f>
        <v>Pt</v>
      </c>
      <c r="AC161" s="29" t="str">
        <f ca="1">IF(AC159=1,INDIRECT("T!"&amp;T!$A$1&amp;"26"),IF(AC159=2,INDIRECT("T!"&amp;T!$A$1&amp;"27"),IF(AC159=3,INDIRECT("T!"&amp;T!$A$1&amp;"28"),IF(AC159=4,INDIRECT("T!"&amp;T!$A$1&amp;"29"),IF(AC159=5,INDIRECT("T!"&amp;T!$A$1&amp;"30"),IF(AC159=6,INDIRECT("T!"&amp;T!$A$1&amp;"31"),IF(AC159=7,INDIRECT("T!"&amp;T!$A$1&amp;"32"),0)))))))</f>
        <v>So</v>
      </c>
      <c r="AD161" s="29" t="str">
        <f ca="1">IF(AD159=1,INDIRECT("T!"&amp;T!$A$1&amp;"26"),IF(AD159=2,INDIRECT("T!"&amp;T!$A$1&amp;"27"),IF(AD159=3,INDIRECT("T!"&amp;T!$A$1&amp;"28"),IF(AD159=4,INDIRECT("T!"&amp;T!$A$1&amp;"29"),IF(AD159=5,INDIRECT("T!"&amp;T!$A$1&amp;"30"),IF(AD159=6,INDIRECT("T!"&amp;T!$A$1&amp;"31"),IF(AD159=7,INDIRECT("T!"&amp;T!$A$1&amp;"32"),0)))))))</f>
        <v>Nd</v>
      </c>
      <c r="AE161" s="29" t="str">
        <f ca="1">IF(AE159=1,INDIRECT("T!"&amp;T!$A$1&amp;"26"),IF(AE159=2,INDIRECT("T!"&amp;T!$A$1&amp;"27"),IF(AE159=3,INDIRECT("T!"&amp;T!$A$1&amp;"28"),IF(AE159=4,INDIRECT("T!"&amp;T!$A$1&amp;"29"),IF(AE159=5,INDIRECT("T!"&amp;T!$A$1&amp;"30"),IF(AE159=6,INDIRECT("T!"&amp;T!$A$1&amp;"31"),IF(AE159=7,INDIRECT("T!"&amp;T!$A$1&amp;"32"),0)))))))</f>
        <v>Pn</v>
      </c>
      <c r="AF161" s="29" t="str">
        <f ca="1">IF(AF159=1,INDIRECT("T!"&amp;T!$A$1&amp;"26"),IF(AF159=2,INDIRECT("T!"&amp;T!$A$1&amp;"27"),IF(AF159=3,INDIRECT("T!"&amp;T!$A$1&amp;"28"),IF(AF159=4,INDIRECT("T!"&amp;T!$A$1&amp;"29"),IF(AF159=5,INDIRECT("T!"&amp;T!$A$1&amp;"30"),IF(AF159=6,INDIRECT("T!"&amp;T!$A$1&amp;"31"),IF(AF159=7,INDIRECT("T!"&amp;T!$A$1&amp;"32"),0)))))))</f>
        <v>Wt</v>
      </c>
      <c r="AG161" s="29" t="str">
        <f ca="1">IF(AG159=1,INDIRECT("T!"&amp;T!$A$1&amp;"26"),IF(AG159=2,INDIRECT("T!"&amp;T!$A$1&amp;"27"),IF(AG159=3,INDIRECT("T!"&amp;T!$A$1&amp;"28"),IF(AG159=4,INDIRECT("T!"&amp;T!$A$1&amp;"29"),IF(AG159=5,INDIRECT("T!"&amp;T!$A$1&amp;"30"),IF(AG159=6,INDIRECT("T!"&amp;T!$A$1&amp;"31"),IF(AG159=7,INDIRECT("T!"&amp;T!$A$1&amp;"32"),0)))))))</f>
        <v>Śr</v>
      </c>
      <c r="AH161" s="29" t="str">
        <f ca="1">IF(AH159=1,INDIRECT("T!"&amp;T!$A$1&amp;"26"),IF(AH159=2,INDIRECT("T!"&amp;T!$A$1&amp;"27"),IF(AH159=3,INDIRECT("T!"&amp;T!$A$1&amp;"28"),IF(AH159=4,INDIRECT("T!"&amp;T!$A$1&amp;"29"),IF(AH159=5,INDIRECT("T!"&amp;T!$A$1&amp;"30"),IF(AH159=6,INDIRECT("T!"&amp;T!$A$1&amp;"31"),IF(AH159=7,INDIRECT("T!"&amp;T!$A$1&amp;"32"),0)))))))</f>
        <v>Cz</v>
      </c>
      <c r="AI161" s="29" t="str">
        <f ca="1">IF(AI159=1,INDIRECT("T!"&amp;T!$A$1&amp;"26"),IF(AI159=2,INDIRECT("T!"&amp;T!$A$1&amp;"27"),IF(AI159=3,INDIRECT("T!"&amp;T!$A$1&amp;"28"),IF(AI159=4,INDIRECT("T!"&amp;T!$A$1&amp;"29"),IF(AI159=5,INDIRECT("T!"&amp;T!$A$1&amp;"30"),IF(AI159=6,INDIRECT("T!"&amp;T!$A$1&amp;"31"),IF(AI159=7,INDIRECT("T!"&amp;T!$A$1&amp;"32"),0)))))))</f>
        <v>Pt</v>
      </c>
      <c r="AJ161" s="29" t="str">
        <f ca="1">IF(AJ159=1,INDIRECT("T!"&amp;T!$A$1&amp;"26"),IF(AJ159=2,INDIRECT("T!"&amp;T!$A$1&amp;"27"),IF(AJ159=3,INDIRECT("T!"&amp;T!$A$1&amp;"28"),IF(AJ159=4,INDIRECT("T!"&amp;T!$A$1&amp;"29"),IF(AJ159=5,INDIRECT("T!"&amp;T!$A$1&amp;"30"),IF(AJ159=6,INDIRECT("T!"&amp;T!$A$1&amp;"31"),IF(AJ159=7,INDIRECT("T!"&amp;T!$A$1&amp;"32"),0)))))))</f>
        <v>So</v>
      </c>
      <c r="AK161" s="29" t="str">
        <f ca="1">IF(AK159=1,INDIRECT("T!"&amp;T!$A$1&amp;"26"),IF(AK159=2,INDIRECT("T!"&amp;T!$A$1&amp;"27"),IF(AK159=3,INDIRECT("T!"&amp;T!$A$1&amp;"28"),IF(AK159=4,INDIRECT("T!"&amp;T!$A$1&amp;"29"),IF(AK159=5,INDIRECT("T!"&amp;T!$A$1&amp;"30"),IF(AK159=6,INDIRECT("T!"&amp;T!$A$1&amp;"31"),IF(AK159=7,INDIRECT("T!"&amp;T!$A$1&amp;"32"),0)))))))</f>
        <v>Nd</v>
      </c>
      <c r="AL161" s="29" t="str">
        <f ca="1">IF(AL159=1,INDIRECT("T!"&amp;T!$A$1&amp;"26"),IF(AL159=2,INDIRECT("T!"&amp;T!$A$1&amp;"27"),IF(AL159=3,INDIRECT("T!"&amp;T!$A$1&amp;"28"),IF(AL159=4,INDIRECT("T!"&amp;T!$A$1&amp;"29"),IF(AL159=5,INDIRECT("T!"&amp;T!$A$1&amp;"30"),IF(AL159=6,INDIRECT("T!"&amp;T!$A$1&amp;"31"),IF(AL159=7,INDIRECT("T!"&amp;T!$A$1&amp;"32"),0)))))))</f>
        <v>Pn</v>
      </c>
      <c r="AM161" s="29" t="str">
        <f ca="1">IF(AM159=1,INDIRECT("T!"&amp;T!$A$1&amp;"26"),IF(AM159=2,INDIRECT("T!"&amp;T!$A$1&amp;"27"),IF(AM159=3,INDIRECT("T!"&amp;T!$A$1&amp;"28"),IF(AM159=4,INDIRECT("T!"&amp;T!$A$1&amp;"29"),IF(AM159=5,INDIRECT("T!"&amp;T!$A$1&amp;"30"),IF(AM159=6,INDIRECT("T!"&amp;T!$A$1&amp;"31"),IF(AM159=7,INDIRECT("T!"&amp;T!$A$1&amp;"32"),0)))))))</f>
        <v>Wt</v>
      </c>
      <c r="AN161" s="29" t="str">
        <f ca="1">IF(AN159=1,INDIRECT("T!"&amp;T!$A$1&amp;"26"),IF(AN159=2,INDIRECT("T!"&amp;T!$A$1&amp;"27"),IF(AN159=3,INDIRECT("T!"&amp;T!$A$1&amp;"28"),IF(AN159=4,INDIRECT("T!"&amp;T!$A$1&amp;"29"),IF(AN159=5,INDIRECT("T!"&amp;T!$A$1&amp;"30"),IF(AN159=6,INDIRECT("T!"&amp;T!$A$1&amp;"31"),IF(AN159=7,INDIRECT("T!"&amp;T!$A$1&amp;"32"),0)))))))</f>
        <v>Śr</v>
      </c>
      <c r="AO161" s="29" t="str">
        <f ca="1">IF(AO159=1,INDIRECT("T!"&amp;T!$A$1&amp;"26"),IF(AO159=2,INDIRECT("T!"&amp;T!$A$1&amp;"27"),IF(AO159=3,INDIRECT("T!"&amp;T!$A$1&amp;"28"),IF(AO159=4,INDIRECT("T!"&amp;T!$A$1&amp;"29"),IF(AO159=5,INDIRECT("T!"&amp;T!$A$1&amp;"30"),IF(AO159=6,INDIRECT("T!"&amp;T!$A$1&amp;"31"),IF(AO159=7,INDIRECT("T!"&amp;T!$A$1&amp;"32"),0)))))))</f>
        <v>Cz</v>
      </c>
      <c r="AP161" s="29" t="str">
        <f ca="1">IF(AP159=1,INDIRECT("T!"&amp;T!$A$1&amp;"26"),IF(AP159=2,INDIRECT("T!"&amp;T!$A$1&amp;"27"),IF(AP159=3,INDIRECT("T!"&amp;T!$A$1&amp;"28"),IF(AP159=4,INDIRECT("T!"&amp;T!$A$1&amp;"29"),IF(AP159=5,INDIRECT("T!"&amp;T!$A$1&amp;"30"),IF(AP159=6,INDIRECT("T!"&amp;T!$A$1&amp;"31"),IF(AP159=7,INDIRECT("T!"&amp;T!$A$1&amp;"32"),0)))))))</f>
        <v>Pt</v>
      </c>
      <c r="AQ161" s="29" t="str">
        <f ca="1">IF(AQ159=1,INDIRECT("T!"&amp;T!$A$1&amp;"26"),IF(AQ159=2,INDIRECT("T!"&amp;T!$A$1&amp;"27"),IF(AQ159=3,INDIRECT("T!"&amp;T!$A$1&amp;"28"),IF(AQ159=4,INDIRECT("T!"&amp;T!$A$1&amp;"29"),IF(AQ159=5,INDIRECT("T!"&amp;T!$A$1&amp;"30"),IF(AQ159=6,INDIRECT("T!"&amp;T!$A$1&amp;"31"),IF(AQ159=7,INDIRECT("T!"&amp;T!$A$1&amp;"32"),0)))))))</f>
        <v>So</v>
      </c>
    </row>
    <row r="162" spans="3:69" ht="20.100000000000001" customHeight="1">
      <c r="C162" s="523"/>
      <c r="D162" s="524"/>
      <c r="E162" s="535"/>
      <c r="F162" s="536"/>
      <c r="G162" s="536"/>
      <c r="H162" s="536"/>
      <c r="I162" s="536"/>
      <c r="J162" s="537"/>
      <c r="K162" s="537"/>
      <c r="L162" s="538"/>
      <c r="M162" s="256"/>
      <c r="N162" s="257"/>
      <c r="O162" s="85"/>
      <c r="P162" s="85"/>
      <c r="Q162" s="257"/>
      <c r="R162" s="257"/>
      <c r="S162" s="257"/>
      <c r="T162" s="257"/>
      <c r="U162" s="257"/>
      <c r="V162" s="85"/>
      <c r="W162" s="85"/>
      <c r="X162" s="257"/>
      <c r="Y162" s="257"/>
      <c r="Z162" s="85"/>
      <c r="AA162" s="257"/>
      <c r="AB162" s="257"/>
      <c r="AC162" s="85"/>
      <c r="AD162" s="85"/>
      <c r="AE162" s="257"/>
      <c r="AF162" s="257"/>
      <c r="AG162" s="257"/>
      <c r="AH162" s="257"/>
      <c r="AI162" s="257"/>
      <c r="AJ162" s="85"/>
      <c r="AK162" s="85"/>
      <c r="AL162" s="257"/>
      <c r="AM162" s="257"/>
      <c r="AN162" s="257"/>
      <c r="AO162" s="257"/>
      <c r="AP162" s="257"/>
      <c r="AQ162" s="89"/>
      <c r="AS162" s="43">
        <f t="shared" si="41"/>
        <v>0</v>
      </c>
      <c r="AT162" s="43">
        <f t="shared" si="41"/>
        <v>0</v>
      </c>
      <c r="AU162" s="43">
        <f t="shared" si="41"/>
        <v>0</v>
      </c>
      <c r="AV162" s="43">
        <f t="shared" si="41"/>
        <v>0</v>
      </c>
      <c r="AW162" s="43">
        <f t="shared" si="41"/>
        <v>0</v>
      </c>
      <c r="AX162" s="43">
        <f t="shared" si="41"/>
        <v>0</v>
      </c>
      <c r="AY162" s="43">
        <f t="shared" si="41"/>
        <v>0</v>
      </c>
      <c r="AZ162" s="43">
        <f t="shared" si="41"/>
        <v>0</v>
      </c>
      <c r="BA162" s="43">
        <f t="shared" si="41"/>
        <v>0</v>
      </c>
      <c r="BB162" s="43">
        <f t="shared" si="41"/>
        <v>0</v>
      </c>
      <c r="BC162" s="43">
        <f t="shared" si="41"/>
        <v>0</v>
      </c>
      <c r="BD162" s="43">
        <f t="shared" si="41"/>
        <v>0</v>
      </c>
      <c r="BE162" s="43">
        <f t="shared" si="41"/>
        <v>0</v>
      </c>
      <c r="BF162" s="43">
        <f t="shared" si="41"/>
        <v>0</v>
      </c>
      <c r="BG162" s="43">
        <f t="shared" si="41"/>
        <v>0</v>
      </c>
      <c r="BH162" s="43">
        <f t="shared" si="41"/>
        <v>0</v>
      </c>
      <c r="BI162" s="43">
        <f t="shared" si="40"/>
        <v>0</v>
      </c>
      <c r="BJ162" s="43">
        <f t="shared" si="40"/>
        <v>0</v>
      </c>
      <c r="BK162" s="43">
        <f t="shared" si="40"/>
        <v>0</v>
      </c>
      <c r="BL162" s="43">
        <f t="shared" si="40"/>
        <v>0</v>
      </c>
      <c r="BM162" s="43">
        <f t="shared" si="40"/>
        <v>0</v>
      </c>
      <c r="BN162" s="43">
        <f t="shared" si="40"/>
        <v>0</v>
      </c>
      <c r="BO162" s="43">
        <f t="shared" si="40"/>
        <v>0</v>
      </c>
      <c r="BP162" s="43">
        <f t="shared" si="40"/>
        <v>0</v>
      </c>
      <c r="BQ162" s="43">
        <f t="shared" si="40"/>
        <v>0</v>
      </c>
    </row>
    <row r="163" spans="3:69" ht="20.100000000000001" customHeight="1">
      <c r="C163" s="523"/>
      <c r="D163" s="524"/>
      <c r="E163" s="525"/>
      <c r="F163" s="526"/>
      <c r="G163" s="526"/>
      <c r="H163" s="526"/>
      <c r="I163" s="526"/>
      <c r="J163" s="527"/>
      <c r="K163" s="527"/>
      <c r="L163" s="528"/>
      <c r="M163" s="254"/>
      <c r="N163" s="255"/>
      <c r="O163" s="87"/>
      <c r="P163" s="87"/>
      <c r="Q163" s="255"/>
      <c r="R163" s="255"/>
      <c r="S163" s="255"/>
      <c r="T163" s="255"/>
      <c r="U163" s="255"/>
      <c r="V163" s="87"/>
      <c r="W163" s="87"/>
      <c r="X163" s="255"/>
      <c r="Y163" s="255"/>
      <c r="Z163" s="87"/>
      <c r="AA163" s="255"/>
      <c r="AB163" s="255"/>
      <c r="AC163" s="87"/>
      <c r="AD163" s="87"/>
      <c r="AE163" s="255"/>
      <c r="AF163" s="255"/>
      <c r="AG163" s="255"/>
      <c r="AH163" s="255"/>
      <c r="AI163" s="255"/>
      <c r="AJ163" s="87"/>
      <c r="AK163" s="87"/>
      <c r="AL163" s="255"/>
      <c r="AM163" s="255"/>
      <c r="AN163" s="255"/>
      <c r="AO163" s="255"/>
      <c r="AP163" s="255"/>
      <c r="AQ163" s="90"/>
      <c r="AS163" s="43">
        <f t="shared" si="41"/>
        <v>0</v>
      </c>
      <c r="AT163" s="43">
        <f t="shared" si="41"/>
        <v>0</v>
      </c>
      <c r="AU163" s="43">
        <f t="shared" si="41"/>
        <v>0</v>
      </c>
      <c r="AV163" s="43">
        <f t="shared" si="41"/>
        <v>0</v>
      </c>
      <c r="AW163" s="43">
        <f t="shared" si="41"/>
        <v>0</v>
      </c>
      <c r="AX163" s="43">
        <f t="shared" si="41"/>
        <v>0</v>
      </c>
      <c r="AY163" s="43">
        <f t="shared" si="41"/>
        <v>0</v>
      </c>
      <c r="AZ163" s="43">
        <f t="shared" si="41"/>
        <v>0</v>
      </c>
      <c r="BA163" s="43">
        <f t="shared" si="41"/>
        <v>0</v>
      </c>
      <c r="BB163" s="43">
        <f t="shared" si="41"/>
        <v>0</v>
      </c>
      <c r="BC163" s="43">
        <f t="shared" si="41"/>
        <v>0</v>
      </c>
      <c r="BD163" s="43">
        <f t="shared" si="41"/>
        <v>0</v>
      </c>
      <c r="BE163" s="43">
        <f t="shared" si="41"/>
        <v>0</v>
      </c>
      <c r="BF163" s="43">
        <f t="shared" si="41"/>
        <v>0</v>
      </c>
      <c r="BG163" s="43">
        <f t="shared" si="41"/>
        <v>0</v>
      </c>
      <c r="BH163" s="43">
        <f t="shared" ref="BH163:BQ172" si="44">COUNTIFS($M163:$AQ163,BH$2)</f>
        <v>0</v>
      </c>
      <c r="BI163" s="43">
        <f t="shared" si="44"/>
        <v>0</v>
      </c>
      <c r="BJ163" s="43">
        <f t="shared" si="44"/>
        <v>0</v>
      </c>
      <c r="BK163" s="43">
        <f t="shared" si="44"/>
        <v>0</v>
      </c>
      <c r="BL163" s="43">
        <f t="shared" si="44"/>
        <v>0</v>
      </c>
      <c r="BM163" s="43">
        <f t="shared" si="44"/>
        <v>0</v>
      </c>
      <c r="BN163" s="43">
        <f t="shared" si="44"/>
        <v>0</v>
      </c>
      <c r="BO163" s="43">
        <f t="shared" si="44"/>
        <v>0</v>
      </c>
      <c r="BP163" s="43">
        <f t="shared" si="44"/>
        <v>0</v>
      </c>
      <c r="BQ163" s="43">
        <f t="shared" si="44"/>
        <v>0</v>
      </c>
    </row>
    <row r="164" spans="3:69" ht="20.100000000000001" customHeight="1">
      <c r="C164" s="523"/>
      <c r="D164" s="524"/>
      <c r="E164" s="525"/>
      <c r="F164" s="526"/>
      <c r="G164" s="526"/>
      <c r="H164" s="526"/>
      <c r="I164" s="526"/>
      <c r="J164" s="527"/>
      <c r="K164" s="527"/>
      <c r="L164" s="528"/>
      <c r="M164" s="254"/>
      <c r="N164" s="255"/>
      <c r="O164" s="87"/>
      <c r="P164" s="87"/>
      <c r="Q164" s="255"/>
      <c r="R164" s="255"/>
      <c r="S164" s="255"/>
      <c r="T164" s="255"/>
      <c r="U164" s="255"/>
      <c r="V164" s="87"/>
      <c r="W164" s="87"/>
      <c r="X164" s="255"/>
      <c r="Y164" s="255"/>
      <c r="Z164" s="87"/>
      <c r="AA164" s="255"/>
      <c r="AB164" s="255"/>
      <c r="AC164" s="87"/>
      <c r="AD164" s="87"/>
      <c r="AE164" s="255"/>
      <c r="AF164" s="255"/>
      <c r="AG164" s="255"/>
      <c r="AH164" s="255"/>
      <c r="AI164" s="255"/>
      <c r="AJ164" s="87"/>
      <c r="AK164" s="87"/>
      <c r="AL164" s="255"/>
      <c r="AM164" s="255"/>
      <c r="AN164" s="255"/>
      <c r="AO164" s="255"/>
      <c r="AP164" s="255"/>
      <c r="AQ164" s="90"/>
      <c r="AS164" s="43">
        <f t="shared" ref="AS164:BH179" si="45">COUNTIFS($M164:$AQ164,AS$2)</f>
        <v>0</v>
      </c>
      <c r="AT164" s="43">
        <f t="shared" si="45"/>
        <v>0</v>
      </c>
      <c r="AU164" s="43">
        <f t="shared" si="45"/>
        <v>0</v>
      </c>
      <c r="AV164" s="43">
        <f t="shared" si="45"/>
        <v>0</v>
      </c>
      <c r="AW164" s="43">
        <f t="shared" si="45"/>
        <v>0</v>
      </c>
      <c r="AX164" s="43">
        <f t="shared" si="45"/>
        <v>0</v>
      </c>
      <c r="AY164" s="43">
        <f t="shared" si="45"/>
        <v>0</v>
      </c>
      <c r="AZ164" s="43">
        <f t="shared" si="45"/>
        <v>0</v>
      </c>
      <c r="BA164" s="43">
        <f t="shared" si="45"/>
        <v>0</v>
      </c>
      <c r="BB164" s="43">
        <f t="shared" si="45"/>
        <v>0</v>
      </c>
      <c r="BC164" s="43">
        <f t="shared" si="45"/>
        <v>0</v>
      </c>
      <c r="BD164" s="43">
        <f t="shared" si="45"/>
        <v>0</v>
      </c>
      <c r="BE164" s="43">
        <f t="shared" si="45"/>
        <v>0</v>
      </c>
      <c r="BF164" s="43">
        <f t="shared" si="45"/>
        <v>0</v>
      </c>
      <c r="BG164" s="43">
        <f t="shared" si="45"/>
        <v>0</v>
      </c>
      <c r="BH164" s="43">
        <f t="shared" si="45"/>
        <v>0</v>
      </c>
      <c r="BI164" s="43">
        <f t="shared" si="44"/>
        <v>0</v>
      </c>
      <c r="BJ164" s="43">
        <f t="shared" si="44"/>
        <v>0</v>
      </c>
      <c r="BK164" s="43">
        <f t="shared" si="44"/>
        <v>0</v>
      </c>
      <c r="BL164" s="43">
        <f t="shared" si="44"/>
        <v>0</v>
      </c>
      <c r="BM164" s="43">
        <f t="shared" si="44"/>
        <v>0</v>
      </c>
      <c r="BN164" s="43">
        <f t="shared" si="44"/>
        <v>0</v>
      </c>
      <c r="BO164" s="43">
        <f t="shared" si="44"/>
        <v>0</v>
      </c>
      <c r="BP164" s="43">
        <f t="shared" si="44"/>
        <v>0</v>
      </c>
      <c r="BQ164" s="43">
        <f t="shared" si="44"/>
        <v>0</v>
      </c>
    </row>
    <row r="165" spans="3:69" ht="20.100000000000001" customHeight="1">
      <c r="C165" s="523"/>
      <c r="D165" s="524"/>
      <c r="E165" s="525"/>
      <c r="F165" s="526"/>
      <c r="G165" s="526"/>
      <c r="H165" s="526"/>
      <c r="I165" s="526"/>
      <c r="J165" s="527"/>
      <c r="K165" s="527"/>
      <c r="L165" s="528"/>
      <c r="M165" s="254"/>
      <c r="N165" s="255"/>
      <c r="O165" s="87"/>
      <c r="P165" s="87"/>
      <c r="Q165" s="255"/>
      <c r="R165" s="255"/>
      <c r="S165" s="255"/>
      <c r="T165" s="255"/>
      <c r="U165" s="255"/>
      <c r="V165" s="87"/>
      <c r="W165" s="87"/>
      <c r="X165" s="255"/>
      <c r="Y165" s="255"/>
      <c r="Z165" s="87"/>
      <c r="AA165" s="255"/>
      <c r="AB165" s="255"/>
      <c r="AC165" s="87"/>
      <c r="AD165" s="87"/>
      <c r="AE165" s="255"/>
      <c r="AF165" s="255"/>
      <c r="AG165" s="255"/>
      <c r="AH165" s="255"/>
      <c r="AI165" s="255"/>
      <c r="AJ165" s="87"/>
      <c r="AK165" s="87"/>
      <c r="AL165" s="255"/>
      <c r="AM165" s="255"/>
      <c r="AN165" s="255"/>
      <c r="AO165" s="255"/>
      <c r="AP165" s="255"/>
      <c r="AQ165" s="90"/>
      <c r="AS165" s="43">
        <f t="shared" si="45"/>
        <v>0</v>
      </c>
      <c r="AT165" s="43">
        <f t="shared" si="45"/>
        <v>0</v>
      </c>
      <c r="AU165" s="43">
        <f t="shared" si="45"/>
        <v>0</v>
      </c>
      <c r="AV165" s="43">
        <f t="shared" si="45"/>
        <v>0</v>
      </c>
      <c r="AW165" s="43">
        <f t="shared" si="45"/>
        <v>0</v>
      </c>
      <c r="AX165" s="43">
        <f t="shared" si="45"/>
        <v>0</v>
      </c>
      <c r="AY165" s="43">
        <f t="shared" si="45"/>
        <v>0</v>
      </c>
      <c r="AZ165" s="43">
        <f t="shared" si="45"/>
        <v>0</v>
      </c>
      <c r="BA165" s="43">
        <f t="shared" si="45"/>
        <v>0</v>
      </c>
      <c r="BB165" s="43">
        <f t="shared" si="45"/>
        <v>0</v>
      </c>
      <c r="BC165" s="43">
        <f t="shared" si="45"/>
        <v>0</v>
      </c>
      <c r="BD165" s="43">
        <f t="shared" si="45"/>
        <v>0</v>
      </c>
      <c r="BE165" s="43">
        <f t="shared" si="45"/>
        <v>0</v>
      </c>
      <c r="BF165" s="43">
        <f t="shared" si="45"/>
        <v>0</v>
      </c>
      <c r="BG165" s="43">
        <f t="shared" si="45"/>
        <v>0</v>
      </c>
      <c r="BH165" s="43">
        <f t="shared" si="45"/>
        <v>0</v>
      </c>
      <c r="BI165" s="43">
        <f t="shared" si="44"/>
        <v>0</v>
      </c>
      <c r="BJ165" s="43">
        <f t="shared" si="44"/>
        <v>0</v>
      </c>
      <c r="BK165" s="43">
        <f t="shared" si="44"/>
        <v>0</v>
      </c>
      <c r="BL165" s="43">
        <f t="shared" si="44"/>
        <v>0</v>
      </c>
      <c r="BM165" s="43">
        <f t="shared" si="44"/>
        <v>0</v>
      </c>
      <c r="BN165" s="43">
        <f t="shared" si="44"/>
        <v>0</v>
      </c>
      <c r="BO165" s="43">
        <f t="shared" si="44"/>
        <v>0</v>
      </c>
      <c r="BP165" s="43">
        <f t="shared" si="44"/>
        <v>0</v>
      </c>
      <c r="BQ165" s="43">
        <f t="shared" si="44"/>
        <v>0</v>
      </c>
    </row>
    <row r="166" spans="3:69" ht="20.100000000000001" customHeight="1">
      <c r="C166" s="523"/>
      <c r="D166" s="524"/>
      <c r="E166" s="525"/>
      <c r="F166" s="526"/>
      <c r="G166" s="526"/>
      <c r="H166" s="526"/>
      <c r="I166" s="526"/>
      <c r="J166" s="527"/>
      <c r="K166" s="527"/>
      <c r="L166" s="528"/>
      <c r="M166" s="254"/>
      <c r="N166" s="255"/>
      <c r="O166" s="87"/>
      <c r="P166" s="87"/>
      <c r="Q166" s="255"/>
      <c r="R166" s="255"/>
      <c r="S166" s="255"/>
      <c r="T166" s="255"/>
      <c r="U166" s="255"/>
      <c r="V166" s="87"/>
      <c r="W166" s="87"/>
      <c r="X166" s="255"/>
      <c r="Y166" s="255"/>
      <c r="Z166" s="87"/>
      <c r="AA166" s="255"/>
      <c r="AB166" s="255"/>
      <c r="AC166" s="87"/>
      <c r="AD166" s="87"/>
      <c r="AE166" s="255"/>
      <c r="AF166" s="255"/>
      <c r="AG166" s="255"/>
      <c r="AH166" s="255"/>
      <c r="AI166" s="255"/>
      <c r="AJ166" s="87"/>
      <c r="AK166" s="87"/>
      <c r="AL166" s="255"/>
      <c r="AM166" s="255"/>
      <c r="AN166" s="255"/>
      <c r="AO166" s="255"/>
      <c r="AP166" s="255"/>
      <c r="AQ166" s="90"/>
      <c r="AS166" s="43">
        <f t="shared" si="45"/>
        <v>0</v>
      </c>
      <c r="AT166" s="43">
        <f t="shared" si="45"/>
        <v>0</v>
      </c>
      <c r="AU166" s="43">
        <f t="shared" si="45"/>
        <v>0</v>
      </c>
      <c r="AV166" s="43">
        <f t="shared" si="45"/>
        <v>0</v>
      </c>
      <c r="AW166" s="43">
        <f t="shared" si="45"/>
        <v>0</v>
      </c>
      <c r="AX166" s="43">
        <f t="shared" si="45"/>
        <v>0</v>
      </c>
      <c r="AY166" s="43">
        <f t="shared" si="45"/>
        <v>0</v>
      </c>
      <c r="AZ166" s="43">
        <f t="shared" si="45"/>
        <v>0</v>
      </c>
      <c r="BA166" s="43">
        <f t="shared" si="45"/>
        <v>0</v>
      </c>
      <c r="BB166" s="43">
        <f t="shared" si="45"/>
        <v>0</v>
      </c>
      <c r="BC166" s="43">
        <f t="shared" si="45"/>
        <v>0</v>
      </c>
      <c r="BD166" s="43">
        <f t="shared" si="45"/>
        <v>0</v>
      </c>
      <c r="BE166" s="43">
        <f t="shared" si="45"/>
        <v>0</v>
      </c>
      <c r="BF166" s="43">
        <f t="shared" si="45"/>
        <v>0</v>
      </c>
      <c r="BG166" s="43">
        <f t="shared" si="45"/>
        <v>0</v>
      </c>
      <c r="BH166" s="43">
        <f t="shared" si="45"/>
        <v>0</v>
      </c>
      <c r="BI166" s="43">
        <f t="shared" si="44"/>
        <v>0</v>
      </c>
      <c r="BJ166" s="43">
        <f t="shared" si="44"/>
        <v>0</v>
      </c>
      <c r="BK166" s="43">
        <f t="shared" si="44"/>
        <v>0</v>
      </c>
      <c r="BL166" s="43">
        <f t="shared" si="44"/>
        <v>0</v>
      </c>
      <c r="BM166" s="43">
        <f t="shared" si="44"/>
        <v>0</v>
      </c>
      <c r="BN166" s="43">
        <f t="shared" si="44"/>
        <v>0</v>
      </c>
      <c r="BO166" s="43">
        <f t="shared" si="44"/>
        <v>0</v>
      </c>
      <c r="BP166" s="43">
        <f t="shared" si="44"/>
        <v>0</v>
      </c>
      <c r="BQ166" s="43">
        <f t="shared" si="44"/>
        <v>0</v>
      </c>
    </row>
    <row r="167" spans="3:69" ht="20.100000000000001" customHeight="1">
      <c r="C167" s="523"/>
      <c r="D167" s="524"/>
      <c r="E167" s="525"/>
      <c r="F167" s="526"/>
      <c r="G167" s="526"/>
      <c r="H167" s="526"/>
      <c r="I167" s="526"/>
      <c r="J167" s="527"/>
      <c r="K167" s="527"/>
      <c r="L167" s="528"/>
      <c r="M167" s="254"/>
      <c r="N167" s="255"/>
      <c r="O167" s="87"/>
      <c r="P167" s="87"/>
      <c r="Q167" s="255"/>
      <c r="R167" s="255"/>
      <c r="S167" s="255"/>
      <c r="T167" s="255"/>
      <c r="U167" s="255"/>
      <c r="V167" s="87"/>
      <c r="W167" s="87"/>
      <c r="X167" s="255"/>
      <c r="Y167" s="255"/>
      <c r="Z167" s="87"/>
      <c r="AA167" s="255"/>
      <c r="AB167" s="255"/>
      <c r="AC167" s="87"/>
      <c r="AD167" s="87"/>
      <c r="AE167" s="255"/>
      <c r="AF167" s="255"/>
      <c r="AG167" s="255"/>
      <c r="AH167" s="255"/>
      <c r="AI167" s="255"/>
      <c r="AJ167" s="87"/>
      <c r="AK167" s="87"/>
      <c r="AL167" s="255"/>
      <c r="AM167" s="255"/>
      <c r="AN167" s="255"/>
      <c r="AO167" s="255"/>
      <c r="AP167" s="255"/>
      <c r="AQ167" s="90"/>
      <c r="AS167" s="43">
        <f t="shared" si="45"/>
        <v>0</v>
      </c>
      <c r="AT167" s="43">
        <f t="shared" si="45"/>
        <v>0</v>
      </c>
      <c r="AU167" s="43">
        <f t="shared" si="45"/>
        <v>0</v>
      </c>
      <c r="AV167" s="43">
        <f t="shared" si="45"/>
        <v>0</v>
      </c>
      <c r="AW167" s="43">
        <f t="shared" si="45"/>
        <v>0</v>
      </c>
      <c r="AX167" s="43">
        <f t="shared" si="45"/>
        <v>0</v>
      </c>
      <c r="AY167" s="43">
        <f t="shared" si="45"/>
        <v>0</v>
      </c>
      <c r="AZ167" s="43">
        <f t="shared" si="45"/>
        <v>0</v>
      </c>
      <c r="BA167" s="43">
        <f t="shared" si="45"/>
        <v>0</v>
      </c>
      <c r="BB167" s="43">
        <f t="shared" si="45"/>
        <v>0</v>
      </c>
      <c r="BC167" s="43">
        <f t="shared" si="45"/>
        <v>0</v>
      </c>
      <c r="BD167" s="43">
        <f t="shared" si="45"/>
        <v>0</v>
      </c>
      <c r="BE167" s="43">
        <f t="shared" si="45"/>
        <v>0</v>
      </c>
      <c r="BF167" s="43">
        <f t="shared" si="45"/>
        <v>0</v>
      </c>
      <c r="BG167" s="43">
        <f t="shared" si="45"/>
        <v>0</v>
      </c>
      <c r="BH167" s="43">
        <f t="shared" si="45"/>
        <v>0</v>
      </c>
      <c r="BI167" s="43">
        <f t="shared" si="44"/>
        <v>0</v>
      </c>
      <c r="BJ167" s="43">
        <f t="shared" si="44"/>
        <v>0</v>
      </c>
      <c r="BK167" s="43">
        <f t="shared" si="44"/>
        <v>0</v>
      </c>
      <c r="BL167" s="43">
        <f t="shared" si="44"/>
        <v>0</v>
      </c>
      <c r="BM167" s="43">
        <f t="shared" si="44"/>
        <v>0</v>
      </c>
      <c r="BN167" s="43">
        <f t="shared" si="44"/>
        <v>0</v>
      </c>
      <c r="BO167" s="43">
        <f t="shared" si="44"/>
        <v>0</v>
      </c>
      <c r="BP167" s="43">
        <f t="shared" si="44"/>
        <v>0</v>
      </c>
      <c r="BQ167" s="43">
        <f t="shared" si="44"/>
        <v>0</v>
      </c>
    </row>
    <row r="168" spans="3:69" ht="20.100000000000001" customHeight="1">
      <c r="C168" s="523"/>
      <c r="D168" s="524"/>
      <c r="E168" s="525"/>
      <c r="F168" s="526"/>
      <c r="G168" s="526"/>
      <c r="H168" s="526"/>
      <c r="I168" s="526"/>
      <c r="J168" s="527"/>
      <c r="K168" s="527"/>
      <c r="L168" s="528"/>
      <c r="M168" s="254"/>
      <c r="N168" s="255"/>
      <c r="O168" s="87"/>
      <c r="P168" s="87"/>
      <c r="Q168" s="255"/>
      <c r="R168" s="255"/>
      <c r="S168" s="255"/>
      <c r="T168" s="255"/>
      <c r="U168" s="255"/>
      <c r="V168" s="87"/>
      <c r="W168" s="87"/>
      <c r="X168" s="255"/>
      <c r="Y168" s="255"/>
      <c r="Z168" s="87"/>
      <c r="AA168" s="255"/>
      <c r="AB168" s="255"/>
      <c r="AC168" s="87"/>
      <c r="AD168" s="87"/>
      <c r="AE168" s="255"/>
      <c r="AF168" s="255"/>
      <c r="AG168" s="255"/>
      <c r="AH168" s="255"/>
      <c r="AI168" s="255"/>
      <c r="AJ168" s="87"/>
      <c r="AK168" s="87"/>
      <c r="AL168" s="255"/>
      <c r="AM168" s="255"/>
      <c r="AN168" s="255"/>
      <c r="AO168" s="255"/>
      <c r="AP168" s="255"/>
      <c r="AQ168" s="90"/>
      <c r="AS168" s="43">
        <f t="shared" si="45"/>
        <v>0</v>
      </c>
      <c r="AT168" s="43">
        <f t="shared" si="45"/>
        <v>0</v>
      </c>
      <c r="AU168" s="43">
        <f t="shared" si="45"/>
        <v>0</v>
      </c>
      <c r="AV168" s="43">
        <f t="shared" si="45"/>
        <v>0</v>
      </c>
      <c r="AW168" s="43">
        <f t="shared" si="45"/>
        <v>0</v>
      </c>
      <c r="AX168" s="43">
        <f t="shared" si="45"/>
        <v>0</v>
      </c>
      <c r="AY168" s="43">
        <f t="shared" si="45"/>
        <v>0</v>
      </c>
      <c r="AZ168" s="43">
        <f t="shared" si="45"/>
        <v>0</v>
      </c>
      <c r="BA168" s="43">
        <f t="shared" si="45"/>
        <v>0</v>
      </c>
      <c r="BB168" s="43">
        <f t="shared" si="45"/>
        <v>0</v>
      </c>
      <c r="BC168" s="43">
        <f t="shared" si="45"/>
        <v>0</v>
      </c>
      <c r="BD168" s="43">
        <f t="shared" si="45"/>
        <v>0</v>
      </c>
      <c r="BE168" s="43">
        <f t="shared" si="45"/>
        <v>0</v>
      </c>
      <c r="BF168" s="43">
        <f t="shared" si="45"/>
        <v>0</v>
      </c>
      <c r="BG168" s="43">
        <f t="shared" si="45"/>
        <v>0</v>
      </c>
      <c r="BH168" s="43">
        <f t="shared" si="45"/>
        <v>0</v>
      </c>
      <c r="BI168" s="43">
        <f t="shared" si="44"/>
        <v>0</v>
      </c>
      <c r="BJ168" s="43">
        <f t="shared" si="44"/>
        <v>0</v>
      </c>
      <c r="BK168" s="43">
        <f t="shared" si="44"/>
        <v>0</v>
      </c>
      <c r="BL168" s="43">
        <f t="shared" si="44"/>
        <v>0</v>
      </c>
      <c r="BM168" s="43">
        <f t="shared" si="44"/>
        <v>0</v>
      </c>
      <c r="BN168" s="43">
        <f t="shared" si="44"/>
        <v>0</v>
      </c>
      <c r="BO168" s="43">
        <f t="shared" si="44"/>
        <v>0</v>
      </c>
      <c r="BP168" s="43">
        <f t="shared" si="44"/>
        <v>0</v>
      </c>
      <c r="BQ168" s="43">
        <f t="shared" si="44"/>
        <v>0</v>
      </c>
    </row>
    <row r="169" spans="3:69" ht="20.100000000000001" customHeight="1">
      <c r="C169" s="523"/>
      <c r="D169" s="524"/>
      <c r="E169" s="525"/>
      <c r="F169" s="526"/>
      <c r="G169" s="526"/>
      <c r="H169" s="526"/>
      <c r="I169" s="526"/>
      <c r="J169" s="527"/>
      <c r="K169" s="527"/>
      <c r="L169" s="528"/>
      <c r="M169" s="254"/>
      <c r="N169" s="255"/>
      <c r="O169" s="87"/>
      <c r="P169" s="87"/>
      <c r="Q169" s="255"/>
      <c r="R169" s="255"/>
      <c r="S169" s="255"/>
      <c r="T169" s="255"/>
      <c r="U169" s="255"/>
      <c r="V169" s="87"/>
      <c r="W169" s="87"/>
      <c r="X169" s="255"/>
      <c r="Y169" s="255"/>
      <c r="Z169" s="87"/>
      <c r="AA169" s="255"/>
      <c r="AB169" s="255"/>
      <c r="AC169" s="87"/>
      <c r="AD169" s="87"/>
      <c r="AE169" s="255"/>
      <c r="AF169" s="255"/>
      <c r="AG169" s="255"/>
      <c r="AH169" s="255"/>
      <c r="AI169" s="255"/>
      <c r="AJ169" s="87"/>
      <c r="AK169" s="87"/>
      <c r="AL169" s="255"/>
      <c r="AM169" s="255"/>
      <c r="AN169" s="255"/>
      <c r="AO169" s="255"/>
      <c r="AP169" s="255"/>
      <c r="AQ169" s="90"/>
      <c r="AS169" s="43">
        <f t="shared" si="45"/>
        <v>0</v>
      </c>
      <c r="AT169" s="43">
        <f t="shared" si="45"/>
        <v>0</v>
      </c>
      <c r="AU169" s="43">
        <f t="shared" si="45"/>
        <v>0</v>
      </c>
      <c r="AV169" s="43">
        <f t="shared" si="45"/>
        <v>0</v>
      </c>
      <c r="AW169" s="43">
        <f t="shared" si="45"/>
        <v>0</v>
      </c>
      <c r="AX169" s="43">
        <f t="shared" si="45"/>
        <v>0</v>
      </c>
      <c r="AY169" s="43">
        <f t="shared" si="45"/>
        <v>0</v>
      </c>
      <c r="AZ169" s="43">
        <f t="shared" si="45"/>
        <v>0</v>
      </c>
      <c r="BA169" s="43">
        <f t="shared" si="45"/>
        <v>0</v>
      </c>
      <c r="BB169" s="43">
        <f t="shared" si="45"/>
        <v>0</v>
      </c>
      <c r="BC169" s="43">
        <f t="shared" si="45"/>
        <v>0</v>
      </c>
      <c r="BD169" s="43">
        <f t="shared" si="45"/>
        <v>0</v>
      </c>
      <c r="BE169" s="43">
        <f t="shared" si="45"/>
        <v>0</v>
      </c>
      <c r="BF169" s="43">
        <f t="shared" si="45"/>
        <v>0</v>
      </c>
      <c r="BG169" s="43">
        <f t="shared" si="45"/>
        <v>0</v>
      </c>
      <c r="BH169" s="43">
        <f t="shared" si="45"/>
        <v>0</v>
      </c>
      <c r="BI169" s="43">
        <f t="shared" si="44"/>
        <v>0</v>
      </c>
      <c r="BJ169" s="43">
        <f t="shared" si="44"/>
        <v>0</v>
      </c>
      <c r="BK169" s="43">
        <f t="shared" si="44"/>
        <v>0</v>
      </c>
      <c r="BL169" s="43">
        <f t="shared" si="44"/>
        <v>0</v>
      </c>
      <c r="BM169" s="43">
        <f t="shared" si="44"/>
        <v>0</v>
      </c>
      <c r="BN169" s="43">
        <f t="shared" si="44"/>
        <v>0</v>
      </c>
      <c r="BO169" s="43">
        <f t="shared" si="44"/>
        <v>0</v>
      </c>
      <c r="BP169" s="43">
        <f t="shared" si="44"/>
        <v>0</v>
      </c>
      <c r="BQ169" s="43">
        <f t="shared" si="44"/>
        <v>0</v>
      </c>
    </row>
    <row r="170" spans="3:69" ht="20.100000000000001" customHeight="1">
      <c r="C170" s="523"/>
      <c r="D170" s="524"/>
      <c r="E170" s="525"/>
      <c r="F170" s="526"/>
      <c r="G170" s="526"/>
      <c r="H170" s="526"/>
      <c r="I170" s="526"/>
      <c r="J170" s="527"/>
      <c r="K170" s="527"/>
      <c r="L170" s="528"/>
      <c r="M170" s="254"/>
      <c r="N170" s="255"/>
      <c r="O170" s="87"/>
      <c r="P170" s="87"/>
      <c r="Q170" s="255"/>
      <c r="R170" s="255"/>
      <c r="S170" s="255"/>
      <c r="T170" s="255"/>
      <c r="U170" s="255"/>
      <c r="V170" s="87"/>
      <c r="W170" s="87"/>
      <c r="X170" s="255"/>
      <c r="Y170" s="255"/>
      <c r="Z170" s="87"/>
      <c r="AA170" s="255"/>
      <c r="AB170" s="255"/>
      <c r="AC170" s="87"/>
      <c r="AD170" s="87"/>
      <c r="AE170" s="255"/>
      <c r="AF170" s="255"/>
      <c r="AG170" s="255"/>
      <c r="AH170" s="255"/>
      <c r="AI170" s="255"/>
      <c r="AJ170" s="87"/>
      <c r="AK170" s="87"/>
      <c r="AL170" s="255"/>
      <c r="AM170" s="255"/>
      <c r="AN170" s="255"/>
      <c r="AO170" s="255"/>
      <c r="AP170" s="255"/>
      <c r="AQ170" s="90"/>
      <c r="AS170" s="43">
        <f t="shared" si="45"/>
        <v>0</v>
      </c>
      <c r="AT170" s="43">
        <f t="shared" si="45"/>
        <v>0</v>
      </c>
      <c r="AU170" s="43">
        <f t="shared" si="45"/>
        <v>0</v>
      </c>
      <c r="AV170" s="43">
        <f t="shared" si="45"/>
        <v>0</v>
      </c>
      <c r="AW170" s="43">
        <f t="shared" si="45"/>
        <v>0</v>
      </c>
      <c r="AX170" s="43">
        <f t="shared" si="45"/>
        <v>0</v>
      </c>
      <c r="AY170" s="43">
        <f t="shared" si="45"/>
        <v>0</v>
      </c>
      <c r="AZ170" s="43">
        <f t="shared" si="45"/>
        <v>0</v>
      </c>
      <c r="BA170" s="43">
        <f t="shared" si="45"/>
        <v>0</v>
      </c>
      <c r="BB170" s="43">
        <f t="shared" si="45"/>
        <v>0</v>
      </c>
      <c r="BC170" s="43">
        <f t="shared" si="45"/>
        <v>0</v>
      </c>
      <c r="BD170" s="43">
        <f t="shared" si="45"/>
        <v>0</v>
      </c>
      <c r="BE170" s="43">
        <f t="shared" si="45"/>
        <v>0</v>
      </c>
      <c r="BF170" s="43">
        <f t="shared" si="45"/>
        <v>0</v>
      </c>
      <c r="BG170" s="43">
        <f t="shared" si="45"/>
        <v>0</v>
      </c>
      <c r="BH170" s="43">
        <f t="shared" si="45"/>
        <v>0</v>
      </c>
      <c r="BI170" s="43">
        <f t="shared" si="44"/>
        <v>0</v>
      </c>
      <c r="BJ170" s="43">
        <f t="shared" si="44"/>
        <v>0</v>
      </c>
      <c r="BK170" s="43">
        <f t="shared" si="44"/>
        <v>0</v>
      </c>
      <c r="BL170" s="43">
        <f t="shared" si="44"/>
        <v>0</v>
      </c>
      <c r="BM170" s="43">
        <f t="shared" si="44"/>
        <v>0</v>
      </c>
      <c r="BN170" s="43">
        <f t="shared" si="44"/>
        <v>0</v>
      </c>
      <c r="BO170" s="43">
        <f t="shared" si="44"/>
        <v>0</v>
      </c>
      <c r="BP170" s="43">
        <f t="shared" si="44"/>
        <v>0</v>
      </c>
      <c r="BQ170" s="43">
        <f t="shared" si="44"/>
        <v>0</v>
      </c>
    </row>
    <row r="171" spans="3:69" ht="20.100000000000001" customHeight="1" thickBot="1">
      <c r="C171" s="529"/>
      <c r="D171" s="530"/>
      <c r="E171" s="531"/>
      <c r="F171" s="532"/>
      <c r="G171" s="532"/>
      <c r="H171" s="532"/>
      <c r="I171" s="532"/>
      <c r="J171" s="533"/>
      <c r="K171" s="533"/>
      <c r="L171" s="534"/>
      <c r="M171" s="258"/>
      <c r="N171" s="259"/>
      <c r="O171" s="77"/>
      <c r="P171" s="77"/>
      <c r="Q171" s="259"/>
      <c r="R171" s="259"/>
      <c r="S171" s="259"/>
      <c r="T171" s="259"/>
      <c r="U171" s="259"/>
      <c r="V171" s="77"/>
      <c r="W171" s="77"/>
      <c r="X171" s="259"/>
      <c r="Y171" s="259"/>
      <c r="Z171" s="77"/>
      <c r="AA171" s="259"/>
      <c r="AB171" s="259"/>
      <c r="AC171" s="77"/>
      <c r="AD171" s="77"/>
      <c r="AE171" s="259"/>
      <c r="AF171" s="259"/>
      <c r="AG171" s="259"/>
      <c r="AH171" s="259"/>
      <c r="AI171" s="259"/>
      <c r="AJ171" s="77"/>
      <c r="AK171" s="77"/>
      <c r="AL171" s="259"/>
      <c r="AM171" s="259"/>
      <c r="AN171" s="259"/>
      <c r="AO171" s="259"/>
      <c r="AP171" s="259"/>
      <c r="AQ171" s="78"/>
      <c r="AS171" s="43">
        <f t="shared" si="45"/>
        <v>0</v>
      </c>
      <c r="AT171" s="43">
        <f t="shared" si="45"/>
        <v>0</v>
      </c>
      <c r="AU171" s="43">
        <f t="shared" si="45"/>
        <v>0</v>
      </c>
      <c r="AV171" s="43">
        <f t="shared" si="45"/>
        <v>0</v>
      </c>
      <c r="AW171" s="43">
        <f t="shared" si="45"/>
        <v>0</v>
      </c>
      <c r="AX171" s="43">
        <f t="shared" si="45"/>
        <v>0</v>
      </c>
      <c r="AY171" s="43">
        <f t="shared" si="45"/>
        <v>0</v>
      </c>
      <c r="AZ171" s="43">
        <f t="shared" si="45"/>
        <v>0</v>
      </c>
      <c r="BA171" s="43">
        <f t="shared" si="45"/>
        <v>0</v>
      </c>
      <c r="BB171" s="43">
        <f t="shared" si="45"/>
        <v>0</v>
      </c>
      <c r="BC171" s="43">
        <f t="shared" si="45"/>
        <v>0</v>
      </c>
      <c r="BD171" s="43">
        <f t="shared" si="45"/>
        <v>0</v>
      </c>
      <c r="BE171" s="43">
        <f t="shared" si="45"/>
        <v>0</v>
      </c>
      <c r="BF171" s="43">
        <f t="shared" si="45"/>
        <v>0</v>
      </c>
      <c r="BG171" s="43">
        <f t="shared" si="45"/>
        <v>0</v>
      </c>
      <c r="BH171" s="43">
        <f t="shared" si="45"/>
        <v>0</v>
      </c>
      <c r="BI171" s="43">
        <f t="shared" si="44"/>
        <v>0</v>
      </c>
      <c r="BJ171" s="43">
        <f t="shared" si="44"/>
        <v>0</v>
      </c>
      <c r="BK171" s="43">
        <f t="shared" si="44"/>
        <v>0</v>
      </c>
      <c r="BL171" s="43">
        <f t="shared" si="44"/>
        <v>0</v>
      </c>
      <c r="BM171" s="43">
        <f t="shared" si="44"/>
        <v>0</v>
      </c>
      <c r="BN171" s="43">
        <f t="shared" si="44"/>
        <v>0</v>
      </c>
      <c r="BO171" s="43">
        <f t="shared" si="44"/>
        <v>0</v>
      </c>
      <c r="BP171" s="43">
        <f t="shared" si="44"/>
        <v>0</v>
      </c>
      <c r="BQ171" s="43">
        <f t="shared" si="44"/>
        <v>0</v>
      </c>
    </row>
    <row r="172" spans="3:69" ht="20.100000000000001" hidden="1" customHeight="1" thickBot="1">
      <c r="M172">
        <f>DTCHK(M158,YK!$J$3:$J$52)</f>
        <v>0</v>
      </c>
      <c r="N172">
        <f>DTCHK(N158,YK!$J$3:$J$52)</f>
        <v>0</v>
      </c>
      <c r="O172">
        <f>DTCHK(O158,YK!$J$3:$J$52)</f>
        <v>0</v>
      </c>
      <c r="P172">
        <f>DTCHK(P158,YK!$J$3:$J$52)</f>
        <v>0</v>
      </c>
      <c r="Q172">
        <f>DTCHK(Q158,YK!$J$3:$J$52)</f>
        <v>0</v>
      </c>
      <c r="R172">
        <f>DTCHK(R158,YK!$J$3:$J$52)</f>
        <v>0</v>
      </c>
      <c r="S172">
        <f>DTCHK(S158,YK!$J$3:$J$52)</f>
        <v>0</v>
      </c>
      <c r="T172">
        <f>DTCHK(T158,YK!$J$3:$J$52)</f>
        <v>0</v>
      </c>
      <c r="U172">
        <f>DTCHK(U158,YK!$J$3:$J$52)</f>
        <v>0</v>
      </c>
      <c r="V172">
        <f>DTCHK(V158,YK!$J$3:$J$52)</f>
        <v>0</v>
      </c>
      <c r="W172">
        <f>DTCHK(W158,YK!$J$3:$J$52)</f>
        <v>0</v>
      </c>
      <c r="X172">
        <f>DTCHK(X158,YK!$J$3:$J$52)</f>
        <v>0</v>
      </c>
      <c r="Y172">
        <f>DTCHK(Y158,YK!$J$3:$J$52)</f>
        <v>0</v>
      </c>
      <c r="Z172">
        <f>DTCHK(Z158,YK!$J$3:$J$52)</f>
        <v>1</v>
      </c>
      <c r="AA172">
        <f>DTCHK(AA158,YK!$J$3:$J$52)</f>
        <v>0</v>
      </c>
      <c r="AB172">
        <f>DTCHK(AB158,YK!$J$3:$J$52)</f>
        <v>0</v>
      </c>
      <c r="AC172">
        <f>DTCHK(AC158,YK!$J$3:$J$52)</f>
        <v>0</v>
      </c>
      <c r="AD172">
        <f>DTCHK(AD158,YK!$J$3:$J$52)</f>
        <v>0</v>
      </c>
      <c r="AE172">
        <f>DTCHK(AE158,YK!$J$3:$J$52)</f>
        <v>0</v>
      </c>
      <c r="AF172">
        <f>DTCHK(AF158,YK!$J$3:$J$52)</f>
        <v>0</v>
      </c>
      <c r="AG172">
        <f>DTCHK(AG158,YK!$J$3:$J$52)</f>
        <v>0</v>
      </c>
      <c r="AH172">
        <f>DTCHK(AH158,YK!$J$3:$J$52)</f>
        <v>0</v>
      </c>
      <c r="AI172">
        <f>DTCHK(AI158,YK!$J$3:$J$52)</f>
        <v>0</v>
      </c>
      <c r="AJ172">
        <f>DTCHK(AJ158,YK!$J$3:$J$52)</f>
        <v>0</v>
      </c>
      <c r="AK172">
        <f>DTCHK(AK158,YK!$J$3:$J$52)</f>
        <v>1</v>
      </c>
      <c r="AL172">
        <f>DTCHK(AL158,YK!$J$3:$J$52)</f>
        <v>0</v>
      </c>
      <c r="AM172">
        <f>DTCHK(AM158,YK!$J$3:$J$52)</f>
        <v>0</v>
      </c>
      <c r="AN172">
        <f>DTCHK(AN158,YK!$J$3:$J$52)</f>
        <v>0</v>
      </c>
      <c r="AO172">
        <f>DTCHK(AO158,YK!$J$3:$J$52)</f>
        <v>0</v>
      </c>
      <c r="AP172">
        <f>DTCHK(AP158,YK!$J$3:$J$52)</f>
        <v>0</v>
      </c>
      <c r="AQ172">
        <f>DTCHK(AQ158,YK!$J$3:$J$52)</f>
        <v>0</v>
      </c>
      <c r="AS172" s="43">
        <f t="shared" si="45"/>
        <v>0</v>
      </c>
      <c r="AT172" s="43">
        <f t="shared" si="45"/>
        <v>0</v>
      </c>
      <c r="AU172" s="43">
        <f t="shared" si="45"/>
        <v>0</v>
      </c>
      <c r="AV172" s="43">
        <f t="shared" si="45"/>
        <v>0</v>
      </c>
      <c r="AW172" s="43">
        <f t="shared" si="45"/>
        <v>0</v>
      </c>
      <c r="AX172" s="43">
        <f t="shared" si="45"/>
        <v>0</v>
      </c>
      <c r="AY172" s="43">
        <f t="shared" si="45"/>
        <v>0</v>
      </c>
      <c r="AZ172" s="43">
        <f t="shared" si="45"/>
        <v>0</v>
      </c>
      <c r="BA172" s="43">
        <f t="shared" si="45"/>
        <v>0</v>
      </c>
      <c r="BB172" s="43">
        <f t="shared" si="45"/>
        <v>0</v>
      </c>
      <c r="BC172" s="43">
        <f t="shared" si="45"/>
        <v>0</v>
      </c>
      <c r="BD172" s="43">
        <f t="shared" si="45"/>
        <v>0</v>
      </c>
      <c r="BE172" s="43">
        <f t="shared" si="45"/>
        <v>29</v>
      </c>
      <c r="BF172" s="43">
        <f t="shared" si="45"/>
        <v>29</v>
      </c>
      <c r="BG172" s="43">
        <f t="shared" si="45"/>
        <v>29</v>
      </c>
      <c r="BH172" s="43">
        <f t="shared" si="45"/>
        <v>29</v>
      </c>
      <c r="BI172" s="43">
        <f t="shared" si="44"/>
        <v>29</v>
      </c>
      <c r="BJ172" s="43">
        <f t="shared" si="44"/>
        <v>0</v>
      </c>
      <c r="BK172" s="43">
        <f t="shared" si="44"/>
        <v>29</v>
      </c>
      <c r="BL172" s="43">
        <f t="shared" si="44"/>
        <v>29</v>
      </c>
      <c r="BM172" s="43">
        <f t="shared" si="44"/>
        <v>29</v>
      </c>
      <c r="BN172" s="43">
        <f t="shared" si="44"/>
        <v>0</v>
      </c>
      <c r="BO172" s="43">
        <f t="shared" si="44"/>
        <v>0</v>
      </c>
      <c r="BP172" s="43">
        <f t="shared" si="44"/>
        <v>0</v>
      </c>
      <c r="BQ172" s="43">
        <f t="shared" si="44"/>
        <v>29</v>
      </c>
    </row>
    <row r="173" spans="3:69" ht="20.100000000000001" customHeight="1">
      <c r="C173" s="539" t="str">
        <f ca="1">Lists!F11</f>
        <v>Listopad</v>
      </c>
      <c r="D173" s="540"/>
      <c r="E173" s="540"/>
      <c r="F173" s="540"/>
      <c r="G173" s="541"/>
    </row>
    <row r="174" spans="3:69" ht="20.100000000000001" customHeight="1" thickBot="1">
      <c r="C174" s="542"/>
      <c r="D174" s="543"/>
      <c r="E174" s="543"/>
      <c r="F174" s="543"/>
      <c r="G174" s="544"/>
    </row>
    <row r="175" spans="3:69" ht="20.100000000000001" hidden="1" customHeight="1">
      <c r="C175" s="31"/>
      <c r="D175" s="32"/>
      <c r="E175" s="32"/>
      <c r="F175" s="32"/>
      <c r="G175" s="32"/>
      <c r="M175" s="10">
        <f>M158+31</f>
        <v>46327</v>
      </c>
      <c r="N175" s="10">
        <f>M175+1</f>
        <v>46328</v>
      </c>
      <c r="O175" s="10">
        <f t="shared" ref="O175:AQ175" si="46">N175+1</f>
        <v>46329</v>
      </c>
      <c r="P175" s="10">
        <f t="shared" si="46"/>
        <v>46330</v>
      </c>
      <c r="Q175" s="10">
        <f t="shared" si="46"/>
        <v>46331</v>
      </c>
      <c r="R175" s="10">
        <f t="shared" si="46"/>
        <v>46332</v>
      </c>
      <c r="S175" s="10">
        <f t="shared" si="46"/>
        <v>46333</v>
      </c>
      <c r="T175" s="10">
        <f t="shared" si="46"/>
        <v>46334</v>
      </c>
      <c r="U175" s="10">
        <f t="shared" si="46"/>
        <v>46335</v>
      </c>
      <c r="V175" s="10">
        <f t="shared" si="46"/>
        <v>46336</v>
      </c>
      <c r="W175" s="10">
        <f t="shared" si="46"/>
        <v>46337</v>
      </c>
      <c r="X175" s="10">
        <f t="shared" si="46"/>
        <v>46338</v>
      </c>
      <c r="Y175" s="10">
        <f t="shared" si="46"/>
        <v>46339</v>
      </c>
      <c r="Z175" s="10">
        <f t="shared" si="46"/>
        <v>46340</v>
      </c>
      <c r="AA175" s="10">
        <f t="shared" si="46"/>
        <v>46341</v>
      </c>
      <c r="AB175" s="10">
        <f t="shared" si="46"/>
        <v>46342</v>
      </c>
      <c r="AC175" s="10">
        <f t="shared" si="46"/>
        <v>46343</v>
      </c>
      <c r="AD175" s="10">
        <f t="shared" si="46"/>
        <v>46344</v>
      </c>
      <c r="AE175" s="10">
        <f t="shared" si="46"/>
        <v>46345</v>
      </c>
      <c r="AF175" s="10">
        <f t="shared" si="46"/>
        <v>46346</v>
      </c>
      <c r="AG175" s="10">
        <f t="shared" si="46"/>
        <v>46347</v>
      </c>
      <c r="AH175" s="10">
        <f t="shared" si="46"/>
        <v>46348</v>
      </c>
      <c r="AI175" s="10">
        <f t="shared" si="46"/>
        <v>46349</v>
      </c>
      <c r="AJ175" s="10">
        <f t="shared" si="46"/>
        <v>46350</v>
      </c>
      <c r="AK175" s="10">
        <f t="shared" si="46"/>
        <v>46351</v>
      </c>
      <c r="AL175" s="10">
        <f t="shared" si="46"/>
        <v>46352</v>
      </c>
      <c r="AM175" s="10">
        <f t="shared" si="46"/>
        <v>46353</v>
      </c>
      <c r="AN175" s="10">
        <f t="shared" si="46"/>
        <v>46354</v>
      </c>
      <c r="AO175" s="10">
        <f t="shared" si="46"/>
        <v>46355</v>
      </c>
      <c r="AP175" s="10">
        <f t="shared" si="46"/>
        <v>46356</v>
      </c>
      <c r="AQ175" s="10">
        <f t="shared" si="46"/>
        <v>46357</v>
      </c>
    </row>
    <row r="176" spans="3:69" ht="20.100000000000001" hidden="1" customHeight="1" thickBot="1">
      <c r="C176" s="31"/>
      <c r="D176" s="32"/>
      <c r="E176" s="32"/>
      <c r="F176" s="32"/>
      <c r="G176" s="32"/>
      <c r="M176">
        <f t="shared" ref="M176:AQ176" si="47">WEEKDAY(M175,2)</f>
        <v>7</v>
      </c>
      <c r="N176">
        <f t="shared" si="47"/>
        <v>1</v>
      </c>
      <c r="O176">
        <f t="shared" si="47"/>
        <v>2</v>
      </c>
      <c r="P176">
        <f t="shared" si="47"/>
        <v>3</v>
      </c>
      <c r="Q176">
        <f t="shared" si="47"/>
        <v>4</v>
      </c>
      <c r="R176">
        <f t="shared" si="47"/>
        <v>5</v>
      </c>
      <c r="S176">
        <f t="shared" si="47"/>
        <v>6</v>
      </c>
      <c r="T176">
        <f t="shared" si="47"/>
        <v>7</v>
      </c>
      <c r="U176">
        <f t="shared" si="47"/>
        <v>1</v>
      </c>
      <c r="V176">
        <f t="shared" si="47"/>
        <v>2</v>
      </c>
      <c r="W176">
        <f t="shared" si="47"/>
        <v>3</v>
      </c>
      <c r="X176">
        <f t="shared" si="47"/>
        <v>4</v>
      </c>
      <c r="Y176">
        <f t="shared" si="47"/>
        <v>5</v>
      </c>
      <c r="Z176">
        <f t="shared" si="47"/>
        <v>6</v>
      </c>
      <c r="AA176">
        <f t="shared" si="47"/>
        <v>7</v>
      </c>
      <c r="AB176">
        <f t="shared" si="47"/>
        <v>1</v>
      </c>
      <c r="AC176">
        <f t="shared" si="47"/>
        <v>2</v>
      </c>
      <c r="AD176">
        <f t="shared" si="47"/>
        <v>3</v>
      </c>
      <c r="AE176">
        <f t="shared" si="47"/>
        <v>4</v>
      </c>
      <c r="AF176">
        <f t="shared" si="47"/>
        <v>5</v>
      </c>
      <c r="AG176">
        <f t="shared" si="47"/>
        <v>6</v>
      </c>
      <c r="AH176">
        <f t="shared" si="47"/>
        <v>7</v>
      </c>
      <c r="AI176">
        <f t="shared" si="47"/>
        <v>1</v>
      </c>
      <c r="AJ176">
        <f t="shared" si="47"/>
        <v>2</v>
      </c>
      <c r="AK176">
        <f t="shared" si="47"/>
        <v>3</v>
      </c>
      <c r="AL176">
        <f t="shared" si="47"/>
        <v>4</v>
      </c>
      <c r="AM176">
        <f t="shared" si="47"/>
        <v>5</v>
      </c>
      <c r="AN176">
        <f t="shared" si="47"/>
        <v>6</v>
      </c>
      <c r="AO176">
        <f t="shared" si="47"/>
        <v>7</v>
      </c>
      <c r="AP176">
        <f t="shared" si="47"/>
        <v>1</v>
      </c>
      <c r="AQ176">
        <f t="shared" si="47"/>
        <v>2</v>
      </c>
    </row>
    <row r="177" spans="3:69" ht="20.100000000000001" customHeight="1">
      <c r="C177" s="433" t="str">
        <f ca="1">INDIRECT("T!"&amp;T!A1&amp;"33")</f>
        <v>Etat</v>
      </c>
      <c r="D177" s="434"/>
      <c r="E177" s="427" t="s">
        <v>6</v>
      </c>
      <c r="F177" s="428"/>
      <c r="G177" s="428"/>
      <c r="H177" s="428"/>
      <c r="I177" s="428"/>
      <c r="J177" s="421" t="str">
        <f ca="1">INDIRECT("T!"&amp;T!A1&amp;"34")</f>
        <v>Pozycja</v>
      </c>
      <c r="K177" s="421"/>
      <c r="L177" s="549"/>
      <c r="M177" s="28">
        <v>1</v>
      </c>
      <c r="N177" s="28">
        <v>2</v>
      </c>
      <c r="O177" s="28">
        <v>3</v>
      </c>
      <c r="P177" s="28">
        <v>4</v>
      </c>
      <c r="Q177" s="28">
        <v>5</v>
      </c>
      <c r="R177" s="28">
        <v>6</v>
      </c>
      <c r="S177" s="28">
        <v>7</v>
      </c>
      <c r="T177" s="28">
        <v>8</v>
      </c>
      <c r="U177" s="28">
        <v>9</v>
      </c>
      <c r="V177" s="28">
        <v>10</v>
      </c>
      <c r="W177" s="28">
        <v>11</v>
      </c>
      <c r="X177" s="28">
        <v>12</v>
      </c>
      <c r="Y177" s="28">
        <v>13</v>
      </c>
      <c r="Z177" s="28">
        <v>14</v>
      </c>
      <c r="AA177" s="28">
        <v>15</v>
      </c>
      <c r="AB177" s="28">
        <v>16</v>
      </c>
      <c r="AC177" s="28">
        <v>17</v>
      </c>
      <c r="AD177" s="28">
        <v>18</v>
      </c>
      <c r="AE177" s="28">
        <v>19</v>
      </c>
      <c r="AF177" s="28">
        <v>20</v>
      </c>
      <c r="AG177" s="28">
        <v>21</v>
      </c>
      <c r="AH177" s="28">
        <v>22</v>
      </c>
      <c r="AI177" s="28">
        <v>23</v>
      </c>
      <c r="AJ177" s="28">
        <v>24</v>
      </c>
      <c r="AK177" s="28">
        <v>25</v>
      </c>
      <c r="AL177" s="28">
        <v>26</v>
      </c>
      <c r="AM177" s="28">
        <v>27</v>
      </c>
      <c r="AN177" s="28">
        <v>28</v>
      </c>
      <c r="AO177" s="28">
        <v>29</v>
      </c>
      <c r="AP177" s="28">
        <v>30</v>
      </c>
      <c r="AQ177" s="28">
        <v>31</v>
      </c>
    </row>
    <row r="178" spans="3:69" ht="20.100000000000001" customHeight="1" thickBot="1">
      <c r="C178" s="545"/>
      <c r="D178" s="546"/>
      <c r="E178" s="547"/>
      <c r="F178" s="548"/>
      <c r="G178" s="548"/>
      <c r="H178" s="548"/>
      <c r="I178" s="548"/>
      <c r="J178" s="424"/>
      <c r="K178" s="424"/>
      <c r="L178" s="550"/>
      <c r="M178" s="29" t="str">
        <f ca="1">IF(M176=1,INDIRECT("T!"&amp;T!$A$1&amp;"26"),IF(M176=2,INDIRECT("T!"&amp;T!$A$1&amp;"27"),IF(M176=3,INDIRECT("T!"&amp;T!$A$1&amp;"28"),IF(M176=4,INDIRECT("T!"&amp;T!$A$1&amp;"29"),IF(M176=5,INDIRECT("T!"&amp;T!$A$1&amp;"30"),IF(M176=6,INDIRECT("T!"&amp;T!$A$1&amp;"31"),IF(M176=7,INDIRECT("T!"&amp;T!$A$1&amp;"32"),0)))))))</f>
        <v>Nd</v>
      </c>
      <c r="N178" s="29" t="str">
        <f ca="1">IF(N176=1,INDIRECT("T!"&amp;T!$A$1&amp;"26"),IF(N176=2,INDIRECT("T!"&amp;T!$A$1&amp;"27"),IF(N176=3,INDIRECT("T!"&amp;T!$A$1&amp;"28"),IF(N176=4,INDIRECT("T!"&amp;T!$A$1&amp;"29"),IF(N176=5,INDIRECT("T!"&amp;T!$A$1&amp;"30"),IF(N176=6,INDIRECT("T!"&amp;T!$A$1&amp;"31"),IF(N176=7,INDIRECT("T!"&amp;T!$A$1&amp;"32"),0)))))))</f>
        <v>Pn</v>
      </c>
      <c r="O178" s="29" t="str">
        <f ca="1">IF(O176=1,INDIRECT("T!"&amp;T!$A$1&amp;"26"),IF(O176=2,INDIRECT("T!"&amp;T!$A$1&amp;"27"),IF(O176=3,INDIRECT("T!"&amp;T!$A$1&amp;"28"),IF(O176=4,INDIRECT("T!"&amp;T!$A$1&amp;"29"),IF(O176=5,INDIRECT("T!"&amp;T!$A$1&amp;"30"),IF(O176=6,INDIRECT("T!"&amp;T!$A$1&amp;"31"),IF(O176=7,INDIRECT("T!"&amp;T!$A$1&amp;"32"),0)))))))</f>
        <v>Wt</v>
      </c>
      <c r="P178" s="29" t="str">
        <f ca="1">IF(P176=1,INDIRECT("T!"&amp;T!$A$1&amp;"26"),IF(P176=2,INDIRECT("T!"&amp;T!$A$1&amp;"27"),IF(P176=3,INDIRECT("T!"&amp;T!$A$1&amp;"28"),IF(P176=4,INDIRECT("T!"&amp;T!$A$1&amp;"29"),IF(P176=5,INDIRECT("T!"&amp;T!$A$1&amp;"30"),IF(P176=6,INDIRECT("T!"&amp;T!$A$1&amp;"31"),IF(P176=7,INDIRECT("T!"&amp;T!$A$1&amp;"32"),0)))))))</f>
        <v>Śr</v>
      </c>
      <c r="Q178" s="29" t="str">
        <f ca="1">IF(Q176=1,INDIRECT("T!"&amp;T!$A$1&amp;"26"),IF(Q176=2,INDIRECT("T!"&amp;T!$A$1&amp;"27"),IF(Q176=3,INDIRECT("T!"&amp;T!$A$1&amp;"28"),IF(Q176=4,INDIRECT("T!"&amp;T!$A$1&amp;"29"),IF(Q176=5,INDIRECT("T!"&amp;T!$A$1&amp;"30"),IF(Q176=6,INDIRECT("T!"&amp;T!$A$1&amp;"31"),IF(Q176=7,INDIRECT("T!"&amp;T!$A$1&amp;"32"),0)))))))</f>
        <v>Cz</v>
      </c>
      <c r="R178" s="29" t="str">
        <f ca="1">IF(R176=1,INDIRECT("T!"&amp;T!$A$1&amp;"26"),IF(R176=2,INDIRECT("T!"&amp;T!$A$1&amp;"27"),IF(R176=3,INDIRECT("T!"&amp;T!$A$1&amp;"28"),IF(R176=4,INDIRECT("T!"&amp;T!$A$1&amp;"29"),IF(R176=5,INDIRECT("T!"&amp;T!$A$1&amp;"30"),IF(R176=6,INDIRECT("T!"&amp;T!$A$1&amp;"31"),IF(R176=7,INDIRECT("T!"&amp;T!$A$1&amp;"32"),0)))))))</f>
        <v>Pt</v>
      </c>
      <c r="S178" s="29" t="str">
        <f ca="1">IF(S176=1,INDIRECT("T!"&amp;T!$A$1&amp;"26"),IF(S176=2,INDIRECT("T!"&amp;T!$A$1&amp;"27"),IF(S176=3,INDIRECT("T!"&amp;T!$A$1&amp;"28"),IF(S176=4,INDIRECT("T!"&amp;T!$A$1&amp;"29"),IF(S176=5,INDIRECT("T!"&amp;T!$A$1&amp;"30"),IF(S176=6,INDIRECT("T!"&amp;T!$A$1&amp;"31"),IF(S176=7,INDIRECT("T!"&amp;T!$A$1&amp;"32"),0)))))))</f>
        <v>So</v>
      </c>
      <c r="T178" s="29" t="str">
        <f ca="1">IF(T176=1,INDIRECT("T!"&amp;T!$A$1&amp;"26"),IF(T176=2,INDIRECT("T!"&amp;T!$A$1&amp;"27"),IF(T176=3,INDIRECT("T!"&amp;T!$A$1&amp;"28"),IF(T176=4,INDIRECT("T!"&amp;T!$A$1&amp;"29"),IF(T176=5,INDIRECT("T!"&amp;T!$A$1&amp;"30"),IF(T176=6,INDIRECT("T!"&amp;T!$A$1&amp;"31"),IF(T176=7,INDIRECT("T!"&amp;T!$A$1&amp;"32"),0)))))))</f>
        <v>Nd</v>
      </c>
      <c r="U178" s="29" t="str">
        <f ca="1">IF(U176=1,INDIRECT("T!"&amp;T!$A$1&amp;"26"),IF(U176=2,INDIRECT("T!"&amp;T!$A$1&amp;"27"),IF(U176=3,INDIRECT("T!"&amp;T!$A$1&amp;"28"),IF(U176=4,INDIRECT("T!"&amp;T!$A$1&amp;"29"),IF(U176=5,INDIRECT("T!"&amp;T!$A$1&amp;"30"),IF(U176=6,INDIRECT("T!"&amp;T!$A$1&amp;"31"),IF(U176=7,INDIRECT("T!"&amp;T!$A$1&amp;"32"),0)))))))</f>
        <v>Pn</v>
      </c>
      <c r="V178" s="29" t="str">
        <f ca="1">IF(V176=1,INDIRECT("T!"&amp;T!$A$1&amp;"26"),IF(V176=2,INDIRECT("T!"&amp;T!$A$1&amp;"27"),IF(V176=3,INDIRECT("T!"&amp;T!$A$1&amp;"28"),IF(V176=4,INDIRECT("T!"&amp;T!$A$1&amp;"29"),IF(V176=5,INDIRECT("T!"&amp;T!$A$1&amp;"30"),IF(V176=6,INDIRECT("T!"&amp;T!$A$1&amp;"31"),IF(V176=7,INDIRECT("T!"&amp;T!$A$1&amp;"32"),0)))))))</f>
        <v>Wt</v>
      </c>
      <c r="W178" s="29" t="str">
        <f ca="1">IF(W176=1,INDIRECT("T!"&amp;T!$A$1&amp;"26"),IF(W176=2,INDIRECT("T!"&amp;T!$A$1&amp;"27"),IF(W176=3,INDIRECT("T!"&amp;T!$A$1&amp;"28"),IF(W176=4,INDIRECT("T!"&amp;T!$A$1&amp;"29"),IF(W176=5,INDIRECT("T!"&amp;T!$A$1&amp;"30"),IF(W176=6,INDIRECT("T!"&amp;T!$A$1&amp;"31"),IF(W176=7,INDIRECT("T!"&amp;T!$A$1&amp;"32"),0)))))))</f>
        <v>Śr</v>
      </c>
      <c r="X178" s="29" t="str">
        <f ca="1">IF(X176=1,INDIRECT("T!"&amp;T!$A$1&amp;"26"),IF(X176=2,INDIRECT("T!"&amp;T!$A$1&amp;"27"),IF(X176=3,INDIRECT("T!"&amp;T!$A$1&amp;"28"),IF(X176=4,INDIRECT("T!"&amp;T!$A$1&amp;"29"),IF(X176=5,INDIRECT("T!"&amp;T!$A$1&amp;"30"),IF(X176=6,INDIRECT("T!"&amp;T!$A$1&amp;"31"),IF(X176=7,INDIRECT("T!"&amp;T!$A$1&amp;"32"),0)))))))</f>
        <v>Cz</v>
      </c>
      <c r="Y178" s="29" t="str">
        <f ca="1">IF(Y176=1,INDIRECT("T!"&amp;T!$A$1&amp;"26"),IF(Y176=2,INDIRECT("T!"&amp;T!$A$1&amp;"27"),IF(Y176=3,INDIRECT("T!"&amp;T!$A$1&amp;"28"),IF(Y176=4,INDIRECT("T!"&amp;T!$A$1&amp;"29"),IF(Y176=5,INDIRECT("T!"&amp;T!$A$1&amp;"30"),IF(Y176=6,INDIRECT("T!"&amp;T!$A$1&amp;"31"),IF(Y176=7,INDIRECT("T!"&amp;T!$A$1&amp;"32"),0)))))))</f>
        <v>Pt</v>
      </c>
      <c r="Z178" s="29" t="str">
        <f ca="1">IF(Z176=1,INDIRECT("T!"&amp;T!$A$1&amp;"26"),IF(Z176=2,INDIRECT("T!"&amp;T!$A$1&amp;"27"),IF(Z176=3,INDIRECT("T!"&amp;T!$A$1&amp;"28"),IF(Z176=4,INDIRECT("T!"&amp;T!$A$1&amp;"29"),IF(Z176=5,INDIRECT("T!"&amp;T!$A$1&amp;"30"),IF(Z176=6,INDIRECT("T!"&amp;T!$A$1&amp;"31"),IF(Z176=7,INDIRECT("T!"&amp;T!$A$1&amp;"32"),0)))))))</f>
        <v>So</v>
      </c>
      <c r="AA178" s="29" t="str">
        <f ca="1">IF(AA176=1,INDIRECT("T!"&amp;T!$A$1&amp;"26"),IF(AA176=2,INDIRECT("T!"&amp;T!$A$1&amp;"27"),IF(AA176=3,INDIRECT("T!"&amp;T!$A$1&amp;"28"),IF(AA176=4,INDIRECT("T!"&amp;T!$A$1&amp;"29"),IF(AA176=5,INDIRECT("T!"&amp;T!$A$1&amp;"30"),IF(AA176=6,INDIRECT("T!"&amp;T!$A$1&amp;"31"),IF(AA176=7,INDIRECT("T!"&amp;T!$A$1&amp;"32"),0)))))))</f>
        <v>Nd</v>
      </c>
      <c r="AB178" s="29" t="str">
        <f ca="1">IF(AB176=1,INDIRECT("T!"&amp;T!$A$1&amp;"26"),IF(AB176=2,INDIRECT("T!"&amp;T!$A$1&amp;"27"),IF(AB176=3,INDIRECT("T!"&amp;T!$A$1&amp;"28"),IF(AB176=4,INDIRECT("T!"&amp;T!$A$1&amp;"29"),IF(AB176=5,INDIRECT("T!"&amp;T!$A$1&amp;"30"),IF(AB176=6,INDIRECT("T!"&amp;T!$A$1&amp;"31"),IF(AB176=7,INDIRECT("T!"&amp;T!$A$1&amp;"32"),0)))))))</f>
        <v>Pn</v>
      </c>
      <c r="AC178" s="29" t="str">
        <f ca="1">IF(AC176=1,INDIRECT("T!"&amp;T!$A$1&amp;"26"),IF(AC176=2,INDIRECT("T!"&amp;T!$A$1&amp;"27"),IF(AC176=3,INDIRECT("T!"&amp;T!$A$1&amp;"28"),IF(AC176=4,INDIRECT("T!"&amp;T!$A$1&amp;"29"),IF(AC176=5,INDIRECT("T!"&amp;T!$A$1&amp;"30"),IF(AC176=6,INDIRECT("T!"&amp;T!$A$1&amp;"31"),IF(AC176=7,INDIRECT("T!"&amp;T!$A$1&amp;"32"),0)))))))</f>
        <v>Wt</v>
      </c>
      <c r="AD178" s="29" t="str">
        <f ca="1">IF(AD176=1,INDIRECT("T!"&amp;T!$A$1&amp;"26"),IF(AD176=2,INDIRECT("T!"&amp;T!$A$1&amp;"27"),IF(AD176=3,INDIRECT("T!"&amp;T!$A$1&amp;"28"),IF(AD176=4,INDIRECT("T!"&amp;T!$A$1&amp;"29"),IF(AD176=5,INDIRECT("T!"&amp;T!$A$1&amp;"30"),IF(AD176=6,INDIRECT("T!"&amp;T!$A$1&amp;"31"),IF(AD176=7,INDIRECT("T!"&amp;T!$A$1&amp;"32"),0)))))))</f>
        <v>Śr</v>
      </c>
      <c r="AE178" s="29" t="str">
        <f ca="1">IF(AE176=1,INDIRECT("T!"&amp;T!$A$1&amp;"26"),IF(AE176=2,INDIRECT("T!"&amp;T!$A$1&amp;"27"),IF(AE176=3,INDIRECT("T!"&amp;T!$A$1&amp;"28"),IF(AE176=4,INDIRECT("T!"&amp;T!$A$1&amp;"29"),IF(AE176=5,INDIRECT("T!"&amp;T!$A$1&amp;"30"),IF(AE176=6,INDIRECT("T!"&amp;T!$A$1&amp;"31"),IF(AE176=7,INDIRECT("T!"&amp;T!$A$1&amp;"32"),0)))))))</f>
        <v>Cz</v>
      </c>
      <c r="AF178" s="29" t="str">
        <f ca="1">IF(AF176=1,INDIRECT("T!"&amp;T!$A$1&amp;"26"),IF(AF176=2,INDIRECT("T!"&amp;T!$A$1&amp;"27"),IF(AF176=3,INDIRECT("T!"&amp;T!$A$1&amp;"28"),IF(AF176=4,INDIRECT("T!"&amp;T!$A$1&amp;"29"),IF(AF176=5,INDIRECT("T!"&amp;T!$A$1&amp;"30"),IF(AF176=6,INDIRECT("T!"&amp;T!$A$1&amp;"31"),IF(AF176=7,INDIRECT("T!"&amp;T!$A$1&amp;"32"),0)))))))</f>
        <v>Pt</v>
      </c>
      <c r="AG178" s="29" t="str">
        <f ca="1">IF(AG176=1,INDIRECT("T!"&amp;T!$A$1&amp;"26"),IF(AG176=2,INDIRECT("T!"&amp;T!$A$1&amp;"27"),IF(AG176=3,INDIRECT("T!"&amp;T!$A$1&amp;"28"),IF(AG176=4,INDIRECT("T!"&amp;T!$A$1&amp;"29"),IF(AG176=5,INDIRECT("T!"&amp;T!$A$1&amp;"30"),IF(AG176=6,INDIRECT("T!"&amp;T!$A$1&amp;"31"),IF(AG176=7,INDIRECT("T!"&amp;T!$A$1&amp;"32"),0)))))))</f>
        <v>So</v>
      </c>
      <c r="AH178" s="29" t="str">
        <f ca="1">IF(AH176=1,INDIRECT("T!"&amp;T!$A$1&amp;"26"),IF(AH176=2,INDIRECT("T!"&amp;T!$A$1&amp;"27"),IF(AH176=3,INDIRECT("T!"&amp;T!$A$1&amp;"28"),IF(AH176=4,INDIRECT("T!"&amp;T!$A$1&amp;"29"),IF(AH176=5,INDIRECT("T!"&amp;T!$A$1&amp;"30"),IF(AH176=6,INDIRECT("T!"&amp;T!$A$1&amp;"31"),IF(AH176=7,INDIRECT("T!"&amp;T!$A$1&amp;"32"),0)))))))</f>
        <v>Nd</v>
      </c>
      <c r="AI178" s="29" t="str">
        <f ca="1">IF(AI176=1,INDIRECT("T!"&amp;T!$A$1&amp;"26"),IF(AI176=2,INDIRECT("T!"&amp;T!$A$1&amp;"27"),IF(AI176=3,INDIRECT("T!"&amp;T!$A$1&amp;"28"),IF(AI176=4,INDIRECT("T!"&amp;T!$A$1&amp;"29"),IF(AI176=5,INDIRECT("T!"&amp;T!$A$1&amp;"30"),IF(AI176=6,INDIRECT("T!"&amp;T!$A$1&amp;"31"),IF(AI176=7,INDIRECT("T!"&amp;T!$A$1&amp;"32"),0)))))))</f>
        <v>Pn</v>
      </c>
      <c r="AJ178" s="29" t="str">
        <f ca="1">IF(AJ176=1,INDIRECT("T!"&amp;T!$A$1&amp;"26"),IF(AJ176=2,INDIRECT("T!"&amp;T!$A$1&amp;"27"),IF(AJ176=3,INDIRECT("T!"&amp;T!$A$1&amp;"28"),IF(AJ176=4,INDIRECT("T!"&amp;T!$A$1&amp;"29"),IF(AJ176=5,INDIRECT("T!"&amp;T!$A$1&amp;"30"),IF(AJ176=6,INDIRECT("T!"&amp;T!$A$1&amp;"31"),IF(AJ176=7,INDIRECT("T!"&amp;T!$A$1&amp;"32"),0)))))))</f>
        <v>Wt</v>
      </c>
      <c r="AK178" s="29" t="str">
        <f ca="1">IF(AK176=1,INDIRECT("T!"&amp;T!$A$1&amp;"26"),IF(AK176=2,INDIRECT("T!"&amp;T!$A$1&amp;"27"),IF(AK176=3,INDIRECT("T!"&amp;T!$A$1&amp;"28"),IF(AK176=4,INDIRECT("T!"&amp;T!$A$1&amp;"29"),IF(AK176=5,INDIRECT("T!"&amp;T!$A$1&amp;"30"),IF(AK176=6,INDIRECT("T!"&amp;T!$A$1&amp;"31"),IF(AK176=7,INDIRECT("T!"&amp;T!$A$1&amp;"32"),0)))))))</f>
        <v>Śr</v>
      </c>
      <c r="AL178" s="29" t="str">
        <f ca="1">IF(AL176=1,INDIRECT("T!"&amp;T!$A$1&amp;"26"),IF(AL176=2,INDIRECT("T!"&amp;T!$A$1&amp;"27"),IF(AL176=3,INDIRECT("T!"&amp;T!$A$1&amp;"28"),IF(AL176=4,INDIRECT("T!"&amp;T!$A$1&amp;"29"),IF(AL176=5,INDIRECT("T!"&amp;T!$A$1&amp;"30"),IF(AL176=6,INDIRECT("T!"&amp;T!$A$1&amp;"31"),IF(AL176=7,INDIRECT("T!"&amp;T!$A$1&amp;"32"),0)))))))</f>
        <v>Cz</v>
      </c>
      <c r="AM178" s="29" t="str">
        <f ca="1">IF(AM176=1,INDIRECT("T!"&amp;T!$A$1&amp;"26"),IF(AM176=2,INDIRECT("T!"&amp;T!$A$1&amp;"27"),IF(AM176=3,INDIRECT("T!"&amp;T!$A$1&amp;"28"),IF(AM176=4,INDIRECT("T!"&amp;T!$A$1&amp;"29"),IF(AM176=5,INDIRECT("T!"&amp;T!$A$1&amp;"30"),IF(AM176=6,INDIRECT("T!"&amp;T!$A$1&amp;"31"),IF(AM176=7,INDIRECT("T!"&amp;T!$A$1&amp;"32"),0)))))))</f>
        <v>Pt</v>
      </c>
      <c r="AN178" s="29" t="str">
        <f ca="1">IF(AN176=1,INDIRECT("T!"&amp;T!$A$1&amp;"26"),IF(AN176=2,INDIRECT("T!"&amp;T!$A$1&amp;"27"),IF(AN176=3,INDIRECT("T!"&amp;T!$A$1&amp;"28"),IF(AN176=4,INDIRECT("T!"&amp;T!$A$1&amp;"29"),IF(AN176=5,INDIRECT("T!"&amp;T!$A$1&amp;"30"),IF(AN176=6,INDIRECT("T!"&amp;T!$A$1&amp;"31"),IF(AN176=7,INDIRECT("T!"&amp;T!$A$1&amp;"32"),0)))))))</f>
        <v>So</v>
      </c>
      <c r="AO178" s="29" t="str">
        <f ca="1">IF(AO176=1,INDIRECT("T!"&amp;T!$A$1&amp;"26"),IF(AO176=2,INDIRECT("T!"&amp;T!$A$1&amp;"27"),IF(AO176=3,INDIRECT("T!"&amp;T!$A$1&amp;"28"),IF(AO176=4,INDIRECT("T!"&amp;T!$A$1&amp;"29"),IF(AO176=5,INDIRECT("T!"&amp;T!$A$1&amp;"30"),IF(AO176=6,INDIRECT("T!"&amp;T!$A$1&amp;"31"),IF(AO176=7,INDIRECT("T!"&amp;T!$A$1&amp;"32"),0)))))))</f>
        <v>Nd</v>
      </c>
      <c r="AP178" s="29" t="str">
        <f ca="1">IF(AP176=1,INDIRECT("T!"&amp;T!$A$1&amp;"26"),IF(AP176=2,INDIRECT("T!"&amp;T!$A$1&amp;"27"),IF(AP176=3,INDIRECT("T!"&amp;T!$A$1&amp;"28"),IF(AP176=4,INDIRECT("T!"&amp;T!$A$1&amp;"29"),IF(AP176=5,INDIRECT("T!"&amp;T!$A$1&amp;"30"),IF(AP176=6,INDIRECT("T!"&amp;T!$A$1&amp;"31"),IF(AP176=7,INDIRECT("T!"&amp;T!$A$1&amp;"32"),0)))))))</f>
        <v>Pn</v>
      </c>
      <c r="AQ178" s="29" t="str">
        <f ca="1">IF(AQ176=1,INDIRECT("T!"&amp;T!$A$1&amp;"26"),IF(AQ176=2,INDIRECT("T!"&amp;T!$A$1&amp;"27"),IF(AQ176=3,INDIRECT("T!"&amp;T!$A$1&amp;"28"),IF(AQ176=4,INDIRECT("T!"&amp;T!$A$1&amp;"29"),IF(AQ176=5,INDIRECT("T!"&amp;T!$A$1&amp;"30"),IF(AQ176=6,INDIRECT("T!"&amp;T!$A$1&amp;"31"),IF(AQ176=7,INDIRECT("T!"&amp;T!$A$1&amp;"32"),0)))))))</f>
        <v>Wt</v>
      </c>
    </row>
    <row r="179" spans="3:69" ht="20.100000000000001" customHeight="1">
      <c r="C179" s="523"/>
      <c r="D179" s="524"/>
      <c r="E179" s="535"/>
      <c r="F179" s="536"/>
      <c r="G179" s="536"/>
      <c r="H179" s="536"/>
      <c r="I179" s="536"/>
      <c r="J179" s="537"/>
      <c r="K179" s="537"/>
      <c r="L179" s="538"/>
      <c r="M179" s="84"/>
      <c r="N179" s="85"/>
      <c r="O179" s="257"/>
      <c r="P179" s="257"/>
      <c r="Q179" s="257"/>
      <c r="R179" s="257"/>
      <c r="S179" s="85"/>
      <c r="T179" s="85"/>
      <c r="U179" s="257"/>
      <c r="V179" s="257"/>
      <c r="W179" s="85"/>
      <c r="X179" s="257"/>
      <c r="Y179" s="257"/>
      <c r="Z179" s="85"/>
      <c r="AA179" s="85"/>
      <c r="AB179" s="257"/>
      <c r="AC179" s="257"/>
      <c r="AD179" s="257"/>
      <c r="AE179" s="257"/>
      <c r="AF179" s="257"/>
      <c r="AG179" s="85"/>
      <c r="AH179" s="85"/>
      <c r="AI179" s="257"/>
      <c r="AJ179" s="257"/>
      <c r="AK179" s="257"/>
      <c r="AL179" s="257"/>
      <c r="AM179" s="257"/>
      <c r="AN179" s="85"/>
      <c r="AO179" s="85"/>
      <c r="AP179" s="257"/>
      <c r="AQ179" s="183"/>
      <c r="AS179" s="43">
        <f t="shared" si="45"/>
        <v>0</v>
      </c>
      <c r="AT179" s="43">
        <f t="shared" si="45"/>
        <v>0</v>
      </c>
      <c r="AU179" s="43">
        <f t="shared" si="45"/>
        <v>0</v>
      </c>
      <c r="AV179" s="43">
        <f t="shared" si="45"/>
        <v>0</v>
      </c>
      <c r="AW179" s="43">
        <f t="shared" si="45"/>
        <v>0</v>
      </c>
      <c r="AX179" s="43">
        <f t="shared" si="45"/>
        <v>0</v>
      </c>
      <c r="AY179" s="43">
        <f t="shared" si="45"/>
        <v>0</v>
      </c>
      <c r="AZ179" s="43">
        <f t="shared" si="45"/>
        <v>0</v>
      </c>
      <c r="BA179" s="43">
        <f t="shared" si="45"/>
        <v>0</v>
      </c>
      <c r="BB179" s="43">
        <f t="shared" si="45"/>
        <v>0</v>
      </c>
      <c r="BC179" s="43">
        <f t="shared" si="45"/>
        <v>0</v>
      </c>
      <c r="BD179" s="43">
        <f t="shared" si="45"/>
        <v>0</v>
      </c>
      <c r="BE179" s="43">
        <f t="shared" si="45"/>
        <v>0</v>
      </c>
      <c r="BF179" s="43">
        <f t="shared" si="45"/>
        <v>0</v>
      </c>
      <c r="BG179" s="43">
        <f t="shared" si="45"/>
        <v>0</v>
      </c>
      <c r="BH179" s="43">
        <f t="shared" ref="BH179:BQ189" si="48">COUNTIFS($M179:$AQ179,BH$2)</f>
        <v>0</v>
      </c>
      <c r="BI179" s="43">
        <f t="shared" si="48"/>
        <v>0</v>
      </c>
      <c r="BJ179" s="43">
        <f t="shared" si="48"/>
        <v>0</v>
      </c>
      <c r="BK179" s="43">
        <f t="shared" si="48"/>
        <v>0</v>
      </c>
      <c r="BL179" s="43">
        <f t="shared" si="48"/>
        <v>0</v>
      </c>
      <c r="BM179" s="43">
        <f t="shared" si="48"/>
        <v>0</v>
      </c>
      <c r="BN179" s="43">
        <f t="shared" si="48"/>
        <v>0</v>
      </c>
      <c r="BO179" s="43">
        <f t="shared" si="48"/>
        <v>0</v>
      </c>
      <c r="BP179" s="43">
        <f t="shared" si="48"/>
        <v>0</v>
      </c>
      <c r="BQ179" s="43">
        <f t="shared" si="48"/>
        <v>0</v>
      </c>
    </row>
    <row r="180" spans="3:69" ht="20.100000000000001" customHeight="1">
      <c r="C180" s="523"/>
      <c r="D180" s="524"/>
      <c r="E180" s="525"/>
      <c r="F180" s="526"/>
      <c r="G180" s="526"/>
      <c r="H180" s="526"/>
      <c r="I180" s="526"/>
      <c r="J180" s="527"/>
      <c r="K180" s="527"/>
      <c r="L180" s="528"/>
      <c r="M180" s="86"/>
      <c r="N180" s="87"/>
      <c r="O180" s="255"/>
      <c r="P180" s="255"/>
      <c r="Q180" s="255"/>
      <c r="R180" s="255"/>
      <c r="S180" s="87"/>
      <c r="T180" s="87"/>
      <c r="U180" s="255"/>
      <c r="V180" s="255"/>
      <c r="W180" s="87"/>
      <c r="X180" s="255"/>
      <c r="Y180" s="255"/>
      <c r="Z180" s="87"/>
      <c r="AA180" s="87"/>
      <c r="AB180" s="255"/>
      <c r="AC180" s="255"/>
      <c r="AD180" s="255"/>
      <c r="AE180" s="255"/>
      <c r="AF180" s="255"/>
      <c r="AG180" s="87"/>
      <c r="AH180" s="87"/>
      <c r="AI180" s="255"/>
      <c r="AJ180" s="255"/>
      <c r="AK180" s="255"/>
      <c r="AL180" s="255"/>
      <c r="AM180" s="255"/>
      <c r="AN180" s="87"/>
      <c r="AO180" s="87"/>
      <c r="AP180" s="255"/>
      <c r="AQ180" s="184"/>
      <c r="AS180" s="43">
        <f t="shared" ref="AS180:BH189" si="49">COUNTIFS($M180:$AQ180,AS$2)</f>
        <v>0</v>
      </c>
      <c r="AT180" s="43">
        <f t="shared" si="49"/>
        <v>0</v>
      </c>
      <c r="AU180" s="43">
        <f t="shared" si="49"/>
        <v>0</v>
      </c>
      <c r="AV180" s="43">
        <f t="shared" si="49"/>
        <v>0</v>
      </c>
      <c r="AW180" s="43">
        <f t="shared" si="49"/>
        <v>0</v>
      </c>
      <c r="AX180" s="43">
        <f t="shared" si="49"/>
        <v>0</v>
      </c>
      <c r="AY180" s="43">
        <f t="shared" si="49"/>
        <v>0</v>
      </c>
      <c r="AZ180" s="43">
        <f t="shared" si="49"/>
        <v>0</v>
      </c>
      <c r="BA180" s="43">
        <f t="shared" si="49"/>
        <v>0</v>
      </c>
      <c r="BB180" s="43">
        <f t="shared" si="49"/>
        <v>0</v>
      </c>
      <c r="BC180" s="43">
        <f t="shared" si="49"/>
        <v>0</v>
      </c>
      <c r="BD180" s="43">
        <f t="shared" si="49"/>
        <v>0</v>
      </c>
      <c r="BE180" s="43">
        <f t="shared" si="49"/>
        <v>0</v>
      </c>
      <c r="BF180" s="43">
        <f t="shared" si="49"/>
        <v>0</v>
      </c>
      <c r="BG180" s="43">
        <f t="shared" si="49"/>
        <v>0</v>
      </c>
      <c r="BH180" s="43">
        <f t="shared" si="49"/>
        <v>0</v>
      </c>
      <c r="BI180" s="43">
        <f t="shared" si="48"/>
        <v>0</v>
      </c>
      <c r="BJ180" s="43">
        <f t="shared" si="48"/>
        <v>0</v>
      </c>
      <c r="BK180" s="43">
        <f t="shared" si="48"/>
        <v>0</v>
      </c>
      <c r="BL180" s="43">
        <f t="shared" si="48"/>
        <v>0</v>
      </c>
      <c r="BM180" s="43">
        <f t="shared" si="48"/>
        <v>0</v>
      </c>
      <c r="BN180" s="43">
        <f t="shared" si="48"/>
        <v>0</v>
      </c>
      <c r="BO180" s="43">
        <f t="shared" si="48"/>
        <v>0</v>
      </c>
      <c r="BP180" s="43">
        <f t="shared" si="48"/>
        <v>0</v>
      </c>
      <c r="BQ180" s="43">
        <f t="shared" si="48"/>
        <v>0</v>
      </c>
    </row>
    <row r="181" spans="3:69" ht="20.100000000000001" customHeight="1">
      <c r="C181" s="523"/>
      <c r="D181" s="524"/>
      <c r="E181" s="525"/>
      <c r="F181" s="526"/>
      <c r="G181" s="526"/>
      <c r="H181" s="526"/>
      <c r="I181" s="526"/>
      <c r="J181" s="527"/>
      <c r="K181" s="527"/>
      <c r="L181" s="528"/>
      <c r="M181" s="86"/>
      <c r="N181" s="87"/>
      <c r="O181" s="255"/>
      <c r="P181" s="255"/>
      <c r="Q181" s="255"/>
      <c r="R181" s="255"/>
      <c r="S181" s="87"/>
      <c r="T181" s="87"/>
      <c r="U181" s="255"/>
      <c r="V181" s="255"/>
      <c r="W181" s="87"/>
      <c r="X181" s="255"/>
      <c r="Y181" s="255"/>
      <c r="Z181" s="87"/>
      <c r="AA181" s="87"/>
      <c r="AB181" s="255"/>
      <c r="AC181" s="255"/>
      <c r="AD181" s="255"/>
      <c r="AE181" s="255"/>
      <c r="AF181" s="255"/>
      <c r="AG181" s="87"/>
      <c r="AH181" s="87"/>
      <c r="AI181" s="255"/>
      <c r="AJ181" s="255"/>
      <c r="AK181" s="255"/>
      <c r="AL181" s="255"/>
      <c r="AM181" s="255"/>
      <c r="AN181" s="87"/>
      <c r="AO181" s="87"/>
      <c r="AP181" s="255"/>
      <c r="AQ181" s="184"/>
      <c r="AS181" s="43">
        <f t="shared" si="49"/>
        <v>0</v>
      </c>
      <c r="AT181" s="43">
        <f t="shared" si="49"/>
        <v>0</v>
      </c>
      <c r="AU181" s="43">
        <f t="shared" si="49"/>
        <v>0</v>
      </c>
      <c r="AV181" s="43">
        <f t="shared" si="49"/>
        <v>0</v>
      </c>
      <c r="AW181" s="43">
        <f t="shared" si="49"/>
        <v>0</v>
      </c>
      <c r="AX181" s="43">
        <f t="shared" si="49"/>
        <v>0</v>
      </c>
      <c r="AY181" s="43">
        <f t="shared" si="49"/>
        <v>0</v>
      </c>
      <c r="AZ181" s="43">
        <f t="shared" si="49"/>
        <v>0</v>
      </c>
      <c r="BA181" s="43">
        <f t="shared" si="49"/>
        <v>0</v>
      </c>
      <c r="BB181" s="43">
        <f t="shared" si="49"/>
        <v>0</v>
      </c>
      <c r="BC181" s="43">
        <f t="shared" si="49"/>
        <v>0</v>
      </c>
      <c r="BD181" s="43">
        <f t="shared" si="49"/>
        <v>0</v>
      </c>
      <c r="BE181" s="43">
        <f t="shared" si="49"/>
        <v>0</v>
      </c>
      <c r="BF181" s="43">
        <f t="shared" si="49"/>
        <v>0</v>
      </c>
      <c r="BG181" s="43">
        <f t="shared" si="49"/>
        <v>0</v>
      </c>
      <c r="BH181" s="43">
        <f t="shared" si="49"/>
        <v>0</v>
      </c>
      <c r="BI181" s="43">
        <f t="shared" si="48"/>
        <v>0</v>
      </c>
      <c r="BJ181" s="43">
        <f t="shared" si="48"/>
        <v>0</v>
      </c>
      <c r="BK181" s="43">
        <f t="shared" si="48"/>
        <v>0</v>
      </c>
      <c r="BL181" s="43">
        <f t="shared" si="48"/>
        <v>0</v>
      </c>
      <c r="BM181" s="43">
        <f t="shared" si="48"/>
        <v>0</v>
      </c>
      <c r="BN181" s="43">
        <f t="shared" si="48"/>
        <v>0</v>
      </c>
      <c r="BO181" s="43">
        <f t="shared" si="48"/>
        <v>0</v>
      </c>
      <c r="BP181" s="43">
        <f t="shared" si="48"/>
        <v>0</v>
      </c>
      <c r="BQ181" s="43">
        <f t="shared" si="48"/>
        <v>0</v>
      </c>
    </row>
    <row r="182" spans="3:69" ht="20.100000000000001" customHeight="1">
      <c r="C182" s="523"/>
      <c r="D182" s="524"/>
      <c r="E182" s="525"/>
      <c r="F182" s="526"/>
      <c r="G182" s="526"/>
      <c r="H182" s="526"/>
      <c r="I182" s="526"/>
      <c r="J182" s="527"/>
      <c r="K182" s="527"/>
      <c r="L182" s="528"/>
      <c r="M182" s="86"/>
      <c r="N182" s="87"/>
      <c r="O182" s="255"/>
      <c r="P182" s="255"/>
      <c r="Q182" s="255"/>
      <c r="R182" s="255"/>
      <c r="S182" s="87"/>
      <c r="T182" s="87"/>
      <c r="U182" s="255"/>
      <c r="V182" s="255"/>
      <c r="W182" s="87"/>
      <c r="X182" s="255"/>
      <c r="Y182" s="255"/>
      <c r="Z182" s="87"/>
      <c r="AA182" s="87"/>
      <c r="AB182" s="255"/>
      <c r="AC182" s="255"/>
      <c r="AD182" s="255"/>
      <c r="AE182" s="255"/>
      <c r="AF182" s="255"/>
      <c r="AG182" s="87"/>
      <c r="AH182" s="87"/>
      <c r="AI182" s="255"/>
      <c r="AJ182" s="255"/>
      <c r="AK182" s="255"/>
      <c r="AL182" s="255"/>
      <c r="AM182" s="255"/>
      <c r="AN182" s="87"/>
      <c r="AO182" s="87"/>
      <c r="AP182" s="255"/>
      <c r="AQ182" s="184"/>
      <c r="AS182" s="43">
        <f t="shared" si="49"/>
        <v>0</v>
      </c>
      <c r="AT182" s="43">
        <f t="shared" si="49"/>
        <v>0</v>
      </c>
      <c r="AU182" s="43">
        <f t="shared" si="49"/>
        <v>0</v>
      </c>
      <c r="AV182" s="43">
        <f t="shared" si="49"/>
        <v>0</v>
      </c>
      <c r="AW182" s="43">
        <f t="shared" si="49"/>
        <v>0</v>
      </c>
      <c r="AX182" s="43">
        <f t="shared" si="49"/>
        <v>0</v>
      </c>
      <c r="AY182" s="43">
        <f t="shared" si="49"/>
        <v>0</v>
      </c>
      <c r="AZ182" s="43">
        <f t="shared" si="49"/>
        <v>0</v>
      </c>
      <c r="BA182" s="43">
        <f t="shared" si="49"/>
        <v>0</v>
      </c>
      <c r="BB182" s="43">
        <f t="shared" si="49"/>
        <v>0</v>
      </c>
      <c r="BC182" s="43">
        <f t="shared" si="49"/>
        <v>0</v>
      </c>
      <c r="BD182" s="43">
        <f t="shared" si="49"/>
        <v>0</v>
      </c>
      <c r="BE182" s="43">
        <f t="shared" si="49"/>
        <v>0</v>
      </c>
      <c r="BF182" s="43">
        <f t="shared" si="49"/>
        <v>0</v>
      </c>
      <c r="BG182" s="43">
        <f t="shared" si="49"/>
        <v>0</v>
      </c>
      <c r="BH182" s="43">
        <f t="shared" si="49"/>
        <v>0</v>
      </c>
      <c r="BI182" s="43">
        <f t="shared" si="48"/>
        <v>0</v>
      </c>
      <c r="BJ182" s="43">
        <f t="shared" si="48"/>
        <v>0</v>
      </c>
      <c r="BK182" s="43">
        <f t="shared" si="48"/>
        <v>0</v>
      </c>
      <c r="BL182" s="43">
        <f t="shared" si="48"/>
        <v>0</v>
      </c>
      <c r="BM182" s="43">
        <f t="shared" si="48"/>
        <v>0</v>
      </c>
      <c r="BN182" s="43">
        <f t="shared" si="48"/>
        <v>0</v>
      </c>
      <c r="BO182" s="43">
        <f t="shared" si="48"/>
        <v>0</v>
      </c>
      <c r="BP182" s="43">
        <f t="shared" si="48"/>
        <v>0</v>
      </c>
      <c r="BQ182" s="43">
        <f t="shared" si="48"/>
        <v>0</v>
      </c>
    </row>
    <row r="183" spans="3:69" ht="20.100000000000001" customHeight="1">
      <c r="C183" s="523"/>
      <c r="D183" s="524"/>
      <c r="E183" s="525"/>
      <c r="F183" s="526"/>
      <c r="G183" s="526"/>
      <c r="H183" s="526"/>
      <c r="I183" s="526"/>
      <c r="J183" s="527"/>
      <c r="K183" s="527"/>
      <c r="L183" s="528"/>
      <c r="M183" s="86"/>
      <c r="N183" s="87"/>
      <c r="O183" s="255"/>
      <c r="P183" s="255"/>
      <c r="Q183" s="255"/>
      <c r="R183" s="255"/>
      <c r="S183" s="87"/>
      <c r="T183" s="87"/>
      <c r="U183" s="255"/>
      <c r="V183" s="255"/>
      <c r="W183" s="87"/>
      <c r="X183" s="255"/>
      <c r="Y183" s="255"/>
      <c r="Z183" s="87"/>
      <c r="AA183" s="87"/>
      <c r="AB183" s="255"/>
      <c r="AC183" s="255"/>
      <c r="AD183" s="255"/>
      <c r="AE183" s="255"/>
      <c r="AF183" s="255"/>
      <c r="AG183" s="87"/>
      <c r="AH183" s="87"/>
      <c r="AI183" s="255"/>
      <c r="AJ183" s="255"/>
      <c r="AK183" s="255"/>
      <c r="AL183" s="255"/>
      <c r="AM183" s="255"/>
      <c r="AN183" s="87"/>
      <c r="AO183" s="87"/>
      <c r="AP183" s="255"/>
      <c r="AQ183" s="184"/>
      <c r="AS183" s="43">
        <f t="shared" si="49"/>
        <v>0</v>
      </c>
      <c r="AT183" s="43">
        <f t="shared" si="49"/>
        <v>0</v>
      </c>
      <c r="AU183" s="43">
        <f t="shared" si="49"/>
        <v>0</v>
      </c>
      <c r="AV183" s="43">
        <f t="shared" si="49"/>
        <v>0</v>
      </c>
      <c r="AW183" s="43">
        <f t="shared" si="49"/>
        <v>0</v>
      </c>
      <c r="AX183" s="43">
        <f t="shared" si="49"/>
        <v>0</v>
      </c>
      <c r="AY183" s="43">
        <f t="shared" si="49"/>
        <v>0</v>
      </c>
      <c r="AZ183" s="43">
        <f t="shared" si="49"/>
        <v>0</v>
      </c>
      <c r="BA183" s="43">
        <f t="shared" si="49"/>
        <v>0</v>
      </c>
      <c r="BB183" s="43">
        <f t="shared" si="49"/>
        <v>0</v>
      </c>
      <c r="BC183" s="43">
        <f t="shared" si="49"/>
        <v>0</v>
      </c>
      <c r="BD183" s="43">
        <f t="shared" si="49"/>
        <v>0</v>
      </c>
      <c r="BE183" s="43">
        <f t="shared" si="49"/>
        <v>0</v>
      </c>
      <c r="BF183" s="43">
        <f t="shared" si="49"/>
        <v>0</v>
      </c>
      <c r="BG183" s="43">
        <f t="shared" si="49"/>
        <v>0</v>
      </c>
      <c r="BH183" s="43">
        <f t="shared" si="49"/>
        <v>0</v>
      </c>
      <c r="BI183" s="43">
        <f t="shared" si="48"/>
        <v>0</v>
      </c>
      <c r="BJ183" s="43">
        <f t="shared" si="48"/>
        <v>0</v>
      </c>
      <c r="BK183" s="43">
        <f t="shared" si="48"/>
        <v>0</v>
      </c>
      <c r="BL183" s="43">
        <f t="shared" si="48"/>
        <v>0</v>
      </c>
      <c r="BM183" s="43">
        <f t="shared" si="48"/>
        <v>0</v>
      </c>
      <c r="BN183" s="43">
        <f t="shared" si="48"/>
        <v>0</v>
      </c>
      <c r="BO183" s="43">
        <f t="shared" si="48"/>
        <v>0</v>
      </c>
      <c r="BP183" s="43">
        <f t="shared" si="48"/>
        <v>0</v>
      </c>
      <c r="BQ183" s="43">
        <f t="shared" si="48"/>
        <v>0</v>
      </c>
    </row>
    <row r="184" spans="3:69" ht="20.100000000000001" customHeight="1">
      <c r="C184" s="523"/>
      <c r="D184" s="524"/>
      <c r="E184" s="525"/>
      <c r="F184" s="526"/>
      <c r="G184" s="526"/>
      <c r="H184" s="526"/>
      <c r="I184" s="526"/>
      <c r="J184" s="527"/>
      <c r="K184" s="527"/>
      <c r="L184" s="528"/>
      <c r="M184" s="86"/>
      <c r="N184" s="87"/>
      <c r="O184" s="255"/>
      <c r="P184" s="255"/>
      <c r="Q184" s="255"/>
      <c r="R184" s="255"/>
      <c r="S184" s="87"/>
      <c r="T184" s="87"/>
      <c r="U184" s="255"/>
      <c r="V184" s="255"/>
      <c r="W184" s="87"/>
      <c r="X184" s="255"/>
      <c r="Y184" s="255"/>
      <c r="Z184" s="87"/>
      <c r="AA184" s="87"/>
      <c r="AB184" s="255"/>
      <c r="AC184" s="255"/>
      <c r="AD184" s="255"/>
      <c r="AE184" s="255"/>
      <c r="AF184" s="255"/>
      <c r="AG184" s="87"/>
      <c r="AH184" s="87"/>
      <c r="AI184" s="255"/>
      <c r="AJ184" s="255"/>
      <c r="AK184" s="255"/>
      <c r="AL184" s="255"/>
      <c r="AM184" s="255"/>
      <c r="AN184" s="87"/>
      <c r="AO184" s="87"/>
      <c r="AP184" s="255"/>
      <c r="AQ184" s="184"/>
      <c r="AS184" s="43">
        <f t="shared" si="49"/>
        <v>0</v>
      </c>
      <c r="AT184" s="43">
        <f t="shared" si="49"/>
        <v>0</v>
      </c>
      <c r="AU184" s="43">
        <f t="shared" si="49"/>
        <v>0</v>
      </c>
      <c r="AV184" s="43">
        <f t="shared" si="49"/>
        <v>0</v>
      </c>
      <c r="AW184" s="43">
        <f t="shared" si="49"/>
        <v>0</v>
      </c>
      <c r="AX184" s="43">
        <f t="shared" si="49"/>
        <v>0</v>
      </c>
      <c r="AY184" s="43">
        <f t="shared" si="49"/>
        <v>0</v>
      </c>
      <c r="AZ184" s="43">
        <f t="shared" si="49"/>
        <v>0</v>
      </c>
      <c r="BA184" s="43">
        <f t="shared" si="49"/>
        <v>0</v>
      </c>
      <c r="BB184" s="43">
        <f t="shared" si="49"/>
        <v>0</v>
      </c>
      <c r="BC184" s="43">
        <f t="shared" si="49"/>
        <v>0</v>
      </c>
      <c r="BD184" s="43">
        <f t="shared" si="49"/>
        <v>0</v>
      </c>
      <c r="BE184" s="43">
        <f t="shared" si="49"/>
        <v>0</v>
      </c>
      <c r="BF184" s="43">
        <f t="shared" si="49"/>
        <v>0</v>
      </c>
      <c r="BG184" s="43">
        <f t="shared" si="49"/>
        <v>0</v>
      </c>
      <c r="BH184" s="43">
        <f t="shared" si="49"/>
        <v>0</v>
      </c>
      <c r="BI184" s="43">
        <f t="shared" si="48"/>
        <v>0</v>
      </c>
      <c r="BJ184" s="43">
        <f t="shared" si="48"/>
        <v>0</v>
      </c>
      <c r="BK184" s="43">
        <f t="shared" si="48"/>
        <v>0</v>
      </c>
      <c r="BL184" s="43">
        <f t="shared" si="48"/>
        <v>0</v>
      </c>
      <c r="BM184" s="43">
        <f t="shared" si="48"/>
        <v>0</v>
      </c>
      <c r="BN184" s="43">
        <f t="shared" si="48"/>
        <v>0</v>
      </c>
      <c r="BO184" s="43">
        <f t="shared" si="48"/>
        <v>0</v>
      </c>
      <c r="BP184" s="43">
        <f t="shared" si="48"/>
        <v>0</v>
      </c>
      <c r="BQ184" s="43">
        <f t="shared" si="48"/>
        <v>0</v>
      </c>
    </row>
    <row r="185" spans="3:69" ht="20.100000000000001" customHeight="1">
      <c r="C185" s="523"/>
      <c r="D185" s="524"/>
      <c r="E185" s="525"/>
      <c r="F185" s="526"/>
      <c r="G185" s="526"/>
      <c r="H185" s="526"/>
      <c r="I185" s="526"/>
      <c r="J185" s="527"/>
      <c r="K185" s="527"/>
      <c r="L185" s="528"/>
      <c r="M185" s="86"/>
      <c r="N185" s="87"/>
      <c r="O185" s="255"/>
      <c r="P185" s="255"/>
      <c r="Q185" s="255"/>
      <c r="R185" s="255"/>
      <c r="S185" s="87"/>
      <c r="T185" s="87"/>
      <c r="U185" s="255"/>
      <c r="V185" s="255"/>
      <c r="W185" s="87"/>
      <c r="X185" s="255"/>
      <c r="Y185" s="255"/>
      <c r="Z185" s="87"/>
      <c r="AA185" s="87"/>
      <c r="AB185" s="255"/>
      <c r="AC185" s="255"/>
      <c r="AD185" s="255"/>
      <c r="AE185" s="255"/>
      <c r="AF185" s="255"/>
      <c r="AG185" s="87"/>
      <c r="AH185" s="87"/>
      <c r="AI185" s="255"/>
      <c r="AJ185" s="255"/>
      <c r="AK185" s="255"/>
      <c r="AL185" s="255"/>
      <c r="AM185" s="255"/>
      <c r="AN185" s="87"/>
      <c r="AO185" s="87"/>
      <c r="AP185" s="255"/>
      <c r="AQ185" s="184"/>
      <c r="AS185" s="43">
        <f t="shared" si="49"/>
        <v>0</v>
      </c>
      <c r="AT185" s="43">
        <f t="shared" si="49"/>
        <v>0</v>
      </c>
      <c r="AU185" s="43">
        <f t="shared" si="49"/>
        <v>0</v>
      </c>
      <c r="AV185" s="43">
        <f t="shared" si="49"/>
        <v>0</v>
      </c>
      <c r="AW185" s="43">
        <f t="shared" si="49"/>
        <v>0</v>
      </c>
      <c r="AX185" s="43">
        <f t="shared" si="49"/>
        <v>0</v>
      </c>
      <c r="AY185" s="43">
        <f t="shared" si="49"/>
        <v>0</v>
      </c>
      <c r="AZ185" s="43">
        <f t="shared" si="49"/>
        <v>0</v>
      </c>
      <c r="BA185" s="43">
        <f t="shared" si="49"/>
        <v>0</v>
      </c>
      <c r="BB185" s="43">
        <f t="shared" si="49"/>
        <v>0</v>
      </c>
      <c r="BC185" s="43">
        <f t="shared" si="49"/>
        <v>0</v>
      </c>
      <c r="BD185" s="43">
        <f t="shared" si="49"/>
        <v>0</v>
      </c>
      <c r="BE185" s="43">
        <f t="shared" si="49"/>
        <v>0</v>
      </c>
      <c r="BF185" s="43">
        <f t="shared" si="49"/>
        <v>0</v>
      </c>
      <c r="BG185" s="43">
        <f t="shared" si="49"/>
        <v>0</v>
      </c>
      <c r="BH185" s="43">
        <f t="shared" si="49"/>
        <v>0</v>
      </c>
      <c r="BI185" s="43">
        <f t="shared" si="48"/>
        <v>0</v>
      </c>
      <c r="BJ185" s="43">
        <f t="shared" si="48"/>
        <v>0</v>
      </c>
      <c r="BK185" s="43">
        <f t="shared" si="48"/>
        <v>0</v>
      </c>
      <c r="BL185" s="43">
        <f t="shared" si="48"/>
        <v>0</v>
      </c>
      <c r="BM185" s="43">
        <f t="shared" si="48"/>
        <v>0</v>
      </c>
      <c r="BN185" s="43">
        <f t="shared" si="48"/>
        <v>0</v>
      </c>
      <c r="BO185" s="43">
        <f t="shared" si="48"/>
        <v>0</v>
      </c>
      <c r="BP185" s="43">
        <f t="shared" si="48"/>
        <v>0</v>
      </c>
      <c r="BQ185" s="43">
        <f t="shared" si="48"/>
        <v>0</v>
      </c>
    </row>
    <row r="186" spans="3:69" ht="20.100000000000001" customHeight="1">
      <c r="C186" s="523"/>
      <c r="D186" s="524"/>
      <c r="E186" s="525"/>
      <c r="F186" s="526"/>
      <c r="G186" s="526"/>
      <c r="H186" s="526"/>
      <c r="I186" s="526"/>
      <c r="J186" s="527"/>
      <c r="K186" s="527"/>
      <c r="L186" s="528"/>
      <c r="M186" s="86"/>
      <c r="N186" s="87"/>
      <c r="O186" s="255"/>
      <c r="P186" s="255"/>
      <c r="Q186" s="255"/>
      <c r="R186" s="255"/>
      <c r="S186" s="87"/>
      <c r="T186" s="87"/>
      <c r="U186" s="255"/>
      <c r="V186" s="255"/>
      <c r="W186" s="87"/>
      <c r="X186" s="255"/>
      <c r="Y186" s="255"/>
      <c r="Z186" s="87"/>
      <c r="AA186" s="87"/>
      <c r="AB186" s="255"/>
      <c r="AC186" s="255"/>
      <c r="AD186" s="255"/>
      <c r="AE186" s="255"/>
      <c r="AF186" s="255"/>
      <c r="AG186" s="87"/>
      <c r="AH186" s="87"/>
      <c r="AI186" s="255"/>
      <c r="AJ186" s="255"/>
      <c r="AK186" s="255"/>
      <c r="AL186" s="255"/>
      <c r="AM186" s="255"/>
      <c r="AN186" s="87"/>
      <c r="AO186" s="87"/>
      <c r="AP186" s="255"/>
      <c r="AQ186" s="184"/>
      <c r="AS186" s="43">
        <f t="shared" si="49"/>
        <v>0</v>
      </c>
      <c r="AT186" s="43">
        <f t="shared" si="49"/>
        <v>0</v>
      </c>
      <c r="AU186" s="43">
        <f t="shared" si="49"/>
        <v>0</v>
      </c>
      <c r="AV186" s="43">
        <f t="shared" si="49"/>
        <v>0</v>
      </c>
      <c r="AW186" s="43">
        <f t="shared" si="49"/>
        <v>0</v>
      </c>
      <c r="AX186" s="43">
        <f t="shared" si="49"/>
        <v>0</v>
      </c>
      <c r="AY186" s="43">
        <f t="shared" si="49"/>
        <v>0</v>
      </c>
      <c r="AZ186" s="43">
        <f t="shared" si="49"/>
        <v>0</v>
      </c>
      <c r="BA186" s="43">
        <f t="shared" si="49"/>
        <v>0</v>
      </c>
      <c r="BB186" s="43">
        <f t="shared" si="49"/>
        <v>0</v>
      </c>
      <c r="BC186" s="43">
        <f t="shared" si="49"/>
        <v>0</v>
      </c>
      <c r="BD186" s="43">
        <f t="shared" si="49"/>
        <v>0</v>
      </c>
      <c r="BE186" s="43">
        <f t="shared" si="49"/>
        <v>0</v>
      </c>
      <c r="BF186" s="43">
        <f t="shared" si="49"/>
        <v>0</v>
      </c>
      <c r="BG186" s="43">
        <f t="shared" si="49"/>
        <v>0</v>
      </c>
      <c r="BH186" s="43">
        <f t="shared" si="49"/>
        <v>0</v>
      </c>
      <c r="BI186" s="43">
        <f t="shared" si="48"/>
        <v>0</v>
      </c>
      <c r="BJ186" s="43">
        <f t="shared" si="48"/>
        <v>0</v>
      </c>
      <c r="BK186" s="43">
        <f t="shared" si="48"/>
        <v>0</v>
      </c>
      <c r="BL186" s="43">
        <f t="shared" si="48"/>
        <v>0</v>
      </c>
      <c r="BM186" s="43">
        <f t="shared" si="48"/>
        <v>0</v>
      </c>
      <c r="BN186" s="43">
        <f t="shared" si="48"/>
        <v>0</v>
      </c>
      <c r="BO186" s="43">
        <f t="shared" si="48"/>
        <v>0</v>
      </c>
      <c r="BP186" s="43">
        <f t="shared" si="48"/>
        <v>0</v>
      </c>
      <c r="BQ186" s="43">
        <f t="shared" si="48"/>
        <v>0</v>
      </c>
    </row>
    <row r="187" spans="3:69" ht="20.100000000000001" customHeight="1">
      <c r="C187" s="523"/>
      <c r="D187" s="524"/>
      <c r="E187" s="525"/>
      <c r="F187" s="526"/>
      <c r="G187" s="526"/>
      <c r="H187" s="526"/>
      <c r="I187" s="526"/>
      <c r="J187" s="527"/>
      <c r="K187" s="527"/>
      <c r="L187" s="528"/>
      <c r="M187" s="86"/>
      <c r="N187" s="87"/>
      <c r="O187" s="255"/>
      <c r="P187" s="255"/>
      <c r="Q187" s="255"/>
      <c r="R187" s="255"/>
      <c r="S187" s="87"/>
      <c r="T187" s="87"/>
      <c r="U187" s="255"/>
      <c r="V187" s="255"/>
      <c r="W187" s="87"/>
      <c r="X187" s="255"/>
      <c r="Y187" s="255"/>
      <c r="Z187" s="87"/>
      <c r="AA187" s="87"/>
      <c r="AB187" s="255"/>
      <c r="AC187" s="255"/>
      <c r="AD187" s="255"/>
      <c r="AE187" s="255"/>
      <c r="AF187" s="255"/>
      <c r="AG187" s="87"/>
      <c r="AH187" s="87"/>
      <c r="AI187" s="255"/>
      <c r="AJ187" s="255"/>
      <c r="AK187" s="255"/>
      <c r="AL187" s="255"/>
      <c r="AM187" s="255"/>
      <c r="AN187" s="87"/>
      <c r="AO187" s="87"/>
      <c r="AP187" s="255"/>
      <c r="AQ187" s="184"/>
      <c r="AS187" s="43">
        <f t="shared" si="49"/>
        <v>0</v>
      </c>
      <c r="AT187" s="43">
        <f t="shared" si="49"/>
        <v>0</v>
      </c>
      <c r="AU187" s="43">
        <f t="shared" si="49"/>
        <v>0</v>
      </c>
      <c r="AV187" s="43">
        <f t="shared" si="49"/>
        <v>0</v>
      </c>
      <c r="AW187" s="43">
        <f t="shared" si="49"/>
        <v>0</v>
      </c>
      <c r="AX187" s="43">
        <f t="shared" si="49"/>
        <v>0</v>
      </c>
      <c r="AY187" s="43">
        <f t="shared" si="49"/>
        <v>0</v>
      </c>
      <c r="AZ187" s="43">
        <f t="shared" si="49"/>
        <v>0</v>
      </c>
      <c r="BA187" s="43">
        <f t="shared" si="49"/>
        <v>0</v>
      </c>
      <c r="BB187" s="43">
        <f t="shared" si="49"/>
        <v>0</v>
      </c>
      <c r="BC187" s="43">
        <f t="shared" si="49"/>
        <v>0</v>
      </c>
      <c r="BD187" s="43">
        <f t="shared" si="49"/>
        <v>0</v>
      </c>
      <c r="BE187" s="43">
        <f t="shared" si="49"/>
        <v>0</v>
      </c>
      <c r="BF187" s="43">
        <f t="shared" si="49"/>
        <v>0</v>
      </c>
      <c r="BG187" s="43">
        <f t="shared" si="49"/>
        <v>0</v>
      </c>
      <c r="BH187" s="43">
        <f t="shared" si="49"/>
        <v>0</v>
      </c>
      <c r="BI187" s="43">
        <f t="shared" si="48"/>
        <v>0</v>
      </c>
      <c r="BJ187" s="43">
        <f t="shared" si="48"/>
        <v>0</v>
      </c>
      <c r="BK187" s="43">
        <f t="shared" si="48"/>
        <v>0</v>
      </c>
      <c r="BL187" s="43">
        <f t="shared" si="48"/>
        <v>0</v>
      </c>
      <c r="BM187" s="43">
        <f t="shared" si="48"/>
        <v>0</v>
      </c>
      <c r="BN187" s="43">
        <f t="shared" si="48"/>
        <v>0</v>
      </c>
      <c r="BO187" s="43">
        <f t="shared" si="48"/>
        <v>0</v>
      </c>
      <c r="BP187" s="43">
        <f t="shared" si="48"/>
        <v>0</v>
      </c>
      <c r="BQ187" s="43">
        <f t="shared" si="48"/>
        <v>0</v>
      </c>
    </row>
    <row r="188" spans="3:69" ht="19.5" customHeight="1" thickBot="1">
      <c r="C188" s="529"/>
      <c r="D188" s="530"/>
      <c r="E188" s="531"/>
      <c r="F188" s="532"/>
      <c r="G188" s="532"/>
      <c r="H188" s="532"/>
      <c r="I188" s="532"/>
      <c r="J188" s="533"/>
      <c r="K188" s="533"/>
      <c r="L188" s="534"/>
      <c r="M188" s="88"/>
      <c r="N188" s="77"/>
      <c r="O188" s="259"/>
      <c r="P188" s="259"/>
      <c r="Q188" s="259"/>
      <c r="R188" s="259"/>
      <c r="S188" s="77"/>
      <c r="T188" s="77"/>
      <c r="U188" s="259"/>
      <c r="V188" s="259"/>
      <c r="W188" s="77"/>
      <c r="X188" s="259"/>
      <c r="Y188" s="259"/>
      <c r="Z188" s="77"/>
      <c r="AA188" s="77"/>
      <c r="AB188" s="259"/>
      <c r="AC188" s="259"/>
      <c r="AD188" s="259"/>
      <c r="AE188" s="259"/>
      <c r="AF188" s="259"/>
      <c r="AG188" s="77"/>
      <c r="AH188" s="77"/>
      <c r="AI188" s="259"/>
      <c r="AJ188" s="259"/>
      <c r="AK188" s="259"/>
      <c r="AL188" s="259"/>
      <c r="AM188" s="259"/>
      <c r="AN188" s="77"/>
      <c r="AO188" s="77"/>
      <c r="AP188" s="259"/>
      <c r="AQ188" s="185"/>
      <c r="AS188" s="43">
        <f t="shared" si="49"/>
        <v>0</v>
      </c>
      <c r="AT188" s="43">
        <f t="shared" si="49"/>
        <v>0</v>
      </c>
      <c r="AU188" s="43">
        <f t="shared" si="49"/>
        <v>0</v>
      </c>
      <c r="AV188" s="43">
        <f t="shared" si="49"/>
        <v>0</v>
      </c>
      <c r="AW188" s="43">
        <f t="shared" si="49"/>
        <v>0</v>
      </c>
      <c r="AX188" s="43">
        <f t="shared" si="49"/>
        <v>0</v>
      </c>
      <c r="AY188" s="43">
        <f t="shared" si="49"/>
        <v>0</v>
      </c>
      <c r="AZ188" s="43">
        <f t="shared" si="49"/>
        <v>0</v>
      </c>
      <c r="BA188" s="43">
        <f t="shared" si="49"/>
        <v>0</v>
      </c>
      <c r="BB188" s="43">
        <f t="shared" si="49"/>
        <v>0</v>
      </c>
      <c r="BC188" s="43">
        <f t="shared" si="49"/>
        <v>0</v>
      </c>
      <c r="BD188" s="43">
        <f t="shared" si="49"/>
        <v>0</v>
      </c>
      <c r="BE188" s="43">
        <f t="shared" si="49"/>
        <v>0</v>
      </c>
      <c r="BF188" s="43">
        <f t="shared" si="49"/>
        <v>0</v>
      </c>
      <c r="BG188" s="43">
        <f t="shared" si="49"/>
        <v>0</v>
      </c>
      <c r="BH188" s="43">
        <f t="shared" si="49"/>
        <v>0</v>
      </c>
      <c r="BI188" s="43">
        <f t="shared" si="48"/>
        <v>0</v>
      </c>
      <c r="BJ188" s="43">
        <f t="shared" si="48"/>
        <v>0</v>
      </c>
      <c r="BK188" s="43">
        <f t="shared" si="48"/>
        <v>0</v>
      </c>
      <c r="BL188" s="43">
        <f t="shared" si="48"/>
        <v>0</v>
      </c>
      <c r="BM188" s="43">
        <f t="shared" si="48"/>
        <v>0</v>
      </c>
      <c r="BN188" s="43">
        <f t="shared" si="48"/>
        <v>0</v>
      </c>
      <c r="BO188" s="43">
        <f t="shared" si="48"/>
        <v>0</v>
      </c>
      <c r="BP188" s="43">
        <f t="shared" si="48"/>
        <v>0</v>
      </c>
      <c r="BQ188" s="43">
        <f t="shared" si="48"/>
        <v>0</v>
      </c>
    </row>
    <row r="189" spans="3:69" ht="20.100000000000001" hidden="1" customHeight="1" thickBot="1">
      <c r="M189">
        <f>DTCHK(M175,YK!$J$3:$J$52)</f>
        <v>1</v>
      </c>
      <c r="N189">
        <f>DTCHK(N175,YK!$J$3:$J$52)</f>
        <v>1</v>
      </c>
      <c r="O189">
        <f>DTCHK(O175,YK!$J$3:$J$52)</f>
        <v>0</v>
      </c>
      <c r="P189">
        <f>DTCHK(P175,YK!$J$3:$J$52)</f>
        <v>0</v>
      </c>
      <c r="Q189">
        <f>DTCHK(Q175,YK!$J$3:$J$52)</f>
        <v>0</v>
      </c>
      <c r="R189">
        <f>DTCHK(R175,YK!$J$3:$J$52)</f>
        <v>0</v>
      </c>
      <c r="S189">
        <f>DTCHK(S175,YK!$J$3:$J$52)</f>
        <v>0</v>
      </c>
      <c r="T189">
        <f>DTCHK(T175,YK!$J$3:$J$52)</f>
        <v>0</v>
      </c>
      <c r="U189">
        <f>DTCHK(U175,YK!$J$3:$J$52)</f>
        <v>0</v>
      </c>
      <c r="V189">
        <f>DTCHK(V175,YK!$J$3:$J$52)</f>
        <v>0</v>
      </c>
      <c r="W189">
        <f>DTCHK(W175,YK!$J$3:$J$52)</f>
        <v>1</v>
      </c>
      <c r="X189">
        <f>DTCHK(X175,YK!$J$3:$J$52)</f>
        <v>0</v>
      </c>
      <c r="Y189">
        <f>DTCHK(Y175,YK!$J$3:$J$52)</f>
        <v>0</v>
      </c>
      <c r="Z189">
        <f>DTCHK(Z175,YK!$J$3:$J$52)</f>
        <v>0</v>
      </c>
      <c r="AA189">
        <f>DTCHK(AA175,YK!$J$3:$J$52)</f>
        <v>0</v>
      </c>
      <c r="AB189">
        <f>DTCHK(AB175,YK!$J$3:$J$52)</f>
        <v>0</v>
      </c>
      <c r="AC189">
        <f>DTCHK(AC175,YK!$J$3:$J$52)</f>
        <v>0</v>
      </c>
      <c r="AD189">
        <f>DTCHK(AD175,YK!$J$3:$J$52)</f>
        <v>0</v>
      </c>
      <c r="AE189">
        <f>DTCHK(AE175,YK!$J$3:$J$52)</f>
        <v>0</v>
      </c>
      <c r="AF189">
        <f>DTCHK(AF175,YK!$J$3:$J$52)</f>
        <v>0</v>
      </c>
      <c r="AG189">
        <f>DTCHK(AG175,YK!$J$3:$J$52)</f>
        <v>0</v>
      </c>
      <c r="AH189">
        <f>DTCHK(AH175,YK!$J$3:$J$52)</f>
        <v>0</v>
      </c>
      <c r="AI189">
        <f>DTCHK(AI175,YK!$J$3:$J$52)</f>
        <v>0</v>
      </c>
      <c r="AJ189">
        <f>DTCHK(AJ175,YK!$J$3:$J$52)</f>
        <v>0</v>
      </c>
      <c r="AK189">
        <f>DTCHK(AK175,YK!$J$3:$J$52)</f>
        <v>0</v>
      </c>
      <c r="AL189">
        <f>DTCHK(AL175,YK!$J$3:$J$52)</f>
        <v>0</v>
      </c>
      <c r="AM189">
        <f>DTCHK(AM175,YK!$J$3:$J$52)</f>
        <v>0</v>
      </c>
      <c r="AN189">
        <f>DTCHK(AN175,YK!$J$3:$J$52)</f>
        <v>0</v>
      </c>
      <c r="AO189">
        <f>DTCHK(AO175,YK!$J$3:$J$52)</f>
        <v>1</v>
      </c>
      <c r="AP189">
        <f>DTCHK(AP175,YK!$J$3:$J$52)</f>
        <v>0</v>
      </c>
      <c r="AQ189">
        <f>DTCHK(AQ175,YK!$J$3:$J$52)</f>
        <v>0</v>
      </c>
      <c r="AS189" s="43">
        <f t="shared" si="49"/>
        <v>0</v>
      </c>
      <c r="AT189" s="43">
        <f t="shared" si="49"/>
        <v>0</v>
      </c>
      <c r="AU189" s="43">
        <f t="shared" si="49"/>
        <v>0</v>
      </c>
      <c r="AV189" s="43">
        <f t="shared" si="49"/>
        <v>0</v>
      </c>
      <c r="AW189" s="43">
        <f t="shared" si="49"/>
        <v>0</v>
      </c>
      <c r="AX189" s="43">
        <f t="shared" si="49"/>
        <v>0</v>
      </c>
      <c r="AY189" s="43">
        <f t="shared" si="49"/>
        <v>0</v>
      </c>
      <c r="AZ189" s="43">
        <f t="shared" si="49"/>
        <v>0</v>
      </c>
      <c r="BA189" s="43">
        <f t="shared" si="49"/>
        <v>0</v>
      </c>
      <c r="BB189" s="43">
        <f t="shared" si="49"/>
        <v>0</v>
      </c>
      <c r="BC189" s="43">
        <f t="shared" si="49"/>
        <v>0</v>
      </c>
      <c r="BD189" s="43">
        <f t="shared" si="49"/>
        <v>0</v>
      </c>
      <c r="BE189" s="43">
        <f t="shared" si="49"/>
        <v>27</v>
      </c>
      <c r="BF189" s="43">
        <f t="shared" si="49"/>
        <v>27</v>
      </c>
      <c r="BG189" s="43">
        <f t="shared" si="49"/>
        <v>27</v>
      </c>
      <c r="BH189" s="43">
        <f t="shared" si="49"/>
        <v>27</v>
      </c>
      <c r="BI189" s="43">
        <f t="shared" si="48"/>
        <v>27</v>
      </c>
      <c r="BJ189" s="43">
        <f t="shared" si="48"/>
        <v>0</v>
      </c>
      <c r="BK189" s="43">
        <f t="shared" si="48"/>
        <v>27</v>
      </c>
      <c r="BL189" s="43">
        <f t="shared" si="48"/>
        <v>27</v>
      </c>
      <c r="BM189" s="43">
        <f t="shared" si="48"/>
        <v>27</v>
      </c>
      <c r="BN189" s="43">
        <f t="shared" si="48"/>
        <v>0</v>
      </c>
      <c r="BO189" s="43">
        <f t="shared" si="48"/>
        <v>0</v>
      </c>
      <c r="BP189" s="43">
        <f t="shared" si="48"/>
        <v>0</v>
      </c>
      <c r="BQ189" s="43">
        <f t="shared" si="48"/>
        <v>27</v>
      </c>
    </row>
    <row r="190" spans="3:69" ht="20.100000000000001" customHeight="1">
      <c r="C190" s="539" t="str">
        <f ca="1">Lists!F12</f>
        <v>Grudzień</v>
      </c>
      <c r="D190" s="540"/>
      <c r="E190" s="540"/>
      <c r="F190" s="540"/>
      <c r="G190" s="541"/>
    </row>
    <row r="191" spans="3:69" ht="20.100000000000001" customHeight="1" thickBot="1">
      <c r="C191" s="542"/>
      <c r="D191" s="543"/>
      <c r="E191" s="543"/>
      <c r="F191" s="543"/>
      <c r="G191" s="544"/>
    </row>
    <row r="192" spans="3:69" ht="20.100000000000001" hidden="1" customHeight="1">
      <c r="C192" s="31"/>
      <c r="D192" s="32"/>
      <c r="E192" s="32"/>
      <c r="F192" s="32"/>
      <c r="G192" s="32"/>
      <c r="M192" s="10">
        <f>M175+30</f>
        <v>46357</v>
      </c>
      <c r="N192" s="10">
        <f>M192+1</f>
        <v>46358</v>
      </c>
      <c r="O192" s="10">
        <f t="shared" ref="O192:AQ192" si="50">N192+1</f>
        <v>46359</v>
      </c>
      <c r="P192" s="10">
        <f t="shared" si="50"/>
        <v>46360</v>
      </c>
      <c r="Q192" s="10">
        <f t="shared" si="50"/>
        <v>46361</v>
      </c>
      <c r="R192" s="10">
        <f t="shared" si="50"/>
        <v>46362</v>
      </c>
      <c r="S192" s="10">
        <f t="shared" si="50"/>
        <v>46363</v>
      </c>
      <c r="T192" s="10">
        <f t="shared" si="50"/>
        <v>46364</v>
      </c>
      <c r="U192" s="10">
        <f t="shared" si="50"/>
        <v>46365</v>
      </c>
      <c r="V192" s="10">
        <f t="shared" si="50"/>
        <v>46366</v>
      </c>
      <c r="W192" s="10">
        <f t="shared" si="50"/>
        <v>46367</v>
      </c>
      <c r="X192" s="10">
        <f t="shared" si="50"/>
        <v>46368</v>
      </c>
      <c r="Y192" s="10">
        <f t="shared" si="50"/>
        <v>46369</v>
      </c>
      <c r="Z192" s="10">
        <f t="shared" si="50"/>
        <v>46370</v>
      </c>
      <c r="AA192" s="10">
        <f t="shared" si="50"/>
        <v>46371</v>
      </c>
      <c r="AB192" s="10">
        <f t="shared" si="50"/>
        <v>46372</v>
      </c>
      <c r="AC192" s="10">
        <f t="shared" si="50"/>
        <v>46373</v>
      </c>
      <c r="AD192" s="10">
        <f t="shared" si="50"/>
        <v>46374</v>
      </c>
      <c r="AE192" s="10">
        <f t="shared" si="50"/>
        <v>46375</v>
      </c>
      <c r="AF192" s="10">
        <f t="shared" si="50"/>
        <v>46376</v>
      </c>
      <c r="AG192" s="10">
        <f t="shared" si="50"/>
        <v>46377</v>
      </c>
      <c r="AH192" s="10">
        <f t="shared" si="50"/>
        <v>46378</v>
      </c>
      <c r="AI192" s="10">
        <f t="shared" si="50"/>
        <v>46379</v>
      </c>
      <c r="AJ192" s="10">
        <f t="shared" si="50"/>
        <v>46380</v>
      </c>
      <c r="AK192" s="10">
        <f t="shared" si="50"/>
        <v>46381</v>
      </c>
      <c r="AL192" s="10">
        <f t="shared" si="50"/>
        <v>46382</v>
      </c>
      <c r="AM192" s="10">
        <f t="shared" si="50"/>
        <v>46383</v>
      </c>
      <c r="AN192" s="10">
        <f t="shared" si="50"/>
        <v>46384</v>
      </c>
      <c r="AO192" s="10">
        <f t="shared" si="50"/>
        <v>46385</v>
      </c>
      <c r="AP192" s="10">
        <f t="shared" si="50"/>
        <v>46386</v>
      </c>
      <c r="AQ192" s="10">
        <f t="shared" si="50"/>
        <v>46387</v>
      </c>
    </row>
    <row r="193" spans="3:69" ht="20.100000000000001" hidden="1" customHeight="1" thickBot="1">
      <c r="C193" s="31"/>
      <c r="D193" s="32"/>
      <c r="E193" s="32"/>
      <c r="F193" s="32"/>
      <c r="G193" s="32"/>
      <c r="M193">
        <f t="shared" ref="M193:AQ193" si="51">WEEKDAY(M192,2)</f>
        <v>2</v>
      </c>
      <c r="N193">
        <f t="shared" si="51"/>
        <v>3</v>
      </c>
      <c r="O193">
        <f t="shared" si="51"/>
        <v>4</v>
      </c>
      <c r="P193">
        <f t="shared" si="51"/>
        <v>5</v>
      </c>
      <c r="Q193">
        <f t="shared" si="51"/>
        <v>6</v>
      </c>
      <c r="R193">
        <f t="shared" si="51"/>
        <v>7</v>
      </c>
      <c r="S193">
        <f t="shared" si="51"/>
        <v>1</v>
      </c>
      <c r="T193">
        <f t="shared" si="51"/>
        <v>2</v>
      </c>
      <c r="U193">
        <f t="shared" si="51"/>
        <v>3</v>
      </c>
      <c r="V193">
        <f t="shared" si="51"/>
        <v>4</v>
      </c>
      <c r="W193">
        <f t="shared" si="51"/>
        <v>5</v>
      </c>
      <c r="X193">
        <f t="shared" si="51"/>
        <v>6</v>
      </c>
      <c r="Y193">
        <f t="shared" si="51"/>
        <v>7</v>
      </c>
      <c r="Z193">
        <f t="shared" si="51"/>
        <v>1</v>
      </c>
      <c r="AA193">
        <f t="shared" si="51"/>
        <v>2</v>
      </c>
      <c r="AB193">
        <f t="shared" si="51"/>
        <v>3</v>
      </c>
      <c r="AC193">
        <f t="shared" si="51"/>
        <v>4</v>
      </c>
      <c r="AD193">
        <f t="shared" si="51"/>
        <v>5</v>
      </c>
      <c r="AE193">
        <f t="shared" si="51"/>
        <v>6</v>
      </c>
      <c r="AF193">
        <f t="shared" si="51"/>
        <v>7</v>
      </c>
      <c r="AG193">
        <f t="shared" si="51"/>
        <v>1</v>
      </c>
      <c r="AH193">
        <f t="shared" si="51"/>
        <v>2</v>
      </c>
      <c r="AI193">
        <f t="shared" si="51"/>
        <v>3</v>
      </c>
      <c r="AJ193">
        <f t="shared" si="51"/>
        <v>4</v>
      </c>
      <c r="AK193">
        <f t="shared" si="51"/>
        <v>5</v>
      </c>
      <c r="AL193">
        <f t="shared" si="51"/>
        <v>6</v>
      </c>
      <c r="AM193">
        <f t="shared" si="51"/>
        <v>7</v>
      </c>
      <c r="AN193">
        <f t="shared" si="51"/>
        <v>1</v>
      </c>
      <c r="AO193">
        <f t="shared" si="51"/>
        <v>2</v>
      </c>
      <c r="AP193">
        <f t="shared" si="51"/>
        <v>3</v>
      </c>
      <c r="AQ193">
        <f t="shared" si="51"/>
        <v>4</v>
      </c>
    </row>
    <row r="194" spans="3:69" ht="20.100000000000001" customHeight="1">
      <c r="C194" s="433" t="str">
        <f ca="1">INDIRECT("T!"&amp;T!A1&amp;"33")</f>
        <v>Etat</v>
      </c>
      <c r="D194" s="434"/>
      <c r="E194" s="427" t="s">
        <v>6</v>
      </c>
      <c r="F194" s="428"/>
      <c r="G194" s="428"/>
      <c r="H194" s="428"/>
      <c r="I194" s="428"/>
      <c r="J194" s="421" t="str">
        <f ca="1">INDIRECT("T!"&amp;T!A1&amp;"34")</f>
        <v>Pozycja</v>
      </c>
      <c r="K194" s="421"/>
      <c r="L194" s="549"/>
      <c r="M194" s="28">
        <v>1</v>
      </c>
      <c r="N194" s="28">
        <v>2</v>
      </c>
      <c r="O194" s="28">
        <v>3</v>
      </c>
      <c r="P194" s="28">
        <v>4</v>
      </c>
      <c r="Q194" s="28">
        <v>5</v>
      </c>
      <c r="R194" s="28">
        <v>6</v>
      </c>
      <c r="S194" s="28">
        <v>7</v>
      </c>
      <c r="T194" s="28">
        <v>8</v>
      </c>
      <c r="U194" s="28">
        <v>9</v>
      </c>
      <c r="V194" s="28">
        <v>10</v>
      </c>
      <c r="W194" s="28">
        <v>11</v>
      </c>
      <c r="X194" s="28">
        <v>12</v>
      </c>
      <c r="Y194" s="28">
        <v>13</v>
      </c>
      <c r="Z194" s="28">
        <v>14</v>
      </c>
      <c r="AA194" s="28">
        <v>15</v>
      </c>
      <c r="AB194" s="28">
        <v>16</v>
      </c>
      <c r="AC194" s="28">
        <v>17</v>
      </c>
      <c r="AD194" s="28">
        <v>18</v>
      </c>
      <c r="AE194" s="28">
        <v>19</v>
      </c>
      <c r="AF194" s="28">
        <v>20</v>
      </c>
      <c r="AG194" s="28">
        <v>21</v>
      </c>
      <c r="AH194" s="28">
        <v>22</v>
      </c>
      <c r="AI194" s="28">
        <v>23</v>
      </c>
      <c r="AJ194" s="28">
        <v>24</v>
      </c>
      <c r="AK194" s="28">
        <v>25</v>
      </c>
      <c r="AL194" s="28">
        <v>26</v>
      </c>
      <c r="AM194" s="28">
        <v>27</v>
      </c>
      <c r="AN194" s="28">
        <v>28</v>
      </c>
      <c r="AO194" s="28">
        <v>29</v>
      </c>
      <c r="AP194" s="28">
        <v>30</v>
      </c>
      <c r="AQ194" s="28">
        <v>31</v>
      </c>
    </row>
    <row r="195" spans="3:69" ht="20.100000000000001" customHeight="1" thickBot="1">
      <c r="C195" s="545"/>
      <c r="D195" s="546"/>
      <c r="E195" s="547"/>
      <c r="F195" s="548"/>
      <c r="G195" s="548"/>
      <c r="H195" s="548"/>
      <c r="I195" s="548"/>
      <c r="J195" s="424"/>
      <c r="K195" s="424"/>
      <c r="L195" s="550"/>
      <c r="M195" s="29" t="str">
        <f ca="1">IF(M193=1,INDIRECT("T!"&amp;T!$A$1&amp;"26"),IF(M193=2,INDIRECT("T!"&amp;T!$A$1&amp;"27"),IF(M193=3,INDIRECT("T!"&amp;T!$A$1&amp;"28"),IF(M193=4,INDIRECT("T!"&amp;T!$A$1&amp;"29"),IF(M193=5,INDIRECT("T!"&amp;T!$A$1&amp;"30"),IF(M193=6,INDIRECT("T!"&amp;T!$A$1&amp;"31"),IF(M193=7,INDIRECT("T!"&amp;T!$A$1&amp;"32"),0)))))))</f>
        <v>Wt</v>
      </c>
      <c r="N195" s="29" t="str">
        <f ca="1">IF(N193=1,INDIRECT("T!"&amp;T!$A$1&amp;"26"),IF(N193=2,INDIRECT("T!"&amp;T!$A$1&amp;"27"),IF(N193=3,INDIRECT("T!"&amp;T!$A$1&amp;"28"),IF(N193=4,INDIRECT("T!"&amp;T!$A$1&amp;"29"),IF(N193=5,INDIRECT("T!"&amp;T!$A$1&amp;"30"),IF(N193=6,INDIRECT("T!"&amp;T!$A$1&amp;"31"),IF(N193=7,INDIRECT("T!"&amp;T!$A$1&amp;"32"),0)))))))</f>
        <v>Śr</v>
      </c>
      <c r="O195" s="29" t="str">
        <f ca="1">IF(O193=1,INDIRECT("T!"&amp;T!$A$1&amp;"26"),IF(O193=2,INDIRECT("T!"&amp;T!$A$1&amp;"27"),IF(O193=3,INDIRECT("T!"&amp;T!$A$1&amp;"28"),IF(O193=4,INDIRECT("T!"&amp;T!$A$1&amp;"29"),IF(O193=5,INDIRECT("T!"&amp;T!$A$1&amp;"30"),IF(O193=6,INDIRECT("T!"&amp;T!$A$1&amp;"31"),IF(O193=7,INDIRECT("T!"&amp;T!$A$1&amp;"32"),0)))))))</f>
        <v>Cz</v>
      </c>
      <c r="P195" s="29" t="str">
        <f ca="1">IF(P193=1,INDIRECT("T!"&amp;T!$A$1&amp;"26"),IF(P193=2,INDIRECT("T!"&amp;T!$A$1&amp;"27"),IF(P193=3,INDIRECT("T!"&amp;T!$A$1&amp;"28"),IF(P193=4,INDIRECT("T!"&amp;T!$A$1&amp;"29"),IF(P193=5,INDIRECT("T!"&amp;T!$A$1&amp;"30"),IF(P193=6,INDIRECT("T!"&amp;T!$A$1&amp;"31"),IF(P193=7,INDIRECT("T!"&amp;T!$A$1&amp;"32"),0)))))))</f>
        <v>Pt</v>
      </c>
      <c r="Q195" s="29" t="str">
        <f ca="1">IF(Q193=1,INDIRECT("T!"&amp;T!$A$1&amp;"26"),IF(Q193=2,INDIRECT("T!"&amp;T!$A$1&amp;"27"),IF(Q193=3,INDIRECT("T!"&amp;T!$A$1&amp;"28"),IF(Q193=4,INDIRECT("T!"&amp;T!$A$1&amp;"29"),IF(Q193=5,INDIRECT("T!"&amp;T!$A$1&amp;"30"),IF(Q193=6,INDIRECT("T!"&amp;T!$A$1&amp;"31"),IF(Q193=7,INDIRECT("T!"&amp;T!$A$1&amp;"32"),0)))))))</f>
        <v>So</v>
      </c>
      <c r="R195" s="29" t="str">
        <f ca="1">IF(R193=1,INDIRECT("T!"&amp;T!$A$1&amp;"26"),IF(R193=2,INDIRECT("T!"&amp;T!$A$1&amp;"27"),IF(R193=3,INDIRECT("T!"&amp;T!$A$1&amp;"28"),IF(R193=4,INDIRECT("T!"&amp;T!$A$1&amp;"29"),IF(R193=5,INDIRECT("T!"&amp;T!$A$1&amp;"30"),IF(R193=6,INDIRECT("T!"&amp;T!$A$1&amp;"31"),IF(R193=7,INDIRECT("T!"&amp;T!$A$1&amp;"32"),0)))))))</f>
        <v>Nd</v>
      </c>
      <c r="S195" s="29" t="str">
        <f ca="1">IF(S193=1,INDIRECT("T!"&amp;T!$A$1&amp;"26"),IF(S193=2,INDIRECT("T!"&amp;T!$A$1&amp;"27"),IF(S193=3,INDIRECT("T!"&amp;T!$A$1&amp;"28"),IF(S193=4,INDIRECT("T!"&amp;T!$A$1&amp;"29"),IF(S193=5,INDIRECT("T!"&amp;T!$A$1&amp;"30"),IF(S193=6,INDIRECT("T!"&amp;T!$A$1&amp;"31"),IF(S193=7,INDIRECT("T!"&amp;T!$A$1&amp;"32"),0)))))))</f>
        <v>Pn</v>
      </c>
      <c r="T195" s="29" t="str">
        <f ca="1">IF(T193=1,INDIRECT("T!"&amp;T!$A$1&amp;"26"),IF(T193=2,INDIRECT("T!"&amp;T!$A$1&amp;"27"),IF(T193=3,INDIRECT("T!"&amp;T!$A$1&amp;"28"),IF(T193=4,INDIRECT("T!"&amp;T!$A$1&amp;"29"),IF(T193=5,INDIRECT("T!"&amp;T!$A$1&amp;"30"),IF(T193=6,INDIRECT("T!"&amp;T!$A$1&amp;"31"),IF(T193=7,INDIRECT("T!"&amp;T!$A$1&amp;"32"),0)))))))</f>
        <v>Wt</v>
      </c>
      <c r="U195" s="29" t="str">
        <f ca="1">IF(U193=1,INDIRECT("T!"&amp;T!$A$1&amp;"26"),IF(U193=2,INDIRECT("T!"&amp;T!$A$1&amp;"27"),IF(U193=3,INDIRECT("T!"&amp;T!$A$1&amp;"28"),IF(U193=4,INDIRECT("T!"&amp;T!$A$1&amp;"29"),IF(U193=5,INDIRECT("T!"&amp;T!$A$1&amp;"30"),IF(U193=6,INDIRECT("T!"&amp;T!$A$1&amp;"31"),IF(U193=7,INDIRECT("T!"&amp;T!$A$1&amp;"32"),0)))))))</f>
        <v>Śr</v>
      </c>
      <c r="V195" s="29" t="str">
        <f ca="1">IF(V193=1,INDIRECT("T!"&amp;T!$A$1&amp;"26"),IF(V193=2,INDIRECT("T!"&amp;T!$A$1&amp;"27"),IF(V193=3,INDIRECT("T!"&amp;T!$A$1&amp;"28"),IF(V193=4,INDIRECT("T!"&amp;T!$A$1&amp;"29"),IF(V193=5,INDIRECT("T!"&amp;T!$A$1&amp;"30"),IF(V193=6,INDIRECT("T!"&amp;T!$A$1&amp;"31"),IF(V193=7,INDIRECT("T!"&amp;T!$A$1&amp;"32"),0)))))))</f>
        <v>Cz</v>
      </c>
      <c r="W195" s="29" t="str">
        <f ca="1">IF(W193=1,INDIRECT("T!"&amp;T!$A$1&amp;"26"),IF(W193=2,INDIRECT("T!"&amp;T!$A$1&amp;"27"),IF(W193=3,INDIRECT("T!"&amp;T!$A$1&amp;"28"),IF(W193=4,INDIRECT("T!"&amp;T!$A$1&amp;"29"),IF(W193=5,INDIRECT("T!"&amp;T!$A$1&amp;"30"),IF(W193=6,INDIRECT("T!"&amp;T!$A$1&amp;"31"),IF(W193=7,INDIRECT("T!"&amp;T!$A$1&amp;"32"),0)))))))</f>
        <v>Pt</v>
      </c>
      <c r="X195" s="29" t="str">
        <f ca="1">IF(X193=1,INDIRECT("T!"&amp;T!$A$1&amp;"26"),IF(X193=2,INDIRECT("T!"&amp;T!$A$1&amp;"27"),IF(X193=3,INDIRECT("T!"&amp;T!$A$1&amp;"28"),IF(X193=4,INDIRECT("T!"&amp;T!$A$1&amp;"29"),IF(X193=5,INDIRECT("T!"&amp;T!$A$1&amp;"30"),IF(X193=6,INDIRECT("T!"&amp;T!$A$1&amp;"31"),IF(X193=7,INDIRECT("T!"&amp;T!$A$1&amp;"32"),0)))))))</f>
        <v>So</v>
      </c>
      <c r="Y195" s="29" t="str">
        <f ca="1">IF(Y193=1,INDIRECT("T!"&amp;T!$A$1&amp;"26"),IF(Y193=2,INDIRECT("T!"&amp;T!$A$1&amp;"27"),IF(Y193=3,INDIRECT("T!"&amp;T!$A$1&amp;"28"),IF(Y193=4,INDIRECT("T!"&amp;T!$A$1&amp;"29"),IF(Y193=5,INDIRECT("T!"&amp;T!$A$1&amp;"30"),IF(Y193=6,INDIRECT("T!"&amp;T!$A$1&amp;"31"),IF(Y193=7,INDIRECT("T!"&amp;T!$A$1&amp;"32"),0)))))))</f>
        <v>Nd</v>
      </c>
      <c r="Z195" s="29" t="str">
        <f ca="1">IF(Z193=1,INDIRECT("T!"&amp;T!$A$1&amp;"26"),IF(Z193=2,INDIRECT("T!"&amp;T!$A$1&amp;"27"),IF(Z193=3,INDIRECT("T!"&amp;T!$A$1&amp;"28"),IF(Z193=4,INDIRECT("T!"&amp;T!$A$1&amp;"29"),IF(Z193=5,INDIRECT("T!"&amp;T!$A$1&amp;"30"),IF(Z193=6,INDIRECT("T!"&amp;T!$A$1&amp;"31"),IF(Z193=7,INDIRECT("T!"&amp;T!$A$1&amp;"32"),0)))))))</f>
        <v>Pn</v>
      </c>
      <c r="AA195" s="29" t="str">
        <f ca="1">IF(AA193=1,INDIRECT("T!"&amp;T!$A$1&amp;"26"),IF(AA193=2,INDIRECT("T!"&amp;T!$A$1&amp;"27"),IF(AA193=3,INDIRECT("T!"&amp;T!$A$1&amp;"28"),IF(AA193=4,INDIRECT("T!"&amp;T!$A$1&amp;"29"),IF(AA193=5,INDIRECT("T!"&amp;T!$A$1&amp;"30"),IF(AA193=6,INDIRECT("T!"&amp;T!$A$1&amp;"31"),IF(AA193=7,INDIRECT("T!"&amp;T!$A$1&amp;"32"),0)))))))</f>
        <v>Wt</v>
      </c>
      <c r="AB195" s="29" t="str">
        <f ca="1">IF(AB193=1,INDIRECT("T!"&amp;T!$A$1&amp;"26"),IF(AB193=2,INDIRECT("T!"&amp;T!$A$1&amp;"27"),IF(AB193=3,INDIRECT("T!"&amp;T!$A$1&amp;"28"),IF(AB193=4,INDIRECT("T!"&amp;T!$A$1&amp;"29"),IF(AB193=5,INDIRECT("T!"&amp;T!$A$1&amp;"30"),IF(AB193=6,INDIRECT("T!"&amp;T!$A$1&amp;"31"),IF(AB193=7,INDIRECT("T!"&amp;T!$A$1&amp;"32"),0)))))))</f>
        <v>Śr</v>
      </c>
      <c r="AC195" s="29" t="str">
        <f ca="1">IF(AC193=1,INDIRECT("T!"&amp;T!$A$1&amp;"26"),IF(AC193=2,INDIRECT("T!"&amp;T!$A$1&amp;"27"),IF(AC193=3,INDIRECT("T!"&amp;T!$A$1&amp;"28"),IF(AC193=4,INDIRECT("T!"&amp;T!$A$1&amp;"29"),IF(AC193=5,INDIRECT("T!"&amp;T!$A$1&amp;"30"),IF(AC193=6,INDIRECT("T!"&amp;T!$A$1&amp;"31"),IF(AC193=7,INDIRECT("T!"&amp;T!$A$1&amp;"32"),0)))))))</f>
        <v>Cz</v>
      </c>
      <c r="AD195" s="29" t="str">
        <f ca="1">IF(AD193=1,INDIRECT("T!"&amp;T!$A$1&amp;"26"),IF(AD193=2,INDIRECT("T!"&amp;T!$A$1&amp;"27"),IF(AD193=3,INDIRECT("T!"&amp;T!$A$1&amp;"28"),IF(AD193=4,INDIRECT("T!"&amp;T!$A$1&amp;"29"),IF(AD193=5,INDIRECT("T!"&amp;T!$A$1&amp;"30"),IF(AD193=6,INDIRECT("T!"&amp;T!$A$1&amp;"31"),IF(AD193=7,INDIRECT("T!"&amp;T!$A$1&amp;"32"),0)))))))</f>
        <v>Pt</v>
      </c>
      <c r="AE195" s="29" t="str">
        <f ca="1">IF(AE193=1,INDIRECT("T!"&amp;T!$A$1&amp;"26"),IF(AE193=2,INDIRECT("T!"&amp;T!$A$1&amp;"27"),IF(AE193=3,INDIRECT("T!"&amp;T!$A$1&amp;"28"),IF(AE193=4,INDIRECT("T!"&amp;T!$A$1&amp;"29"),IF(AE193=5,INDIRECT("T!"&amp;T!$A$1&amp;"30"),IF(AE193=6,INDIRECT("T!"&amp;T!$A$1&amp;"31"),IF(AE193=7,INDIRECT("T!"&amp;T!$A$1&amp;"32"),0)))))))</f>
        <v>So</v>
      </c>
      <c r="AF195" s="29" t="str">
        <f ca="1">IF(AF193=1,INDIRECT("T!"&amp;T!$A$1&amp;"26"),IF(AF193=2,INDIRECT("T!"&amp;T!$A$1&amp;"27"),IF(AF193=3,INDIRECT("T!"&amp;T!$A$1&amp;"28"),IF(AF193=4,INDIRECT("T!"&amp;T!$A$1&amp;"29"),IF(AF193=5,INDIRECT("T!"&amp;T!$A$1&amp;"30"),IF(AF193=6,INDIRECT("T!"&amp;T!$A$1&amp;"31"),IF(AF193=7,INDIRECT("T!"&amp;T!$A$1&amp;"32"),0)))))))</f>
        <v>Nd</v>
      </c>
      <c r="AG195" s="29" t="str">
        <f ca="1">IF(AG193=1,INDIRECT("T!"&amp;T!$A$1&amp;"26"),IF(AG193=2,INDIRECT("T!"&amp;T!$A$1&amp;"27"),IF(AG193=3,INDIRECT("T!"&amp;T!$A$1&amp;"28"),IF(AG193=4,INDIRECT("T!"&amp;T!$A$1&amp;"29"),IF(AG193=5,INDIRECT("T!"&amp;T!$A$1&amp;"30"),IF(AG193=6,INDIRECT("T!"&amp;T!$A$1&amp;"31"),IF(AG193=7,INDIRECT("T!"&amp;T!$A$1&amp;"32"),0)))))))</f>
        <v>Pn</v>
      </c>
      <c r="AH195" s="29" t="str">
        <f ca="1">IF(AH193=1,INDIRECT("T!"&amp;T!$A$1&amp;"26"),IF(AH193=2,INDIRECT("T!"&amp;T!$A$1&amp;"27"),IF(AH193=3,INDIRECT("T!"&amp;T!$A$1&amp;"28"),IF(AH193=4,INDIRECT("T!"&amp;T!$A$1&amp;"29"),IF(AH193=5,INDIRECT("T!"&amp;T!$A$1&amp;"30"),IF(AH193=6,INDIRECT("T!"&amp;T!$A$1&amp;"31"),IF(AH193=7,INDIRECT("T!"&amp;T!$A$1&amp;"32"),0)))))))</f>
        <v>Wt</v>
      </c>
      <c r="AI195" s="29" t="str">
        <f ca="1">IF(AI193=1,INDIRECT("T!"&amp;T!$A$1&amp;"26"),IF(AI193=2,INDIRECT("T!"&amp;T!$A$1&amp;"27"),IF(AI193=3,INDIRECT("T!"&amp;T!$A$1&amp;"28"),IF(AI193=4,INDIRECT("T!"&amp;T!$A$1&amp;"29"),IF(AI193=5,INDIRECT("T!"&amp;T!$A$1&amp;"30"),IF(AI193=6,INDIRECT("T!"&amp;T!$A$1&amp;"31"),IF(AI193=7,INDIRECT("T!"&amp;T!$A$1&amp;"32"),0)))))))</f>
        <v>Śr</v>
      </c>
      <c r="AJ195" s="29" t="str">
        <f ca="1">IF(AJ193=1,INDIRECT("T!"&amp;T!$A$1&amp;"26"),IF(AJ193=2,INDIRECT("T!"&amp;T!$A$1&amp;"27"),IF(AJ193=3,INDIRECT("T!"&amp;T!$A$1&amp;"28"),IF(AJ193=4,INDIRECT("T!"&amp;T!$A$1&amp;"29"),IF(AJ193=5,INDIRECT("T!"&amp;T!$A$1&amp;"30"),IF(AJ193=6,INDIRECT("T!"&amp;T!$A$1&amp;"31"),IF(AJ193=7,INDIRECT("T!"&amp;T!$A$1&amp;"32"),0)))))))</f>
        <v>Cz</v>
      </c>
      <c r="AK195" s="29" t="str">
        <f ca="1">IF(AK193=1,INDIRECT("T!"&amp;T!$A$1&amp;"26"),IF(AK193=2,INDIRECT("T!"&amp;T!$A$1&amp;"27"),IF(AK193=3,INDIRECT("T!"&amp;T!$A$1&amp;"28"),IF(AK193=4,INDIRECT("T!"&amp;T!$A$1&amp;"29"),IF(AK193=5,INDIRECT("T!"&amp;T!$A$1&amp;"30"),IF(AK193=6,INDIRECT("T!"&amp;T!$A$1&amp;"31"),IF(AK193=7,INDIRECT("T!"&amp;T!$A$1&amp;"32"),0)))))))</f>
        <v>Pt</v>
      </c>
      <c r="AL195" s="29" t="str">
        <f ca="1">IF(AL193=1,INDIRECT("T!"&amp;T!$A$1&amp;"26"),IF(AL193=2,INDIRECT("T!"&amp;T!$A$1&amp;"27"),IF(AL193=3,INDIRECT("T!"&amp;T!$A$1&amp;"28"),IF(AL193=4,INDIRECT("T!"&amp;T!$A$1&amp;"29"),IF(AL193=5,INDIRECT("T!"&amp;T!$A$1&amp;"30"),IF(AL193=6,INDIRECT("T!"&amp;T!$A$1&amp;"31"),IF(AL193=7,INDIRECT("T!"&amp;T!$A$1&amp;"32"),0)))))))</f>
        <v>So</v>
      </c>
      <c r="AM195" s="29" t="str">
        <f ca="1">IF(AM193=1,INDIRECT("T!"&amp;T!$A$1&amp;"26"),IF(AM193=2,INDIRECT("T!"&amp;T!$A$1&amp;"27"),IF(AM193=3,INDIRECT("T!"&amp;T!$A$1&amp;"28"),IF(AM193=4,INDIRECT("T!"&amp;T!$A$1&amp;"29"),IF(AM193=5,INDIRECT("T!"&amp;T!$A$1&amp;"30"),IF(AM193=6,INDIRECT("T!"&amp;T!$A$1&amp;"31"),IF(AM193=7,INDIRECT("T!"&amp;T!$A$1&amp;"32"),0)))))))</f>
        <v>Nd</v>
      </c>
      <c r="AN195" s="29" t="str">
        <f ca="1">IF(AN193=1,INDIRECT("T!"&amp;T!$A$1&amp;"26"),IF(AN193=2,INDIRECT("T!"&amp;T!$A$1&amp;"27"),IF(AN193=3,INDIRECT("T!"&amp;T!$A$1&amp;"28"),IF(AN193=4,INDIRECT("T!"&amp;T!$A$1&amp;"29"),IF(AN193=5,INDIRECT("T!"&amp;T!$A$1&amp;"30"),IF(AN193=6,INDIRECT("T!"&amp;T!$A$1&amp;"31"),IF(AN193=7,INDIRECT("T!"&amp;T!$A$1&amp;"32"),0)))))))</f>
        <v>Pn</v>
      </c>
      <c r="AO195" s="29" t="str">
        <f ca="1">IF(AO193=1,INDIRECT("T!"&amp;T!$A$1&amp;"26"),IF(AO193=2,INDIRECT("T!"&amp;T!$A$1&amp;"27"),IF(AO193=3,INDIRECT("T!"&amp;T!$A$1&amp;"28"),IF(AO193=4,INDIRECT("T!"&amp;T!$A$1&amp;"29"),IF(AO193=5,INDIRECT("T!"&amp;T!$A$1&amp;"30"),IF(AO193=6,INDIRECT("T!"&amp;T!$A$1&amp;"31"),IF(AO193=7,INDIRECT("T!"&amp;T!$A$1&amp;"32"),0)))))))</f>
        <v>Wt</v>
      </c>
      <c r="AP195" s="29" t="str">
        <f ca="1">IF(AP193=1,INDIRECT("T!"&amp;T!$A$1&amp;"26"),IF(AP193=2,INDIRECT("T!"&amp;T!$A$1&amp;"27"),IF(AP193=3,INDIRECT("T!"&amp;T!$A$1&amp;"28"),IF(AP193=4,INDIRECT("T!"&amp;T!$A$1&amp;"29"),IF(AP193=5,INDIRECT("T!"&amp;T!$A$1&amp;"30"),IF(AP193=6,INDIRECT("T!"&amp;T!$A$1&amp;"31"),IF(AP193=7,INDIRECT("T!"&amp;T!$A$1&amp;"32"),0)))))))</f>
        <v>Śr</v>
      </c>
      <c r="AQ195" s="29" t="str">
        <f ca="1">IF(AQ193=1,INDIRECT("T!"&amp;T!$A$1&amp;"26"),IF(AQ193=2,INDIRECT("T!"&amp;T!$A$1&amp;"27"),IF(AQ193=3,INDIRECT("T!"&amp;T!$A$1&amp;"28"),IF(AQ193=4,INDIRECT("T!"&amp;T!$A$1&amp;"29"),IF(AQ193=5,INDIRECT("T!"&amp;T!$A$1&amp;"30"),IF(AQ193=6,INDIRECT("T!"&amp;T!$A$1&amp;"31"),IF(AQ193=7,INDIRECT("T!"&amp;T!$A$1&amp;"32"),0)))))))</f>
        <v>Cz</v>
      </c>
    </row>
    <row r="196" spans="3:69" ht="20.100000000000001" customHeight="1">
      <c r="C196" s="523"/>
      <c r="D196" s="524"/>
      <c r="E196" s="535"/>
      <c r="F196" s="536"/>
      <c r="G196" s="536"/>
      <c r="H196" s="536"/>
      <c r="I196" s="536"/>
      <c r="J196" s="537"/>
      <c r="K196" s="537"/>
      <c r="L196" s="538"/>
      <c r="M196" s="256"/>
      <c r="N196" s="257"/>
      <c r="O196" s="257"/>
      <c r="P196" s="85"/>
      <c r="Q196" s="85"/>
      <c r="R196" s="85"/>
      <c r="S196" s="257"/>
      <c r="T196" s="257"/>
      <c r="U196" s="257"/>
      <c r="V196" s="257"/>
      <c r="W196" s="257"/>
      <c r="X196" s="85"/>
      <c r="Y196" s="85"/>
      <c r="Z196" s="257"/>
      <c r="AA196" s="257"/>
      <c r="AB196" s="257"/>
      <c r="AC196" s="257"/>
      <c r="AD196" s="257"/>
      <c r="AE196" s="85"/>
      <c r="AF196" s="85"/>
      <c r="AG196" s="85"/>
      <c r="AH196" s="257"/>
      <c r="AI196" s="257"/>
      <c r="AJ196" s="85"/>
      <c r="AK196" s="85"/>
      <c r="AL196" s="85"/>
      <c r="AM196" s="85"/>
      <c r="AN196" s="257"/>
      <c r="AO196" s="257"/>
      <c r="AP196" s="257"/>
      <c r="AQ196" s="183"/>
      <c r="AS196" s="43">
        <f t="shared" ref="AS196:BH205" si="52">COUNTIFS($M196:$AQ196,AS$2)</f>
        <v>0</v>
      </c>
      <c r="AT196" s="43">
        <f t="shared" si="52"/>
        <v>0</v>
      </c>
      <c r="AU196" s="43">
        <f t="shared" si="52"/>
        <v>0</v>
      </c>
      <c r="AV196" s="43">
        <f t="shared" si="52"/>
        <v>0</v>
      </c>
      <c r="AW196" s="43">
        <f t="shared" si="52"/>
        <v>0</v>
      </c>
      <c r="AX196" s="43">
        <f t="shared" si="52"/>
        <v>0</v>
      </c>
      <c r="AY196" s="43">
        <f t="shared" si="52"/>
        <v>0</v>
      </c>
      <c r="AZ196" s="43">
        <f t="shared" si="52"/>
        <v>0</v>
      </c>
      <c r="BA196" s="43">
        <f t="shared" si="52"/>
        <v>0</v>
      </c>
      <c r="BB196" s="43">
        <f t="shared" si="52"/>
        <v>0</v>
      </c>
      <c r="BC196" s="43">
        <f t="shared" si="52"/>
        <v>0</v>
      </c>
      <c r="BD196" s="43">
        <f t="shared" si="52"/>
        <v>0</v>
      </c>
      <c r="BE196" s="43">
        <f t="shared" si="52"/>
        <v>0</v>
      </c>
      <c r="BF196" s="43">
        <f t="shared" si="52"/>
        <v>0</v>
      </c>
      <c r="BG196" s="43">
        <f t="shared" si="52"/>
        <v>0</v>
      </c>
      <c r="BH196" s="43">
        <f t="shared" si="52"/>
        <v>0</v>
      </c>
      <c r="BI196" s="43">
        <f t="shared" ref="BI196:BQ205" si="53">COUNTIFS($M196:$AQ196,BI$2)</f>
        <v>0</v>
      </c>
      <c r="BJ196" s="43">
        <f t="shared" si="53"/>
        <v>0</v>
      </c>
      <c r="BK196" s="43">
        <f t="shared" si="53"/>
        <v>0</v>
      </c>
      <c r="BL196" s="43">
        <f t="shared" si="53"/>
        <v>0</v>
      </c>
      <c r="BM196" s="43">
        <f t="shared" si="53"/>
        <v>0</v>
      </c>
      <c r="BN196" s="43">
        <f t="shared" si="53"/>
        <v>0</v>
      </c>
      <c r="BO196" s="43">
        <f t="shared" si="53"/>
        <v>0</v>
      </c>
      <c r="BP196" s="43">
        <f t="shared" si="53"/>
        <v>0</v>
      </c>
      <c r="BQ196" s="43">
        <f t="shared" si="53"/>
        <v>0</v>
      </c>
    </row>
    <row r="197" spans="3:69" ht="20.100000000000001" customHeight="1">
      <c r="C197" s="523"/>
      <c r="D197" s="524"/>
      <c r="E197" s="525"/>
      <c r="F197" s="526"/>
      <c r="G197" s="526"/>
      <c r="H197" s="526"/>
      <c r="I197" s="526"/>
      <c r="J197" s="527"/>
      <c r="K197" s="527"/>
      <c r="L197" s="528"/>
      <c r="M197" s="254"/>
      <c r="N197" s="255"/>
      <c r="O197" s="255"/>
      <c r="P197" s="87"/>
      <c r="Q197" s="87"/>
      <c r="R197" s="87"/>
      <c r="S197" s="255"/>
      <c r="T197" s="255"/>
      <c r="U197" s="255"/>
      <c r="V197" s="255"/>
      <c r="W197" s="255"/>
      <c r="X197" s="87"/>
      <c r="Y197" s="87"/>
      <c r="Z197" s="255"/>
      <c r="AA197" s="255"/>
      <c r="AB197" s="255"/>
      <c r="AC197" s="255"/>
      <c r="AD197" s="255"/>
      <c r="AE197" s="87"/>
      <c r="AF197" s="87"/>
      <c r="AG197" s="87"/>
      <c r="AH197" s="255"/>
      <c r="AI197" s="255"/>
      <c r="AJ197" s="87"/>
      <c r="AK197" s="87"/>
      <c r="AL197" s="87"/>
      <c r="AM197" s="87"/>
      <c r="AN197" s="255"/>
      <c r="AO197" s="255"/>
      <c r="AP197" s="255"/>
      <c r="AQ197" s="184"/>
      <c r="AS197" s="43">
        <f t="shared" si="52"/>
        <v>0</v>
      </c>
      <c r="AT197" s="43">
        <f t="shared" si="52"/>
        <v>0</v>
      </c>
      <c r="AU197" s="43">
        <f t="shared" si="52"/>
        <v>0</v>
      </c>
      <c r="AV197" s="43">
        <f t="shared" si="52"/>
        <v>0</v>
      </c>
      <c r="AW197" s="43">
        <f t="shared" si="52"/>
        <v>0</v>
      </c>
      <c r="AX197" s="43">
        <f t="shared" si="52"/>
        <v>0</v>
      </c>
      <c r="AY197" s="43">
        <f t="shared" si="52"/>
        <v>0</v>
      </c>
      <c r="AZ197" s="43">
        <f t="shared" si="52"/>
        <v>0</v>
      </c>
      <c r="BA197" s="43">
        <f t="shared" si="52"/>
        <v>0</v>
      </c>
      <c r="BB197" s="43">
        <f t="shared" si="52"/>
        <v>0</v>
      </c>
      <c r="BC197" s="43">
        <f t="shared" si="52"/>
        <v>0</v>
      </c>
      <c r="BD197" s="43">
        <f t="shared" si="52"/>
        <v>0</v>
      </c>
      <c r="BE197" s="43">
        <f t="shared" si="52"/>
        <v>0</v>
      </c>
      <c r="BF197" s="43">
        <f t="shared" si="52"/>
        <v>0</v>
      </c>
      <c r="BG197" s="43">
        <f t="shared" si="52"/>
        <v>0</v>
      </c>
      <c r="BH197" s="43">
        <f t="shared" si="52"/>
        <v>0</v>
      </c>
      <c r="BI197" s="43">
        <f t="shared" si="53"/>
        <v>0</v>
      </c>
      <c r="BJ197" s="43">
        <f t="shared" si="53"/>
        <v>0</v>
      </c>
      <c r="BK197" s="43">
        <f t="shared" si="53"/>
        <v>0</v>
      </c>
      <c r="BL197" s="43">
        <f t="shared" si="53"/>
        <v>0</v>
      </c>
      <c r="BM197" s="43">
        <f t="shared" si="53"/>
        <v>0</v>
      </c>
      <c r="BN197" s="43">
        <f t="shared" si="53"/>
        <v>0</v>
      </c>
      <c r="BO197" s="43">
        <f t="shared" si="53"/>
        <v>0</v>
      </c>
      <c r="BP197" s="43">
        <f t="shared" si="53"/>
        <v>0</v>
      </c>
      <c r="BQ197" s="43">
        <f t="shared" si="53"/>
        <v>0</v>
      </c>
    </row>
    <row r="198" spans="3:69" ht="20.100000000000001" customHeight="1">
      <c r="C198" s="523"/>
      <c r="D198" s="524"/>
      <c r="E198" s="525"/>
      <c r="F198" s="526"/>
      <c r="G198" s="526"/>
      <c r="H198" s="526"/>
      <c r="I198" s="526"/>
      <c r="J198" s="527"/>
      <c r="K198" s="527"/>
      <c r="L198" s="528"/>
      <c r="M198" s="254"/>
      <c r="N198" s="255"/>
      <c r="O198" s="255"/>
      <c r="P198" s="87"/>
      <c r="Q198" s="87"/>
      <c r="R198" s="87"/>
      <c r="S198" s="255"/>
      <c r="T198" s="255"/>
      <c r="U198" s="255"/>
      <c r="V198" s="255"/>
      <c r="W198" s="255"/>
      <c r="X198" s="87"/>
      <c r="Y198" s="87"/>
      <c r="Z198" s="255"/>
      <c r="AA198" s="255"/>
      <c r="AB198" s="255"/>
      <c r="AC198" s="255"/>
      <c r="AD198" s="255"/>
      <c r="AE198" s="87"/>
      <c r="AF198" s="87"/>
      <c r="AG198" s="87"/>
      <c r="AH198" s="255"/>
      <c r="AI198" s="255"/>
      <c r="AJ198" s="87"/>
      <c r="AK198" s="87"/>
      <c r="AL198" s="87"/>
      <c r="AM198" s="87"/>
      <c r="AN198" s="255"/>
      <c r="AO198" s="255"/>
      <c r="AP198" s="255"/>
      <c r="AQ198" s="184"/>
      <c r="AS198" s="43">
        <f t="shared" si="52"/>
        <v>0</v>
      </c>
      <c r="AT198" s="43">
        <f t="shared" si="52"/>
        <v>0</v>
      </c>
      <c r="AU198" s="43">
        <f t="shared" si="52"/>
        <v>0</v>
      </c>
      <c r="AV198" s="43">
        <f t="shared" si="52"/>
        <v>0</v>
      </c>
      <c r="AW198" s="43">
        <f t="shared" si="52"/>
        <v>0</v>
      </c>
      <c r="AX198" s="43">
        <f t="shared" si="52"/>
        <v>0</v>
      </c>
      <c r="AY198" s="43">
        <f t="shared" si="52"/>
        <v>0</v>
      </c>
      <c r="AZ198" s="43">
        <f t="shared" si="52"/>
        <v>0</v>
      </c>
      <c r="BA198" s="43">
        <f t="shared" si="52"/>
        <v>0</v>
      </c>
      <c r="BB198" s="43">
        <f t="shared" si="52"/>
        <v>0</v>
      </c>
      <c r="BC198" s="43">
        <f t="shared" si="52"/>
        <v>0</v>
      </c>
      <c r="BD198" s="43">
        <f t="shared" si="52"/>
        <v>0</v>
      </c>
      <c r="BE198" s="43">
        <f t="shared" si="52"/>
        <v>0</v>
      </c>
      <c r="BF198" s="43">
        <f t="shared" si="52"/>
        <v>0</v>
      </c>
      <c r="BG198" s="43">
        <f t="shared" si="52"/>
        <v>0</v>
      </c>
      <c r="BH198" s="43">
        <f t="shared" si="52"/>
        <v>0</v>
      </c>
      <c r="BI198" s="43">
        <f t="shared" si="53"/>
        <v>0</v>
      </c>
      <c r="BJ198" s="43">
        <f t="shared" si="53"/>
        <v>0</v>
      </c>
      <c r="BK198" s="43">
        <f t="shared" si="53"/>
        <v>0</v>
      </c>
      <c r="BL198" s="43">
        <f t="shared" si="53"/>
        <v>0</v>
      </c>
      <c r="BM198" s="43">
        <f t="shared" si="53"/>
        <v>0</v>
      </c>
      <c r="BN198" s="43">
        <f t="shared" si="53"/>
        <v>0</v>
      </c>
      <c r="BO198" s="43">
        <f t="shared" si="53"/>
        <v>0</v>
      </c>
      <c r="BP198" s="43">
        <f t="shared" si="53"/>
        <v>0</v>
      </c>
      <c r="BQ198" s="43">
        <f t="shared" si="53"/>
        <v>0</v>
      </c>
    </row>
    <row r="199" spans="3:69" ht="20.100000000000001" customHeight="1">
      <c r="C199" s="523"/>
      <c r="D199" s="524"/>
      <c r="E199" s="525"/>
      <c r="F199" s="526"/>
      <c r="G199" s="526"/>
      <c r="H199" s="526"/>
      <c r="I199" s="526"/>
      <c r="J199" s="527"/>
      <c r="K199" s="527"/>
      <c r="L199" s="528"/>
      <c r="M199" s="254"/>
      <c r="N199" s="255"/>
      <c r="O199" s="255"/>
      <c r="P199" s="87"/>
      <c r="Q199" s="87"/>
      <c r="R199" s="87"/>
      <c r="S199" s="255"/>
      <c r="T199" s="255"/>
      <c r="U199" s="255"/>
      <c r="V199" s="255"/>
      <c r="W199" s="255"/>
      <c r="X199" s="87"/>
      <c r="Y199" s="87"/>
      <c r="Z199" s="255"/>
      <c r="AA199" s="255"/>
      <c r="AB199" s="255"/>
      <c r="AC199" s="255"/>
      <c r="AD199" s="255"/>
      <c r="AE199" s="87"/>
      <c r="AF199" s="87"/>
      <c r="AG199" s="87"/>
      <c r="AH199" s="255"/>
      <c r="AI199" s="255"/>
      <c r="AJ199" s="87"/>
      <c r="AK199" s="87"/>
      <c r="AL199" s="87"/>
      <c r="AM199" s="87"/>
      <c r="AN199" s="255"/>
      <c r="AO199" s="255"/>
      <c r="AP199" s="255"/>
      <c r="AQ199" s="184"/>
      <c r="AS199" s="43">
        <f t="shared" si="52"/>
        <v>0</v>
      </c>
      <c r="AT199" s="43">
        <f t="shared" si="52"/>
        <v>0</v>
      </c>
      <c r="AU199" s="43">
        <f t="shared" si="52"/>
        <v>0</v>
      </c>
      <c r="AV199" s="43">
        <f t="shared" si="52"/>
        <v>0</v>
      </c>
      <c r="AW199" s="43">
        <f t="shared" si="52"/>
        <v>0</v>
      </c>
      <c r="AX199" s="43">
        <f t="shared" si="52"/>
        <v>0</v>
      </c>
      <c r="AY199" s="43">
        <f t="shared" si="52"/>
        <v>0</v>
      </c>
      <c r="AZ199" s="43">
        <f t="shared" si="52"/>
        <v>0</v>
      </c>
      <c r="BA199" s="43">
        <f t="shared" si="52"/>
        <v>0</v>
      </c>
      <c r="BB199" s="43">
        <f t="shared" si="52"/>
        <v>0</v>
      </c>
      <c r="BC199" s="43">
        <f t="shared" si="52"/>
        <v>0</v>
      </c>
      <c r="BD199" s="43">
        <f t="shared" si="52"/>
        <v>0</v>
      </c>
      <c r="BE199" s="43">
        <f t="shared" si="52"/>
        <v>0</v>
      </c>
      <c r="BF199" s="43">
        <f t="shared" si="52"/>
        <v>0</v>
      </c>
      <c r="BG199" s="43">
        <f t="shared" si="52"/>
        <v>0</v>
      </c>
      <c r="BH199" s="43">
        <f t="shared" si="52"/>
        <v>0</v>
      </c>
      <c r="BI199" s="43">
        <f t="shared" si="53"/>
        <v>0</v>
      </c>
      <c r="BJ199" s="43">
        <f t="shared" si="53"/>
        <v>0</v>
      </c>
      <c r="BK199" s="43">
        <f t="shared" si="53"/>
        <v>0</v>
      </c>
      <c r="BL199" s="43">
        <f t="shared" si="53"/>
        <v>0</v>
      </c>
      <c r="BM199" s="43">
        <f t="shared" si="53"/>
        <v>0</v>
      </c>
      <c r="BN199" s="43">
        <f t="shared" si="53"/>
        <v>0</v>
      </c>
      <c r="BO199" s="43">
        <f t="shared" si="53"/>
        <v>0</v>
      </c>
      <c r="BP199" s="43">
        <f t="shared" si="53"/>
        <v>0</v>
      </c>
      <c r="BQ199" s="43">
        <f t="shared" si="53"/>
        <v>0</v>
      </c>
    </row>
    <row r="200" spans="3:69" ht="20.100000000000001" customHeight="1">
      <c r="C200" s="523"/>
      <c r="D200" s="524"/>
      <c r="E200" s="525"/>
      <c r="F200" s="526"/>
      <c r="G200" s="526"/>
      <c r="H200" s="526"/>
      <c r="I200" s="526"/>
      <c r="J200" s="527"/>
      <c r="K200" s="527"/>
      <c r="L200" s="528"/>
      <c r="M200" s="254"/>
      <c r="N200" s="255"/>
      <c r="O200" s="255"/>
      <c r="P200" s="87"/>
      <c r="Q200" s="87"/>
      <c r="R200" s="87"/>
      <c r="S200" s="255"/>
      <c r="T200" s="255"/>
      <c r="U200" s="255"/>
      <c r="V200" s="255"/>
      <c r="W200" s="255"/>
      <c r="X200" s="87"/>
      <c r="Y200" s="87"/>
      <c r="Z200" s="255"/>
      <c r="AA200" s="255"/>
      <c r="AB200" s="255"/>
      <c r="AC200" s="255"/>
      <c r="AD200" s="255"/>
      <c r="AE200" s="87"/>
      <c r="AF200" s="87"/>
      <c r="AG200" s="87"/>
      <c r="AH200" s="255"/>
      <c r="AI200" s="255"/>
      <c r="AJ200" s="87"/>
      <c r="AK200" s="87"/>
      <c r="AL200" s="87"/>
      <c r="AM200" s="87"/>
      <c r="AN200" s="255"/>
      <c r="AO200" s="255"/>
      <c r="AP200" s="255"/>
      <c r="AQ200" s="184"/>
      <c r="AS200" s="43">
        <f t="shared" si="52"/>
        <v>0</v>
      </c>
      <c r="AT200" s="43">
        <f t="shared" si="52"/>
        <v>0</v>
      </c>
      <c r="AU200" s="43">
        <f t="shared" si="52"/>
        <v>0</v>
      </c>
      <c r="AV200" s="43">
        <f t="shared" si="52"/>
        <v>0</v>
      </c>
      <c r="AW200" s="43">
        <f t="shared" si="52"/>
        <v>0</v>
      </c>
      <c r="AX200" s="43">
        <f t="shared" si="52"/>
        <v>0</v>
      </c>
      <c r="AY200" s="43">
        <f t="shared" si="52"/>
        <v>0</v>
      </c>
      <c r="AZ200" s="43">
        <f t="shared" si="52"/>
        <v>0</v>
      </c>
      <c r="BA200" s="43">
        <f t="shared" si="52"/>
        <v>0</v>
      </c>
      <c r="BB200" s="43">
        <f t="shared" si="52"/>
        <v>0</v>
      </c>
      <c r="BC200" s="43">
        <f t="shared" si="52"/>
        <v>0</v>
      </c>
      <c r="BD200" s="43">
        <f t="shared" si="52"/>
        <v>0</v>
      </c>
      <c r="BE200" s="43">
        <f t="shared" si="52"/>
        <v>0</v>
      </c>
      <c r="BF200" s="43">
        <f t="shared" si="52"/>
        <v>0</v>
      </c>
      <c r="BG200" s="43">
        <f t="shared" si="52"/>
        <v>0</v>
      </c>
      <c r="BH200" s="43">
        <f t="shared" si="52"/>
        <v>0</v>
      </c>
      <c r="BI200" s="43">
        <f t="shared" si="53"/>
        <v>0</v>
      </c>
      <c r="BJ200" s="43">
        <f t="shared" si="53"/>
        <v>0</v>
      </c>
      <c r="BK200" s="43">
        <f t="shared" si="53"/>
        <v>0</v>
      </c>
      <c r="BL200" s="43">
        <f t="shared" si="53"/>
        <v>0</v>
      </c>
      <c r="BM200" s="43">
        <f t="shared" si="53"/>
        <v>0</v>
      </c>
      <c r="BN200" s="43">
        <f t="shared" si="53"/>
        <v>0</v>
      </c>
      <c r="BO200" s="43">
        <f t="shared" si="53"/>
        <v>0</v>
      </c>
      <c r="BP200" s="43">
        <f t="shared" si="53"/>
        <v>0</v>
      </c>
      <c r="BQ200" s="43">
        <f t="shared" si="53"/>
        <v>0</v>
      </c>
    </row>
    <row r="201" spans="3:69" ht="20.100000000000001" customHeight="1">
      <c r="C201" s="523"/>
      <c r="D201" s="524"/>
      <c r="E201" s="525"/>
      <c r="F201" s="526"/>
      <c r="G201" s="526"/>
      <c r="H201" s="526"/>
      <c r="I201" s="526"/>
      <c r="J201" s="527"/>
      <c r="K201" s="527"/>
      <c r="L201" s="528"/>
      <c r="M201" s="254"/>
      <c r="N201" s="255"/>
      <c r="O201" s="255"/>
      <c r="P201" s="87"/>
      <c r="Q201" s="87"/>
      <c r="R201" s="87"/>
      <c r="S201" s="255"/>
      <c r="T201" s="255"/>
      <c r="U201" s="255"/>
      <c r="V201" s="255"/>
      <c r="W201" s="255"/>
      <c r="X201" s="87"/>
      <c r="Y201" s="87"/>
      <c r="Z201" s="255"/>
      <c r="AA201" s="255"/>
      <c r="AB201" s="255"/>
      <c r="AC201" s="255"/>
      <c r="AD201" s="255"/>
      <c r="AE201" s="87"/>
      <c r="AF201" s="87"/>
      <c r="AG201" s="87"/>
      <c r="AH201" s="255"/>
      <c r="AI201" s="255"/>
      <c r="AJ201" s="87"/>
      <c r="AK201" s="87"/>
      <c r="AL201" s="87"/>
      <c r="AM201" s="87"/>
      <c r="AN201" s="255"/>
      <c r="AO201" s="255"/>
      <c r="AP201" s="255"/>
      <c r="AQ201" s="184"/>
      <c r="AS201" s="43">
        <f t="shared" si="52"/>
        <v>0</v>
      </c>
      <c r="AT201" s="43">
        <f t="shared" si="52"/>
        <v>0</v>
      </c>
      <c r="AU201" s="43">
        <f t="shared" si="52"/>
        <v>0</v>
      </c>
      <c r="AV201" s="43">
        <f t="shared" si="52"/>
        <v>0</v>
      </c>
      <c r="AW201" s="43">
        <f t="shared" si="52"/>
        <v>0</v>
      </c>
      <c r="AX201" s="43">
        <f t="shared" si="52"/>
        <v>0</v>
      </c>
      <c r="AY201" s="43">
        <f t="shared" si="52"/>
        <v>0</v>
      </c>
      <c r="AZ201" s="43">
        <f t="shared" si="52"/>
        <v>0</v>
      </c>
      <c r="BA201" s="43">
        <f t="shared" si="52"/>
        <v>0</v>
      </c>
      <c r="BB201" s="43">
        <f t="shared" si="52"/>
        <v>0</v>
      </c>
      <c r="BC201" s="43">
        <f t="shared" si="52"/>
        <v>0</v>
      </c>
      <c r="BD201" s="43">
        <f t="shared" si="52"/>
        <v>0</v>
      </c>
      <c r="BE201" s="43">
        <f t="shared" si="52"/>
        <v>0</v>
      </c>
      <c r="BF201" s="43">
        <f t="shared" si="52"/>
        <v>0</v>
      </c>
      <c r="BG201" s="43">
        <f t="shared" si="52"/>
        <v>0</v>
      </c>
      <c r="BH201" s="43">
        <f t="shared" si="52"/>
        <v>0</v>
      </c>
      <c r="BI201" s="43">
        <f t="shared" si="53"/>
        <v>0</v>
      </c>
      <c r="BJ201" s="43">
        <f t="shared" si="53"/>
        <v>0</v>
      </c>
      <c r="BK201" s="43">
        <f t="shared" si="53"/>
        <v>0</v>
      </c>
      <c r="BL201" s="43">
        <f t="shared" si="53"/>
        <v>0</v>
      </c>
      <c r="BM201" s="43">
        <f t="shared" si="53"/>
        <v>0</v>
      </c>
      <c r="BN201" s="43">
        <f t="shared" si="53"/>
        <v>0</v>
      </c>
      <c r="BO201" s="43">
        <f t="shared" si="53"/>
        <v>0</v>
      </c>
      <c r="BP201" s="43">
        <f t="shared" si="53"/>
        <v>0</v>
      </c>
      <c r="BQ201" s="43">
        <f t="shared" si="53"/>
        <v>0</v>
      </c>
    </row>
    <row r="202" spans="3:69" ht="20.100000000000001" customHeight="1">
      <c r="C202" s="523"/>
      <c r="D202" s="524"/>
      <c r="E202" s="525"/>
      <c r="F202" s="526"/>
      <c r="G202" s="526"/>
      <c r="H202" s="526"/>
      <c r="I202" s="526"/>
      <c r="J202" s="527"/>
      <c r="K202" s="527"/>
      <c r="L202" s="528"/>
      <c r="M202" s="254"/>
      <c r="N202" s="255"/>
      <c r="O202" s="255"/>
      <c r="P202" s="87"/>
      <c r="Q202" s="87"/>
      <c r="R202" s="87"/>
      <c r="S202" s="255"/>
      <c r="T202" s="255"/>
      <c r="U202" s="255"/>
      <c r="V202" s="255"/>
      <c r="W202" s="255"/>
      <c r="X202" s="87"/>
      <c r="Y202" s="87"/>
      <c r="Z202" s="255"/>
      <c r="AA202" s="255"/>
      <c r="AB202" s="255"/>
      <c r="AC202" s="255"/>
      <c r="AD202" s="255"/>
      <c r="AE202" s="87"/>
      <c r="AF202" s="87"/>
      <c r="AG202" s="87"/>
      <c r="AH202" s="255"/>
      <c r="AI202" s="255"/>
      <c r="AJ202" s="87"/>
      <c r="AK202" s="87"/>
      <c r="AL202" s="87"/>
      <c r="AM202" s="87"/>
      <c r="AN202" s="255"/>
      <c r="AO202" s="255"/>
      <c r="AP202" s="255"/>
      <c r="AQ202" s="184"/>
      <c r="AS202" s="43">
        <f t="shared" si="52"/>
        <v>0</v>
      </c>
      <c r="AT202" s="43">
        <f t="shared" si="52"/>
        <v>0</v>
      </c>
      <c r="AU202" s="43">
        <f t="shared" si="52"/>
        <v>0</v>
      </c>
      <c r="AV202" s="43">
        <f t="shared" si="52"/>
        <v>0</v>
      </c>
      <c r="AW202" s="43">
        <f t="shared" si="52"/>
        <v>0</v>
      </c>
      <c r="AX202" s="43">
        <f t="shared" si="52"/>
        <v>0</v>
      </c>
      <c r="AY202" s="43">
        <f t="shared" si="52"/>
        <v>0</v>
      </c>
      <c r="AZ202" s="43">
        <f t="shared" si="52"/>
        <v>0</v>
      </c>
      <c r="BA202" s="43">
        <f t="shared" si="52"/>
        <v>0</v>
      </c>
      <c r="BB202" s="43">
        <f t="shared" si="52"/>
        <v>0</v>
      </c>
      <c r="BC202" s="43">
        <f t="shared" si="52"/>
        <v>0</v>
      </c>
      <c r="BD202" s="43">
        <f t="shared" si="52"/>
        <v>0</v>
      </c>
      <c r="BE202" s="43">
        <f t="shared" si="52"/>
        <v>0</v>
      </c>
      <c r="BF202" s="43">
        <f t="shared" si="52"/>
        <v>0</v>
      </c>
      <c r="BG202" s="43">
        <f t="shared" si="52"/>
        <v>0</v>
      </c>
      <c r="BH202" s="43">
        <f t="shared" si="52"/>
        <v>0</v>
      </c>
      <c r="BI202" s="43">
        <f t="shared" si="53"/>
        <v>0</v>
      </c>
      <c r="BJ202" s="43">
        <f t="shared" si="53"/>
        <v>0</v>
      </c>
      <c r="BK202" s="43">
        <f t="shared" si="53"/>
        <v>0</v>
      </c>
      <c r="BL202" s="43">
        <f t="shared" si="53"/>
        <v>0</v>
      </c>
      <c r="BM202" s="43">
        <f t="shared" si="53"/>
        <v>0</v>
      </c>
      <c r="BN202" s="43">
        <f t="shared" si="53"/>
        <v>0</v>
      </c>
      <c r="BO202" s="43">
        <f t="shared" si="53"/>
        <v>0</v>
      </c>
      <c r="BP202" s="43">
        <f t="shared" si="53"/>
        <v>0</v>
      </c>
      <c r="BQ202" s="43">
        <f t="shared" si="53"/>
        <v>0</v>
      </c>
    </row>
    <row r="203" spans="3:69" ht="20.100000000000001" customHeight="1">
      <c r="C203" s="523"/>
      <c r="D203" s="524"/>
      <c r="E203" s="525"/>
      <c r="F203" s="526"/>
      <c r="G203" s="526"/>
      <c r="H203" s="526"/>
      <c r="I203" s="526"/>
      <c r="J203" s="527"/>
      <c r="K203" s="527"/>
      <c r="L203" s="528"/>
      <c r="M203" s="254"/>
      <c r="N203" s="255"/>
      <c r="O203" s="255"/>
      <c r="P203" s="87"/>
      <c r="Q203" s="87"/>
      <c r="R203" s="87"/>
      <c r="S203" s="255"/>
      <c r="T203" s="255"/>
      <c r="U203" s="255"/>
      <c r="V203" s="255"/>
      <c r="W203" s="255"/>
      <c r="X203" s="87"/>
      <c r="Y203" s="87"/>
      <c r="Z203" s="255"/>
      <c r="AA203" s="255"/>
      <c r="AB203" s="255"/>
      <c r="AC203" s="255"/>
      <c r="AD203" s="255"/>
      <c r="AE203" s="87"/>
      <c r="AF203" s="87"/>
      <c r="AG203" s="87"/>
      <c r="AH203" s="255"/>
      <c r="AI203" s="255"/>
      <c r="AJ203" s="87"/>
      <c r="AK203" s="87"/>
      <c r="AL203" s="87"/>
      <c r="AM203" s="87"/>
      <c r="AN203" s="255"/>
      <c r="AO203" s="255"/>
      <c r="AP203" s="255"/>
      <c r="AQ203" s="184"/>
      <c r="AS203" s="43">
        <f t="shared" si="52"/>
        <v>0</v>
      </c>
      <c r="AT203" s="43">
        <f t="shared" si="52"/>
        <v>0</v>
      </c>
      <c r="AU203" s="43">
        <f t="shared" si="52"/>
        <v>0</v>
      </c>
      <c r="AV203" s="43">
        <f t="shared" si="52"/>
        <v>0</v>
      </c>
      <c r="AW203" s="43">
        <f t="shared" si="52"/>
        <v>0</v>
      </c>
      <c r="AX203" s="43">
        <f t="shared" si="52"/>
        <v>0</v>
      </c>
      <c r="AY203" s="43">
        <f t="shared" si="52"/>
        <v>0</v>
      </c>
      <c r="AZ203" s="43">
        <f t="shared" si="52"/>
        <v>0</v>
      </c>
      <c r="BA203" s="43">
        <f t="shared" si="52"/>
        <v>0</v>
      </c>
      <c r="BB203" s="43">
        <f t="shared" si="52"/>
        <v>0</v>
      </c>
      <c r="BC203" s="43">
        <f t="shared" si="52"/>
        <v>0</v>
      </c>
      <c r="BD203" s="43">
        <f t="shared" si="52"/>
        <v>0</v>
      </c>
      <c r="BE203" s="43">
        <f t="shared" si="52"/>
        <v>0</v>
      </c>
      <c r="BF203" s="43">
        <f t="shared" si="52"/>
        <v>0</v>
      </c>
      <c r="BG203" s="43">
        <f t="shared" si="52"/>
        <v>0</v>
      </c>
      <c r="BH203" s="43">
        <f t="shared" si="52"/>
        <v>0</v>
      </c>
      <c r="BI203" s="43">
        <f t="shared" si="53"/>
        <v>0</v>
      </c>
      <c r="BJ203" s="43">
        <f t="shared" si="53"/>
        <v>0</v>
      </c>
      <c r="BK203" s="43">
        <f t="shared" si="53"/>
        <v>0</v>
      </c>
      <c r="BL203" s="43">
        <f t="shared" si="53"/>
        <v>0</v>
      </c>
      <c r="BM203" s="43">
        <f t="shared" si="53"/>
        <v>0</v>
      </c>
      <c r="BN203" s="43">
        <f t="shared" si="53"/>
        <v>0</v>
      </c>
      <c r="BO203" s="43">
        <f t="shared" si="53"/>
        <v>0</v>
      </c>
      <c r="BP203" s="43">
        <f t="shared" si="53"/>
        <v>0</v>
      </c>
      <c r="BQ203" s="43">
        <f t="shared" si="53"/>
        <v>0</v>
      </c>
    </row>
    <row r="204" spans="3:69" ht="20.100000000000001" customHeight="1">
      <c r="C204" s="523"/>
      <c r="D204" s="524"/>
      <c r="E204" s="525"/>
      <c r="F204" s="526"/>
      <c r="G204" s="526"/>
      <c r="H204" s="526"/>
      <c r="I204" s="526"/>
      <c r="J204" s="527"/>
      <c r="K204" s="527"/>
      <c r="L204" s="528"/>
      <c r="M204" s="254"/>
      <c r="N204" s="255"/>
      <c r="O204" s="255"/>
      <c r="P204" s="87"/>
      <c r="Q204" s="87"/>
      <c r="R204" s="87"/>
      <c r="S204" s="255"/>
      <c r="T204" s="255"/>
      <c r="U204" s="255"/>
      <c r="V204" s="255"/>
      <c r="W204" s="255"/>
      <c r="X204" s="87"/>
      <c r="Y204" s="87"/>
      <c r="Z204" s="255"/>
      <c r="AA204" s="255"/>
      <c r="AB204" s="255"/>
      <c r="AC204" s="255"/>
      <c r="AD204" s="255"/>
      <c r="AE204" s="87"/>
      <c r="AF204" s="87"/>
      <c r="AG204" s="87"/>
      <c r="AH204" s="255"/>
      <c r="AI204" s="255"/>
      <c r="AJ204" s="87"/>
      <c r="AK204" s="87"/>
      <c r="AL204" s="87"/>
      <c r="AM204" s="87"/>
      <c r="AN204" s="255"/>
      <c r="AO204" s="255"/>
      <c r="AP204" s="255"/>
      <c r="AQ204" s="184"/>
      <c r="AS204" s="43">
        <f t="shared" si="52"/>
        <v>0</v>
      </c>
      <c r="AT204" s="43">
        <f t="shared" si="52"/>
        <v>0</v>
      </c>
      <c r="AU204" s="43">
        <f t="shared" si="52"/>
        <v>0</v>
      </c>
      <c r="AV204" s="43">
        <f t="shared" si="52"/>
        <v>0</v>
      </c>
      <c r="AW204" s="43">
        <f t="shared" si="52"/>
        <v>0</v>
      </c>
      <c r="AX204" s="43">
        <f t="shared" si="52"/>
        <v>0</v>
      </c>
      <c r="AY204" s="43">
        <f t="shared" si="52"/>
        <v>0</v>
      </c>
      <c r="AZ204" s="43">
        <f t="shared" si="52"/>
        <v>0</v>
      </c>
      <c r="BA204" s="43">
        <f t="shared" si="52"/>
        <v>0</v>
      </c>
      <c r="BB204" s="43">
        <f t="shared" si="52"/>
        <v>0</v>
      </c>
      <c r="BC204" s="43">
        <f t="shared" si="52"/>
        <v>0</v>
      </c>
      <c r="BD204" s="43">
        <f t="shared" si="52"/>
        <v>0</v>
      </c>
      <c r="BE204" s="43">
        <f t="shared" si="52"/>
        <v>0</v>
      </c>
      <c r="BF204" s="43">
        <f t="shared" si="52"/>
        <v>0</v>
      </c>
      <c r="BG204" s="43">
        <f t="shared" si="52"/>
        <v>0</v>
      </c>
      <c r="BH204" s="43">
        <f t="shared" si="52"/>
        <v>0</v>
      </c>
      <c r="BI204" s="43">
        <f t="shared" si="53"/>
        <v>0</v>
      </c>
      <c r="BJ204" s="43">
        <f t="shared" si="53"/>
        <v>0</v>
      </c>
      <c r="BK204" s="43">
        <f t="shared" si="53"/>
        <v>0</v>
      </c>
      <c r="BL204" s="43">
        <f t="shared" si="53"/>
        <v>0</v>
      </c>
      <c r="BM204" s="43">
        <f t="shared" si="53"/>
        <v>0</v>
      </c>
      <c r="BN204" s="43">
        <f t="shared" si="53"/>
        <v>0</v>
      </c>
      <c r="BO204" s="43">
        <f t="shared" si="53"/>
        <v>0</v>
      </c>
      <c r="BP204" s="43">
        <f t="shared" si="53"/>
        <v>0</v>
      </c>
      <c r="BQ204" s="43">
        <f t="shared" si="53"/>
        <v>0</v>
      </c>
    </row>
    <row r="205" spans="3:69" ht="20.25" customHeight="1" thickBot="1">
      <c r="C205" s="529"/>
      <c r="D205" s="530"/>
      <c r="E205" s="531"/>
      <c r="F205" s="532"/>
      <c r="G205" s="532"/>
      <c r="H205" s="532"/>
      <c r="I205" s="532"/>
      <c r="J205" s="533"/>
      <c r="K205" s="533"/>
      <c r="L205" s="534"/>
      <c r="M205" s="258"/>
      <c r="N205" s="259"/>
      <c r="O205" s="259"/>
      <c r="P205" s="77"/>
      <c r="Q205" s="77"/>
      <c r="R205" s="77"/>
      <c r="S205" s="259"/>
      <c r="T205" s="259"/>
      <c r="U205" s="259"/>
      <c r="V205" s="259"/>
      <c r="W205" s="259"/>
      <c r="X205" s="77"/>
      <c r="Y205" s="77"/>
      <c r="Z205" s="259"/>
      <c r="AA205" s="259"/>
      <c r="AB205" s="259"/>
      <c r="AC205" s="259"/>
      <c r="AD205" s="259"/>
      <c r="AE205" s="77"/>
      <c r="AF205" s="77"/>
      <c r="AG205" s="77"/>
      <c r="AH205" s="259"/>
      <c r="AI205" s="259"/>
      <c r="AJ205" s="77"/>
      <c r="AK205" s="77"/>
      <c r="AL205" s="77"/>
      <c r="AM205" s="77"/>
      <c r="AN205" s="259"/>
      <c r="AO205" s="259"/>
      <c r="AP205" s="259"/>
      <c r="AQ205" s="185"/>
      <c r="AS205" s="43">
        <f t="shared" si="52"/>
        <v>0</v>
      </c>
      <c r="AT205" s="43">
        <f t="shared" si="52"/>
        <v>0</v>
      </c>
      <c r="AU205" s="43">
        <f t="shared" si="52"/>
        <v>0</v>
      </c>
      <c r="AV205" s="43">
        <f t="shared" si="52"/>
        <v>0</v>
      </c>
      <c r="AW205" s="43">
        <f t="shared" si="52"/>
        <v>0</v>
      </c>
      <c r="AX205" s="43">
        <f t="shared" si="52"/>
        <v>0</v>
      </c>
      <c r="AY205" s="43">
        <f t="shared" si="52"/>
        <v>0</v>
      </c>
      <c r="AZ205" s="43">
        <f t="shared" si="52"/>
        <v>0</v>
      </c>
      <c r="BA205" s="43">
        <f t="shared" si="52"/>
        <v>0</v>
      </c>
      <c r="BB205" s="43">
        <f t="shared" si="52"/>
        <v>0</v>
      </c>
      <c r="BC205" s="43">
        <f t="shared" si="52"/>
        <v>0</v>
      </c>
      <c r="BD205" s="43">
        <f t="shared" si="52"/>
        <v>0</v>
      </c>
      <c r="BE205" s="43">
        <f t="shared" si="52"/>
        <v>0</v>
      </c>
      <c r="BF205" s="43">
        <f t="shared" si="52"/>
        <v>0</v>
      </c>
      <c r="BG205" s="43">
        <f t="shared" si="52"/>
        <v>0</v>
      </c>
      <c r="BH205" s="43">
        <f t="shared" si="52"/>
        <v>0</v>
      </c>
      <c r="BI205" s="43">
        <f t="shared" si="53"/>
        <v>0</v>
      </c>
      <c r="BJ205" s="43">
        <f t="shared" si="53"/>
        <v>0</v>
      </c>
      <c r="BK205" s="43">
        <f t="shared" si="53"/>
        <v>0</v>
      </c>
      <c r="BL205" s="43">
        <f t="shared" si="53"/>
        <v>0</v>
      </c>
      <c r="BM205" s="43">
        <f t="shared" si="53"/>
        <v>0</v>
      </c>
      <c r="BN205" s="43">
        <f t="shared" si="53"/>
        <v>0</v>
      </c>
      <c r="BO205" s="43">
        <f t="shared" si="53"/>
        <v>0</v>
      </c>
      <c r="BP205" s="43">
        <f t="shared" si="53"/>
        <v>0</v>
      </c>
      <c r="BQ205" s="43">
        <f t="shared" si="53"/>
        <v>0</v>
      </c>
    </row>
    <row r="206" spans="3:69" ht="20.100000000000001" hidden="1" customHeight="1">
      <c r="M206">
        <f>DTCHK(M192,YK!$J$3:$J$52)</f>
        <v>0</v>
      </c>
      <c r="N206">
        <f>DTCHK(N192,YK!$J$3:$J$52)</f>
        <v>0</v>
      </c>
      <c r="O206">
        <f>DTCHK(O192,YK!$J$3:$J$52)</f>
        <v>0</v>
      </c>
      <c r="P206">
        <f>DTCHK(P192,YK!$J$3:$J$52)</f>
        <v>1</v>
      </c>
      <c r="Q206">
        <f>DTCHK(Q192,YK!$J$3:$J$52)</f>
        <v>0</v>
      </c>
      <c r="R206">
        <f>DTCHK(R192,YK!$J$3:$J$52)</f>
        <v>1</v>
      </c>
      <c r="S206">
        <f>DTCHK(S192,YK!$J$3:$J$52)</f>
        <v>0</v>
      </c>
      <c r="T206">
        <f>DTCHK(T192,YK!$J$3:$J$52)</f>
        <v>0</v>
      </c>
      <c r="U206">
        <f>DTCHK(U192,YK!$J$3:$J$52)</f>
        <v>0</v>
      </c>
      <c r="V206">
        <f>DTCHK(V192,YK!$J$3:$J$52)</f>
        <v>0</v>
      </c>
      <c r="W206">
        <f>DTCHK(W192,YK!$J$3:$J$52)</f>
        <v>0</v>
      </c>
      <c r="X206">
        <f>DTCHK(X192,YK!$J$3:$J$52)</f>
        <v>0</v>
      </c>
      <c r="Y206">
        <f>DTCHK(Y192,YK!$J$3:$J$52)</f>
        <v>0</v>
      </c>
      <c r="Z206">
        <f>DTCHK(Z192,YK!$J$3:$J$52)</f>
        <v>0</v>
      </c>
      <c r="AA206">
        <f>DTCHK(AA192,YK!$J$3:$J$52)</f>
        <v>0</v>
      </c>
      <c r="AB206">
        <f>DTCHK(AB192,YK!$J$3:$J$52)</f>
        <v>0</v>
      </c>
      <c r="AC206">
        <f>DTCHK(AC192,YK!$J$3:$J$52)</f>
        <v>0</v>
      </c>
      <c r="AD206">
        <f>DTCHK(AD192,YK!$J$3:$J$52)</f>
        <v>0</v>
      </c>
      <c r="AE206">
        <f>DTCHK(AE192,YK!$J$3:$J$52)</f>
        <v>0</v>
      </c>
      <c r="AF206">
        <f>DTCHK(AF192,YK!$J$3:$J$52)</f>
        <v>0</v>
      </c>
      <c r="AG206">
        <f>DTCHK(AG192,YK!$J$3:$J$52)</f>
        <v>1</v>
      </c>
      <c r="AH206">
        <f>DTCHK(AH192,YK!$J$3:$J$52)</f>
        <v>0</v>
      </c>
      <c r="AI206">
        <f>DTCHK(AI192,YK!$J$3:$J$52)</f>
        <v>0</v>
      </c>
      <c r="AJ206">
        <f>DTCHK(AJ192,YK!$J$3:$J$52)</f>
        <v>1</v>
      </c>
      <c r="AK206">
        <f>DTCHK(AK192,YK!$J$3:$J$52)</f>
        <v>1</v>
      </c>
      <c r="AL206">
        <f>DTCHK(AL192,YK!$J$3:$J$52)</f>
        <v>0</v>
      </c>
      <c r="AM206">
        <f>DTCHK(AM192,YK!$J$3:$J$52)</f>
        <v>1</v>
      </c>
      <c r="AN206">
        <f>DTCHK(AN192,YK!$J$3:$J$52)</f>
        <v>0</v>
      </c>
      <c r="AO206">
        <f>DTCHK(AO192,YK!$J$3:$J$52)</f>
        <v>0</v>
      </c>
      <c r="AP206">
        <f>DTCHK(AP192,YK!$J$3:$J$52)</f>
        <v>0</v>
      </c>
      <c r="AQ206">
        <f>DTCHK(AQ192,YK!$J$3:$J$52)</f>
        <v>0</v>
      </c>
      <c r="AS206" s="43">
        <f t="shared" ref="AS206:BQ206" si="54">COUNTIFS($M206:$AQ206,AS199)</f>
        <v>25</v>
      </c>
      <c r="AT206" s="43">
        <f t="shared" si="54"/>
        <v>25</v>
      </c>
      <c r="AU206" s="43">
        <f t="shared" si="54"/>
        <v>25</v>
      </c>
      <c r="AV206" s="43">
        <f t="shared" si="54"/>
        <v>25</v>
      </c>
      <c r="AW206" s="43">
        <f t="shared" si="54"/>
        <v>25</v>
      </c>
      <c r="AX206" s="43">
        <f t="shared" si="54"/>
        <v>25</v>
      </c>
      <c r="AY206" s="43">
        <f t="shared" si="54"/>
        <v>25</v>
      </c>
      <c r="AZ206" s="43">
        <f t="shared" si="54"/>
        <v>25</v>
      </c>
      <c r="BA206" s="43">
        <f t="shared" si="54"/>
        <v>25</v>
      </c>
      <c r="BB206" s="43">
        <f t="shared" si="54"/>
        <v>25</v>
      </c>
      <c r="BC206" s="43">
        <f t="shared" si="54"/>
        <v>25</v>
      </c>
      <c r="BD206" s="43">
        <f t="shared" si="54"/>
        <v>25</v>
      </c>
      <c r="BE206" s="43">
        <f t="shared" si="54"/>
        <v>25</v>
      </c>
      <c r="BF206" s="43">
        <f t="shared" si="54"/>
        <v>25</v>
      </c>
      <c r="BG206" s="43">
        <f t="shared" si="54"/>
        <v>25</v>
      </c>
      <c r="BH206" s="43">
        <f t="shared" si="54"/>
        <v>25</v>
      </c>
      <c r="BI206" s="43">
        <f t="shared" si="54"/>
        <v>25</v>
      </c>
      <c r="BJ206" s="43">
        <f t="shared" si="54"/>
        <v>25</v>
      </c>
      <c r="BK206" s="43">
        <f t="shared" si="54"/>
        <v>25</v>
      </c>
      <c r="BL206" s="43">
        <f t="shared" si="54"/>
        <v>25</v>
      </c>
      <c r="BM206" s="43">
        <f t="shared" si="54"/>
        <v>25</v>
      </c>
      <c r="BN206" s="43">
        <f t="shared" si="54"/>
        <v>25</v>
      </c>
      <c r="BO206" s="43">
        <f t="shared" si="54"/>
        <v>25</v>
      </c>
      <c r="BP206" s="43">
        <f t="shared" si="54"/>
        <v>25</v>
      </c>
      <c r="BQ206" s="43">
        <f t="shared" si="54"/>
        <v>25</v>
      </c>
    </row>
    <row r="207" spans="3:69" ht="20.100000000000001" customHeight="1"/>
    <row r="208" spans="3:69" ht="15" hidden="1"/>
  </sheetData>
  <sheetProtection selectLockedCells="1"/>
  <mergeCells count="409">
    <mergeCell ref="C10:D10"/>
    <mergeCell ref="E10:I10"/>
    <mergeCell ref="J10:L10"/>
    <mergeCell ref="C11:D11"/>
    <mergeCell ref="E11:I11"/>
    <mergeCell ref="J11:L11"/>
    <mergeCell ref="C1:AQ2"/>
    <mergeCell ref="C3:G4"/>
    <mergeCell ref="C7:D8"/>
    <mergeCell ref="E7:I8"/>
    <mergeCell ref="J7:L8"/>
    <mergeCell ref="C9:D9"/>
    <mergeCell ref="E9:I9"/>
    <mergeCell ref="J9:L9"/>
    <mergeCell ref="C14:D14"/>
    <mergeCell ref="E14:I14"/>
    <mergeCell ref="J14:L14"/>
    <mergeCell ref="C15:D15"/>
    <mergeCell ref="E15:I15"/>
    <mergeCell ref="J15:L15"/>
    <mergeCell ref="C12:D12"/>
    <mergeCell ref="E12:I12"/>
    <mergeCell ref="J12:L12"/>
    <mergeCell ref="C13:D13"/>
    <mergeCell ref="E13:I13"/>
    <mergeCell ref="J13:L13"/>
    <mergeCell ref="C18:D18"/>
    <mergeCell ref="E18:I18"/>
    <mergeCell ref="J18:L18"/>
    <mergeCell ref="C20:G21"/>
    <mergeCell ref="C24:D25"/>
    <mergeCell ref="E24:I25"/>
    <mergeCell ref="J24:L25"/>
    <mergeCell ref="C16:D16"/>
    <mergeCell ref="E16:I16"/>
    <mergeCell ref="J16:L16"/>
    <mergeCell ref="C17:D17"/>
    <mergeCell ref="E17:I17"/>
    <mergeCell ref="J17:L17"/>
    <mergeCell ref="C28:D28"/>
    <mergeCell ref="E28:I28"/>
    <mergeCell ref="J28:L28"/>
    <mergeCell ref="C29:D29"/>
    <mergeCell ref="E29:I29"/>
    <mergeCell ref="J29:L29"/>
    <mergeCell ref="C26:D26"/>
    <mergeCell ref="E26:I26"/>
    <mergeCell ref="J26:L26"/>
    <mergeCell ref="C27:D27"/>
    <mergeCell ref="E27:I27"/>
    <mergeCell ref="J27:L27"/>
    <mergeCell ref="C32:D32"/>
    <mergeCell ref="E32:I32"/>
    <mergeCell ref="J32:L32"/>
    <mergeCell ref="C33:D33"/>
    <mergeCell ref="E33:I33"/>
    <mergeCell ref="J33:L33"/>
    <mergeCell ref="C30:D30"/>
    <mergeCell ref="E30:I30"/>
    <mergeCell ref="J30:L30"/>
    <mergeCell ref="C31:D31"/>
    <mergeCell ref="E31:I31"/>
    <mergeCell ref="J31:L31"/>
    <mergeCell ref="C37:G38"/>
    <mergeCell ref="C41:D42"/>
    <mergeCell ref="E41:I42"/>
    <mergeCell ref="J41:L42"/>
    <mergeCell ref="C43:D43"/>
    <mergeCell ref="E43:I43"/>
    <mergeCell ref="J43:L43"/>
    <mergeCell ref="C34:D34"/>
    <mergeCell ref="E34:I34"/>
    <mergeCell ref="J34:L34"/>
    <mergeCell ref="C35:D35"/>
    <mergeCell ref="E35:I35"/>
    <mergeCell ref="J35:L35"/>
    <mergeCell ref="C46:D46"/>
    <mergeCell ref="E46:I46"/>
    <mergeCell ref="J46:L46"/>
    <mergeCell ref="C47:D47"/>
    <mergeCell ref="E47:I47"/>
    <mergeCell ref="J47:L47"/>
    <mergeCell ref="C44:D44"/>
    <mergeCell ref="E44:I44"/>
    <mergeCell ref="J44:L44"/>
    <mergeCell ref="C45:D45"/>
    <mergeCell ref="E45:I45"/>
    <mergeCell ref="J45:L45"/>
    <mergeCell ref="C50:D50"/>
    <mergeCell ref="E50:I50"/>
    <mergeCell ref="J50:L50"/>
    <mergeCell ref="C51:D51"/>
    <mergeCell ref="E51:I51"/>
    <mergeCell ref="J51:L51"/>
    <mergeCell ref="C48:D48"/>
    <mergeCell ref="E48:I48"/>
    <mergeCell ref="J48:L48"/>
    <mergeCell ref="C49:D49"/>
    <mergeCell ref="E49:I49"/>
    <mergeCell ref="J49:L49"/>
    <mergeCell ref="C60:D60"/>
    <mergeCell ref="E60:I60"/>
    <mergeCell ref="J60:L60"/>
    <mergeCell ref="C61:D61"/>
    <mergeCell ref="E61:I61"/>
    <mergeCell ref="J61:L61"/>
    <mergeCell ref="C52:D52"/>
    <mergeCell ref="E52:I52"/>
    <mergeCell ref="J52:L52"/>
    <mergeCell ref="C54:G55"/>
    <mergeCell ref="C58:D59"/>
    <mergeCell ref="E58:I59"/>
    <mergeCell ref="J58:L59"/>
    <mergeCell ref="C64:D64"/>
    <mergeCell ref="E64:I64"/>
    <mergeCell ref="J64:L64"/>
    <mergeCell ref="C65:D65"/>
    <mergeCell ref="E65:I65"/>
    <mergeCell ref="J65:L65"/>
    <mergeCell ref="C62:D62"/>
    <mergeCell ref="E62:I62"/>
    <mergeCell ref="J62:L62"/>
    <mergeCell ref="C63:D63"/>
    <mergeCell ref="E63:I63"/>
    <mergeCell ref="J63:L63"/>
    <mergeCell ref="C68:D68"/>
    <mergeCell ref="E68:I68"/>
    <mergeCell ref="J68:L68"/>
    <mergeCell ref="C69:D69"/>
    <mergeCell ref="E69:I69"/>
    <mergeCell ref="J69:L69"/>
    <mergeCell ref="C66:D66"/>
    <mergeCell ref="E66:I66"/>
    <mergeCell ref="J66:L66"/>
    <mergeCell ref="C67:D67"/>
    <mergeCell ref="E67:I67"/>
    <mergeCell ref="J67:L67"/>
    <mergeCell ref="C78:D78"/>
    <mergeCell ref="E78:I78"/>
    <mergeCell ref="J78:L78"/>
    <mergeCell ref="C79:D79"/>
    <mergeCell ref="E79:I79"/>
    <mergeCell ref="J79:L79"/>
    <mergeCell ref="C71:G72"/>
    <mergeCell ref="C75:D76"/>
    <mergeCell ref="E75:I76"/>
    <mergeCell ref="J75:L76"/>
    <mergeCell ref="C77:D77"/>
    <mergeCell ref="E77:I77"/>
    <mergeCell ref="J77:L77"/>
    <mergeCell ref="C82:D82"/>
    <mergeCell ref="E82:I82"/>
    <mergeCell ref="J82:L82"/>
    <mergeCell ref="C83:D83"/>
    <mergeCell ref="E83:I83"/>
    <mergeCell ref="J83:L83"/>
    <mergeCell ref="C80:D80"/>
    <mergeCell ref="E80:I80"/>
    <mergeCell ref="J80:L80"/>
    <mergeCell ref="C81:D81"/>
    <mergeCell ref="E81:I81"/>
    <mergeCell ref="J81:L81"/>
    <mergeCell ref="C86:D86"/>
    <mergeCell ref="E86:I86"/>
    <mergeCell ref="J86:L86"/>
    <mergeCell ref="C88:G89"/>
    <mergeCell ref="C92:D93"/>
    <mergeCell ref="E92:I93"/>
    <mergeCell ref="J92:L93"/>
    <mergeCell ref="C84:D84"/>
    <mergeCell ref="E84:I84"/>
    <mergeCell ref="J84:L84"/>
    <mergeCell ref="C85:D85"/>
    <mergeCell ref="E85:I85"/>
    <mergeCell ref="J85:L85"/>
    <mergeCell ref="C96:D96"/>
    <mergeCell ref="E96:I96"/>
    <mergeCell ref="J96:L96"/>
    <mergeCell ref="C97:D97"/>
    <mergeCell ref="E97:I97"/>
    <mergeCell ref="J97:L97"/>
    <mergeCell ref="C94:D94"/>
    <mergeCell ref="E94:I94"/>
    <mergeCell ref="J94:L94"/>
    <mergeCell ref="C95:D95"/>
    <mergeCell ref="E95:I95"/>
    <mergeCell ref="J95:L95"/>
    <mergeCell ref="C100:D100"/>
    <mergeCell ref="E100:I100"/>
    <mergeCell ref="J100:L100"/>
    <mergeCell ref="C101:D101"/>
    <mergeCell ref="E101:I101"/>
    <mergeCell ref="J101:L101"/>
    <mergeCell ref="C98:D98"/>
    <mergeCell ref="E98:I98"/>
    <mergeCell ref="J98:L98"/>
    <mergeCell ref="C99:D99"/>
    <mergeCell ref="E99:I99"/>
    <mergeCell ref="J99:L99"/>
    <mergeCell ref="C105:G106"/>
    <mergeCell ref="C109:D110"/>
    <mergeCell ref="E109:I110"/>
    <mergeCell ref="J109:L110"/>
    <mergeCell ref="C111:D111"/>
    <mergeCell ref="E111:I111"/>
    <mergeCell ref="J111:L111"/>
    <mergeCell ref="C102:D102"/>
    <mergeCell ref="E102:I102"/>
    <mergeCell ref="J102:L102"/>
    <mergeCell ref="C103:D103"/>
    <mergeCell ref="E103:I103"/>
    <mergeCell ref="J103:L103"/>
    <mergeCell ref="C114:D114"/>
    <mergeCell ref="E114:I114"/>
    <mergeCell ref="J114:L114"/>
    <mergeCell ref="C115:D115"/>
    <mergeCell ref="E115:I115"/>
    <mergeCell ref="J115:L115"/>
    <mergeCell ref="C112:D112"/>
    <mergeCell ref="E112:I112"/>
    <mergeCell ref="J112:L112"/>
    <mergeCell ref="C113:D113"/>
    <mergeCell ref="E113:I113"/>
    <mergeCell ref="J113:L113"/>
    <mergeCell ref="C118:D118"/>
    <mergeCell ref="E118:I118"/>
    <mergeCell ref="J118:L118"/>
    <mergeCell ref="C119:D119"/>
    <mergeCell ref="E119:I119"/>
    <mergeCell ref="J119:L119"/>
    <mergeCell ref="C116:D116"/>
    <mergeCell ref="E116:I116"/>
    <mergeCell ref="J116:L116"/>
    <mergeCell ref="C117:D117"/>
    <mergeCell ref="E117:I117"/>
    <mergeCell ref="J117:L117"/>
    <mergeCell ref="C128:D128"/>
    <mergeCell ref="E128:I128"/>
    <mergeCell ref="J128:L128"/>
    <mergeCell ref="C129:D129"/>
    <mergeCell ref="E129:I129"/>
    <mergeCell ref="J129:L129"/>
    <mergeCell ref="C120:D120"/>
    <mergeCell ref="E120:I120"/>
    <mergeCell ref="J120:L120"/>
    <mergeCell ref="C122:G123"/>
    <mergeCell ref="C126:D127"/>
    <mergeCell ref="E126:I127"/>
    <mergeCell ref="J126:L127"/>
    <mergeCell ref="C132:D132"/>
    <mergeCell ref="E132:I132"/>
    <mergeCell ref="J132:L132"/>
    <mergeCell ref="C133:D133"/>
    <mergeCell ref="E133:I133"/>
    <mergeCell ref="J133:L133"/>
    <mergeCell ref="C130:D130"/>
    <mergeCell ref="E130:I130"/>
    <mergeCell ref="J130:L130"/>
    <mergeCell ref="C131:D131"/>
    <mergeCell ref="E131:I131"/>
    <mergeCell ref="J131:L131"/>
    <mergeCell ref="C136:D136"/>
    <mergeCell ref="E136:I136"/>
    <mergeCell ref="J136:L136"/>
    <mergeCell ref="C137:D137"/>
    <mergeCell ref="E137:I137"/>
    <mergeCell ref="J137:L137"/>
    <mergeCell ref="C134:D134"/>
    <mergeCell ref="E134:I134"/>
    <mergeCell ref="J134:L134"/>
    <mergeCell ref="C135:D135"/>
    <mergeCell ref="E135:I135"/>
    <mergeCell ref="J135:L135"/>
    <mergeCell ref="C146:D146"/>
    <mergeCell ref="E146:I146"/>
    <mergeCell ref="J146:L146"/>
    <mergeCell ref="C147:D147"/>
    <mergeCell ref="E147:I147"/>
    <mergeCell ref="J147:L147"/>
    <mergeCell ref="C139:G140"/>
    <mergeCell ref="C143:D144"/>
    <mergeCell ref="E143:I144"/>
    <mergeCell ref="J143:L144"/>
    <mergeCell ref="C145:D145"/>
    <mergeCell ref="E145:I145"/>
    <mergeCell ref="J145:L145"/>
    <mergeCell ref="C150:D150"/>
    <mergeCell ref="E150:I150"/>
    <mergeCell ref="J150:L150"/>
    <mergeCell ref="C151:D151"/>
    <mergeCell ref="E151:I151"/>
    <mergeCell ref="J151:L151"/>
    <mergeCell ref="C148:D148"/>
    <mergeCell ref="E148:I148"/>
    <mergeCell ref="J148:L148"/>
    <mergeCell ref="C149:D149"/>
    <mergeCell ref="E149:I149"/>
    <mergeCell ref="J149:L149"/>
    <mergeCell ref="C154:D154"/>
    <mergeCell ref="E154:I154"/>
    <mergeCell ref="J154:L154"/>
    <mergeCell ref="C156:G157"/>
    <mergeCell ref="C160:D161"/>
    <mergeCell ref="E160:I161"/>
    <mergeCell ref="J160:L161"/>
    <mergeCell ref="C152:D152"/>
    <mergeCell ref="E152:I152"/>
    <mergeCell ref="J152:L152"/>
    <mergeCell ref="C153:D153"/>
    <mergeCell ref="E153:I153"/>
    <mergeCell ref="J153:L153"/>
    <mergeCell ref="C164:D164"/>
    <mergeCell ref="E164:I164"/>
    <mergeCell ref="J164:L164"/>
    <mergeCell ref="C165:D165"/>
    <mergeCell ref="E165:I165"/>
    <mergeCell ref="J165:L165"/>
    <mergeCell ref="C162:D162"/>
    <mergeCell ref="E162:I162"/>
    <mergeCell ref="J162:L162"/>
    <mergeCell ref="C163:D163"/>
    <mergeCell ref="E163:I163"/>
    <mergeCell ref="J163:L163"/>
    <mergeCell ref="C168:D168"/>
    <mergeCell ref="E168:I168"/>
    <mergeCell ref="J168:L168"/>
    <mergeCell ref="C169:D169"/>
    <mergeCell ref="E169:I169"/>
    <mergeCell ref="J169:L169"/>
    <mergeCell ref="C166:D166"/>
    <mergeCell ref="E166:I166"/>
    <mergeCell ref="J166:L166"/>
    <mergeCell ref="C167:D167"/>
    <mergeCell ref="E167:I167"/>
    <mergeCell ref="J167:L167"/>
    <mergeCell ref="C173:G174"/>
    <mergeCell ref="C177:D178"/>
    <mergeCell ref="E177:I178"/>
    <mergeCell ref="J177:L178"/>
    <mergeCell ref="C179:D179"/>
    <mergeCell ref="E179:I179"/>
    <mergeCell ref="J179:L179"/>
    <mergeCell ref="C170:D170"/>
    <mergeCell ref="E170:I170"/>
    <mergeCell ref="J170:L170"/>
    <mergeCell ref="C171:D171"/>
    <mergeCell ref="E171:I171"/>
    <mergeCell ref="J171:L171"/>
    <mergeCell ref="C182:D182"/>
    <mergeCell ref="E182:I182"/>
    <mergeCell ref="J182:L182"/>
    <mergeCell ref="C183:D183"/>
    <mergeCell ref="E183:I183"/>
    <mergeCell ref="J183:L183"/>
    <mergeCell ref="C180:D180"/>
    <mergeCell ref="E180:I180"/>
    <mergeCell ref="J180:L180"/>
    <mergeCell ref="C181:D181"/>
    <mergeCell ref="E181:I181"/>
    <mergeCell ref="J181:L181"/>
    <mergeCell ref="C186:D186"/>
    <mergeCell ref="E186:I186"/>
    <mergeCell ref="J186:L186"/>
    <mergeCell ref="C187:D187"/>
    <mergeCell ref="E187:I187"/>
    <mergeCell ref="J187:L187"/>
    <mergeCell ref="C184:D184"/>
    <mergeCell ref="E184:I184"/>
    <mergeCell ref="J184:L184"/>
    <mergeCell ref="C185:D185"/>
    <mergeCell ref="E185:I185"/>
    <mergeCell ref="J185:L185"/>
    <mergeCell ref="C196:D196"/>
    <mergeCell ref="E196:I196"/>
    <mergeCell ref="J196:L196"/>
    <mergeCell ref="C197:D197"/>
    <mergeCell ref="E197:I197"/>
    <mergeCell ref="J197:L197"/>
    <mergeCell ref="C188:D188"/>
    <mergeCell ref="E188:I188"/>
    <mergeCell ref="J188:L188"/>
    <mergeCell ref="C190:G191"/>
    <mergeCell ref="C194:D195"/>
    <mergeCell ref="E194:I195"/>
    <mergeCell ref="J194:L195"/>
    <mergeCell ref="C200:D200"/>
    <mergeCell ref="E200:I200"/>
    <mergeCell ref="J200:L200"/>
    <mergeCell ref="C201:D201"/>
    <mergeCell ref="E201:I201"/>
    <mergeCell ref="J201:L201"/>
    <mergeCell ref="C198:D198"/>
    <mergeCell ref="E198:I198"/>
    <mergeCell ref="J198:L198"/>
    <mergeCell ref="C199:D199"/>
    <mergeCell ref="E199:I199"/>
    <mergeCell ref="J199:L199"/>
    <mergeCell ref="C204:D204"/>
    <mergeCell ref="E204:I204"/>
    <mergeCell ref="J204:L204"/>
    <mergeCell ref="C205:D205"/>
    <mergeCell ref="E205:I205"/>
    <mergeCell ref="J205:L205"/>
    <mergeCell ref="C202:D202"/>
    <mergeCell ref="E202:I202"/>
    <mergeCell ref="J202:L202"/>
    <mergeCell ref="C203:D203"/>
    <mergeCell ref="E203:I203"/>
    <mergeCell ref="J203:L203"/>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Arkusz9">
    <tabColor rgb="FFFFFF00"/>
  </sheetPr>
  <dimension ref="A1:K70"/>
  <sheetViews>
    <sheetView showGridLines="0" showRowColHeaders="0" workbookViewId="0">
      <selection activeCell="B19" sqref="B19:C19"/>
    </sheetView>
  </sheetViews>
  <sheetFormatPr defaultColWidth="0" defaultRowHeight="15" zeroHeight="1"/>
  <cols>
    <col min="1" max="1" width="9.140625" style="5" customWidth="1"/>
    <col min="2" max="3" width="9.140625" customWidth="1"/>
    <col min="4" max="6" width="12" customWidth="1"/>
    <col min="7" max="7" width="9.140625" customWidth="1"/>
    <col min="8" max="10" width="9.140625" hidden="1" customWidth="1"/>
    <col min="11" max="11" width="17.85546875" hidden="1" customWidth="1"/>
    <col min="12" max="16384" width="9.140625" hidden="1"/>
  </cols>
  <sheetData>
    <row r="1" spans="2:7" ht="30" customHeight="1">
      <c r="B1" s="640" t="str">
        <f ca="1">INDIRECT("T!"&amp;T!A1&amp;"48")</f>
        <v>Kalendarz Pracy</v>
      </c>
      <c r="C1" s="640"/>
      <c r="D1" s="640"/>
      <c r="E1" s="640"/>
      <c r="F1" s="640"/>
      <c r="G1" s="5"/>
    </row>
    <row r="2" spans="2:7" ht="22.5" customHeight="1">
      <c r="B2" s="21" t="str">
        <f ca="1">INDIRECT("T!"&amp;T!A1&amp;"50")</f>
        <v>Miesiąc</v>
      </c>
      <c r="C2" s="22" t="str">
        <f ca="1">INDIRECT("T!"&amp;T!A1&amp;"51")</f>
        <v>Ilość dni w miesiącu</v>
      </c>
      <c r="D2" s="22" t="str">
        <f ca="1">INDIRECT("T!"&amp;T!A1&amp;"52")</f>
        <v>Ilość dni roboczych</v>
      </c>
      <c r="E2" s="22" t="str">
        <f ca="1">INDIRECT("T!"&amp;T!A1&amp;"53")</f>
        <v>Ilość dni wolnych</v>
      </c>
      <c r="F2" s="22" t="str">
        <f ca="1">INDIRECT("T!"&amp;T!A1&amp;"54")</f>
        <v>Ilość godzin pracy</v>
      </c>
      <c r="G2" s="5"/>
    </row>
    <row r="3" spans="2:7" ht="15.95" customHeight="1">
      <c r="B3" s="30" t="str">
        <f ca="1">Lists!F1</f>
        <v>Styczeń</v>
      </c>
      <c r="C3" s="83">
        <f>Admin!I4</f>
        <v>31</v>
      </c>
      <c r="D3" s="83">
        <f>Admin!J4</f>
        <v>20</v>
      </c>
      <c r="E3" s="83">
        <f>Admin!K4</f>
        <v>11</v>
      </c>
      <c r="F3" s="83">
        <f>Admin!L4</f>
        <v>160</v>
      </c>
      <c r="G3" s="5"/>
    </row>
    <row r="4" spans="2:7" ht="15.95" customHeight="1">
      <c r="B4" s="30" t="str">
        <f ca="1">Lists!F2</f>
        <v>Luty</v>
      </c>
      <c r="C4" s="83">
        <f>Admin!I5</f>
        <v>28</v>
      </c>
      <c r="D4" s="83">
        <f>Admin!J5</f>
        <v>20</v>
      </c>
      <c r="E4" s="83">
        <f>Admin!K5</f>
        <v>8</v>
      </c>
      <c r="F4" s="83">
        <f>Admin!L5</f>
        <v>160</v>
      </c>
      <c r="G4" s="5"/>
    </row>
    <row r="5" spans="2:7" ht="15.95" customHeight="1">
      <c r="B5" s="30" t="str">
        <f ca="1">Lists!F3</f>
        <v>Marzec</v>
      </c>
      <c r="C5" s="83">
        <f>Admin!I6</f>
        <v>31</v>
      </c>
      <c r="D5" s="83">
        <f>Admin!J6</f>
        <v>22</v>
      </c>
      <c r="E5" s="83">
        <f>Admin!K6</f>
        <v>9</v>
      </c>
      <c r="F5" s="83">
        <f>Admin!L6</f>
        <v>176</v>
      </c>
      <c r="G5" s="5"/>
    </row>
    <row r="6" spans="2:7" ht="15.95" customHeight="1">
      <c r="B6" s="30" t="str">
        <f ca="1">Lists!F4</f>
        <v>Kwiecień</v>
      </c>
      <c r="C6" s="83">
        <f>Admin!I7</f>
        <v>30</v>
      </c>
      <c r="D6" s="83">
        <f>Admin!J7</f>
        <v>21</v>
      </c>
      <c r="E6" s="83">
        <f>Admin!K7</f>
        <v>9</v>
      </c>
      <c r="F6" s="83">
        <f>Admin!L7</f>
        <v>168</v>
      </c>
      <c r="G6" s="5"/>
    </row>
    <row r="7" spans="2:7" ht="15.95" customHeight="1">
      <c r="B7" s="30" t="str">
        <f ca="1">Lists!F5</f>
        <v>Maj</v>
      </c>
      <c r="C7" s="83">
        <f>Admin!I8</f>
        <v>31</v>
      </c>
      <c r="D7" s="83">
        <f>Admin!J8</f>
        <v>20</v>
      </c>
      <c r="E7" s="83">
        <f>Admin!K8</f>
        <v>11</v>
      </c>
      <c r="F7" s="83">
        <f>Admin!L8</f>
        <v>160</v>
      </c>
      <c r="G7" s="5"/>
    </row>
    <row r="8" spans="2:7" ht="15.95" customHeight="1">
      <c r="B8" s="30" t="str">
        <f ca="1">Lists!F6</f>
        <v>Czerwiec</v>
      </c>
      <c r="C8" s="83">
        <f>Admin!I9</f>
        <v>30</v>
      </c>
      <c r="D8" s="83">
        <f>Admin!J9</f>
        <v>21</v>
      </c>
      <c r="E8" s="83">
        <f>Admin!K9</f>
        <v>9</v>
      </c>
      <c r="F8" s="83">
        <f>Admin!L9</f>
        <v>168</v>
      </c>
      <c r="G8" s="5"/>
    </row>
    <row r="9" spans="2:7" ht="15.95" customHeight="1">
      <c r="B9" s="30" t="str">
        <f ca="1">Lists!F7</f>
        <v>Lipiec</v>
      </c>
      <c r="C9" s="83">
        <f>Admin!I10</f>
        <v>31</v>
      </c>
      <c r="D9" s="83">
        <f>Admin!J10</f>
        <v>23</v>
      </c>
      <c r="E9" s="83">
        <f>Admin!K10</f>
        <v>8</v>
      </c>
      <c r="F9" s="83">
        <f>Admin!L10</f>
        <v>184</v>
      </c>
      <c r="G9" s="5"/>
    </row>
    <row r="10" spans="2:7" ht="15.95" customHeight="1">
      <c r="B10" s="30" t="str">
        <f ca="1">Lists!F8</f>
        <v>Sierpień</v>
      </c>
      <c r="C10" s="83">
        <f>Admin!I11</f>
        <v>31</v>
      </c>
      <c r="D10" s="83">
        <f>Admin!J11</f>
        <v>20</v>
      </c>
      <c r="E10" s="83">
        <f>Admin!K11</f>
        <v>11</v>
      </c>
      <c r="F10" s="83">
        <f>Admin!L11</f>
        <v>160</v>
      </c>
      <c r="G10" s="5"/>
    </row>
    <row r="11" spans="2:7" ht="15.95" customHeight="1">
      <c r="B11" s="30" t="str">
        <f ca="1">Lists!F9</f>
        <v>Wrzesień</v>
      </c>
      <c r="C11" s="83">
        <f>Admin!I12</f>
        <v>30</v>
      </c>
      <c r="D11" s="83">
        <f>Admin!J12</f>
        <v>22</v>
      </c>
      <c r="E11" s="83">
        <f>Admin!K12</f>
        <v>8</v>
      </c>
      <c r="F11" s="83">
        <f>Admin!L12</f>
        <v>176</v>
      </c>
      <c r="G11" s="5"/>
    </row>
    <row r="12" spans="2:7" ht="15.95" customHeight="1">
      <c r="B12" s="30" t="str">
        <f ca="1">Lists!F10</f>
        <v>Październik</v>
      </c>
      <c r="C12" s="83">
        <f>Admin!I13</f>
        <v>31</v>
      </c>
      <c r="D12" s="83">
        <f>Admin!J13</f>
        <v>22</v>
      </c>
      <c r="E12" s="83">
        <f>Admin!K13</f>
        <v>9</v>
      </c>
      <c r="F12" s="83">
        <f>Admin!L13</f>
        <v>176</v>
      </c>
      <c r="G12" s="5"/>
    </row>
    <row r="13" spans="2:7" ht="15.95" customHeight="1">
      <c r="B13" s="30" t="str">
        <f ca="1">Lists!F11</f>
        <v>Listopad</v>
      </c>
      <c r="C13" s="83">
        <f>Admin!I14</f>
        <v>30</v>
      </c>
      <c r="D13" s="83">
        <f>Admin!J14</f>
        <v>20</v>
      </c>
      <c r="E13" s="83">
        <f>Admin!K14</f>
        <v>10</v>
      </c>
      <c r="F13" s="83">
        <f>Admin!L14</f>
        <v>160</v>
      </c>
      <c r="G13" s="5"/>
    </row>
    <row r="14" spans="2:7" ht="15.95" customHeight="1">
      <c r="B14" s="30" t="str">
        <f ca="1">Lists!F12</f>
        <v>Grudzień</v>
      </c>
      <c r="C14" s="83">
        <f>Admin!I15</f>
        <v>31</v>
      </c>
      <c r="D14" s="83">
        <f>Admin!J15</f>
        <v>20</v>
      </c>
      <c r="E14" s="83">
        <f>Admin!K15</f>
        <v>11</v>
      </c>
      <c r="F14" s="83">
        <f>Admin!L15</f>
        <v>160</v>
      </c>
      <c r="G14" s="5"/>
    </row>
    <row r="15" spans="2:7">
      <c r="B15" s="654" t="str">
        <f ca="1">INDIRECT("T!"&amp;T!A1&amp;"49")</f>
        <v>*Wprowadź dane w żółte komórki</v>
      </c>
      <c r="C15" s="654"/>
      <c r="D15" s="654"/>
      <c r="E15" s="654"/>
      <c r="F15" s="654"/>
      <c r="G15" s="5"/>
    </row>
    <row r="16" spans="2:7" ht="21.75" customHeight="1">
      <c r="B16" s="5"/>
      <c r="C16" s="5"/>
      <c r="D16" s="5"/>
      <c r="E16" s="5"/>
      <c r="F16" s="5"/>
      <c r="G16" s="5"/>
    </row>
    <row r="17" spans="1:7" ht="15.75" thickBot="1">
      <c r="B17" s="641" t="str">
        <f ca="1">INDIRECT("T!"&amp;T!A1&amp;"63")</f>
        <v>Wprowadź daty świąt</v>
      </c>
      <c r="C17" s="641"/>
      <c r="D17" s="641"/>
      <c r="E17" s="641"/>
      <c r="F17" s="641"/>
      <c r="G17" s="5"/>
    </row>
    <row r="18" spans="1:7" ht="15.75" thickBot="1">
      <c r="B18" s="642" t="str">
        <f ca="1">INDIRECT("T!"&amp;T!A1&amp;"65")</f>
        <v>Data [rrrr-mm-dd]</v>
      </c>
      <c r="C18" s="643"/>
      <c r="D18" s="643" t="str">
        <f ca="1">INDIRECT("T!"&amp;T!A1&amp;"64")</f>
        <v>Nazwa święta</v>
      </c>
      <c r="E18" s="643"/>
      <c r="F18" s="644"/>
      <c r="G18" s="5"/>
    </row>
    <row r="19" spans="1:7">
      <c r="A19" s="5">
        <v>1</v>
      </c>
      <c r="B19" s="645">
        <f>Admin!H20</f>
        <v>46023</v>
      </c>
      <c r="C19" s="646"/>
      <c r="D19" s="647" t="str">
        <f>Admin!J20</f>
        <v>Nowy rok</v>
      </c>
      <c r="E19" s="647"/>
      <c r="F19" s="648"/>
      <c r="G19" s="5"/>
    </row>
    <row r="20" spans="1:7">
      <c r="A20" s="5">
        <v>2</v>
      </c>
      <c r="B20" s="645">
        <f>Admin!H21</f>
        <v>46028</v>
      </c>
      <c r="C20" s="646"/>
      <c r="D20" s="647" t="str">
        <f>Admin!J21</f>
        <v>Trzech Króli (Objawienie Pańskie)</v>
      </c>
      <c r="E20" s="647"/>
      <c r="F20" s="648"/>
      <c r="G20" s="5"/>
    </row>
    <row r="21" spans="1:7">
      <c r="A21" s="5">
        <v>3</v>
      </c>
      <c r="B21" s="645">
        <f>Admin!H22</f>
        <v>46117</v>
      </c>
      <c r="C21" s="646"/>
      <c r="D21" s="647" t="str">
        <f>Admin!J22</f>
        <v>Wielkanoc</v>
      </c>
      <c r="E21" s="647"/>
      <c r="F21" s="648"/>
      <c r="G21" s="5"/>
    </row>
    <row r="22" spans="1:7">
      <c r="A22" s="5">
        <v>4</v>
      </c>
      <c r="B22" s="645">
        <f>Admin!H23</f>
        <v>46118</v>
      </c>
      <c r="C22" s="646"/>
      <c r="D22" s="647" t="str">
        <f>Admin!J23</f>
        <v>Poniedziałek wielkanocny</v>
      </c>
      <c r="E22" s="647"/>
      <c r="F22" s="648"/>
      <c r="G22" s="5"/>
    </row>
    <row r="23" spans="1:7">
      <c r="A23" s="5">
        <v>5</v>
      </c>
      <c r="B23" s="645">
        <f>Admin!H24</f>
        <v>46143</v>
      </c>
      <c r="C23" s="646"/>
      <c r="D23" s="647" t="str">
        <f>Admin!J24</f>
        <v>1 Maja - Święto Pracy</v>
      </c>
      <c r="E23" s="647"/>
      <c r="F23" s="648"/>
      <c r="G23" s="5"/>
    </row>
    <row r="24" spans="1:7">
      <c r="A24" s="5">
        <v>6</v>
      </c>
      <c r="B24" s="645">
        <f>Admin!H25</f>
        <v>46145</v>
      </c>
      <c r="C24" s="646"/>
      <c r="D24" s="647" t="str">
        <f>Admin!J25</f>
        <v>Św. Konstytucji 3 Maja</v>
      </c>
      <c r="E24" s="647"/>
      <c r="F24" s="648"/>
      <c r="G24" s="5"/>
    </row>
    <row r="25" spans="1:7">
      <c r="A25" s="5">
        <v>7</v>
      </c>
      <c r="B25" s="645">
        <f>Admin!H26</f>
        <v>46166</v>
      </c>
      <c r="C25" s="646"/>
      <c r="D25" s="647" t="str">
        <f>Admin!J26</f>
        <v>Zesłanie Ducha Świętego (Zielone Świątki)</v>
      </c>
      <c r="E25" s="647"/>
      <c r="F25" s="648"/>
      <c r="G25" s="5"/>
    </row>
    <row r="26" spans="1:7">
      <c r="A26" s="5">
        <v>8</v>
      </c>
      <c r="B26" s="645">
        <f>Admin!H27</f>
        <v>46177</v>
      </c>
      <c r="C26" s="646"/>
      <c r="D26" s="647" t="str">
        <f>Admin!J27</f>
        <v>Boże Ciało</v>
      </c>
      <c r="E26" s="647"/>
      <c r="F26" s="648"/>
      <c r="G26" s="5"/>
    </row>
    <row r="27" spans="1:7">
      <c r="A27" s="5">
        <v>9</v>
      </c>
      <c r="B27" s="645">
        <f>Admin!H28</f>
        <v>46249</v>
      </c>
      <c r="C27" s="646"/>
      <c r="D27" s="647" t="str">
        <f>Admin!J28</f>
        <v>Św. Wojska Polskiego, Wniebowzięcie NMP</v>
      </c>
      <c r="E27" s="647"/>
      <c r="F27" s="648"/>
      <c r="G27" s="5"/>
    </row>
    <row r="28" spans="1:7">
      <c r="A28" s="5">
        <v>10</v>
      </c>
      <c r="B28" s="645">
        <f>Admin!H29</f>
        <v>46327</v>
      </c>
      <c r="C28" s="646"/>
      <c r="D28" s="647" t="str">
        <f>Admin!J29</f>
        <v>Wszystkich Świętych</v>
      </c>
      <c r="E28" s="647"/>
      <c r="F28" s="648"/>
      <c r="G28" s="5"/>
    </row>
    <row r="29" spans="1:7">
      <c r="A29" s="5">
        <v>11</v>
      </c>
      <c r="B29" s="645">
        <f>Admin!H30</f>
        <v>46337</v>
      </c>
      <c r="C29" s="646"/>
      <c r="D29" s="647" t="str">
        <f>Admin!J30</f>
        <v>Dzień Niepodległości</v>
      </c>
      <c r="E29" s="647"/>
      <c r="F29" s="648"/>
      <c r="G29" s="5"/>
    </row>
    <row r="30" spans="1:7">
      <c r="A30" s="5">
        <v>12</v>
      </c>
      <c r="B30" s="645">
        <f>Admin!H31</f>
        <v>46380</v>
      </c>
      <c r="C30" s="646"/>
      <c r="D30" s="647" t="str">
        <f>Admin!J31</f>
        <v>Wigilia Bożego Narodzenia</v>
      </c>
      <c r="E30" s="647"/>
      <c r="F30" s="648"/>
      <c r="G30" s="5"/>
    </row>
    <row r="31" spans="1:7">
      <c r="A31" s="5">
        <v>13</v>
      </c>
      <c r="B31" s="645">
        <f>Admin!H32</f>
        <v>46381</v>
      </c>
      <c r="C31" s="646"/>
      <c r="D31" s="647" t="str">
        <f>Admin!J32</f>
        <v>Boże Narodzenie (pierwszy dzień)</v>
      </c>
      <c r="E31" s="647"/>
      <c r="F31" s="648"/>
      <c r="G31" s="5"/>
    </row>
    <row r="32" spans="1:7">
      <c r="A32" s="5">
        <v>14</v>
      </c>
      <c r="B32" s="645"/>
      <c r="C32" s="646"/>
      <c r="D32" s="647"/>
      <c r="E32" s="647"/>
      <c r="F32" s="648"/>
      <c r="G32" s="5"/>
    </row>
    <row r="33" spans="1:7" ht="15.75" thickBot="1">
      <c r="A33" s="5">
        <v>15</v>
      </c>
      <c r="B33" s="645"/>
      <c r="C33" s="646"/>
      <c r="D33" s="647"/>
      <c r="E33" s="647"/>
      <c r="F33" s="648"/>
      <c r="G33" s="5"/>
    </row>
    <row r="34" spans="1:7" ht="15.75" thickBot="1">
      <c r="B34" s="642" t="str">
        <f ca="1">INDIRECT("T!"&amp;T!A1&amp;"65")</f>
        <v>Data [rrrr-mm-dd]</v>
      </c>
      <c r="C34" s="643"/>
      <c r="D34" s="643" t="str">
        <f ca="1">INDIRECT("T!"&amp;T!A1&amp;"93")</f>
        <v>Nazwa wydarzenia</v>
      </c>
      <c r="E34" s="643"/>
      <c r="F34" s="644"/>
      <c r="G34" s="5"/>
    </row>
    <row r="35" spans="1:7" ht="15.75" thickBot="1">
      <c r="A35" s="5">
        <v>1</v>
      </c>
      <c r="B35" s="652">
        <f>Admin!H36</f>
        <v>46043</v>
      </c>
      <c r="C35" s="653"/>
      <c r="D35" s="649" t="str">
        <f>Admin!J36</f>
        <v>Dzień Babci</v>
      </c>
      <c r="E35" s="650"/>
      <c r="F35" s="651"/>
      <c r="G35" s="104" t="str">
        <f t="shared" ref="G35:G69" si="0">TEXT(DATE(YEAR(B35),MONTH(B35)*1,1),"mmmm")</f>
        <v>January</v>
      </c>
    </row>
    <row r="36" spans="1:7" ht="15.75" thickBot="1">
      <c r="A36" s="5">
        <v>2</v>
      </c>
      <c r="B36" s="652">
        <f>Admin!H37</f>
        <v>46044</v>
      </c>
      <c r="C36" s="653"/>
      <c r="D36" s="649" t="str">
        <f>Admin!J37</f>
        <v>Dzień Dziadka</v>
      </c>
      <c r="E36" s="650"/>
      <c r="F36" s="651"/>
      <c r="G36" s="104" t="str">
        <f t="shared" si="0"/>
        <v>January</v>
      </c>
    </row>
    <row r="37" spans="1:7" ht="15.75" thickBot="1">
      <c r="A37" s="5">
        <v>3</v>
      </c>
      <c r="B37" s="652">
        <f>Admin!H38</f>
        <v>46055</v>
      </c>
      <c r="C37" s="653"/>
      <c r="D37" s="649" t="str">
        <f>Admin!J38</f>
        <v>Ofiarowanie Pańskie (MB Gromnicznej)</v>
      </c>
      <c r="E37" s="650"/>
      <c r="F37" s="651"/>
      <c r="G37" s="104" t="str">
        <f t="shared" si="0"/>
        <v>February</v>
      </c>
    </row>
    <row r="38" spans="1:7" ht="15.75" thickBot="1">
      <c r="A38" s="5">
        <v>4</v>
      </c>
      <c r="B38" s="652">
        <f>Admin!H39</f>
        <v>46065</v>
      </c>
      <c r="C38" s="653"/>
      <c r="D38" s="649" t="str">
        <f>Admin!J39</f>
        <v>Tłusty czwartek</v>
      </c>
      <c r="E38" s="650"/>
      <c r="F38" s="651"/>
      <c r="G38" s="104" t="str">
        <f t="shared" si="0"/>
        <v>February</v>
      </c>
    </row>
    <row r="39" spans="1:7" ht="15.75" thickBot="1">
      <c r="A39" s="5">
        <v>5</v>
      </c>
      <c r="B39" s="652">
        <f>Admin!H40</f>
        <v>46067</v>
      </c>
      <c r="C39" s="653"/>
      <c r="D39" s="649" t="str">
        <f>Admin!J40</f>
        <v>Dzień Zakochanych (Walentynki)</v>
      </c>
      <c r="E39" s="650"/>
      <c r="F39" s="651"/>
      <c r="G39" s="104" t="str">
        <f t="shared" si="0"/>
        <v>February</v>
      </c>
    </row>
    <row r="40" spans="1:7" ht="15.75" thickBot="1">
      <c r="A40" s="5">
        <v>6</v>
      </c>
      <c r="B40" s="652">
        <f>Admin!H41</f>
        <v>46070</v>
      </c>
      <c r="C40" s="653"/>
      <c r="D40" s="649" t="str">
        <f>Admin!J41</f>
        <v>Ostatki</v>
      </c>
      <c r="E40" s="650"/>
      <c r="F40" s="651"/>
      <c r="G40" s="104" t="str">
        <f t="shared" si="0"/>
        <v>February</v>
      </c>
    </row>
    <row r="41" spans="1:7" ht="15.75" thickBot="1">
      <c r="A41" s="5">
        <v>7</v>
      </c>
      <c r="B41" s="652">
        <f>Admin!H42</f>
        <v>46082</v>
      </c>
      <c r="C41" s="653"/>
      <c r="D41" s="649" t="str">
        <f>Admin!J42</f>
        <v>Narodowy Dzień Pamięci Żołnierzy Wyklętych</v>
      </c>
      <c r="E41" s="650"/>
      <c r="F41" s="651"/>
      <c r="G41" s="104" t="str">
        <f t="shared" si="0"/>
        <v>March</v>
      </c>
    </row>
    <row r="42" spans="1:7" ht="15.75" thickBot="1">
      <c r="A42" s="5">
        <v>8</v>
      </c>
      <c r="B42" s="652">
        <f>Admin!H43</f>
        <v>46089</v>
      </c>
      <c r="C42" s="653"/>
      <c r="D42" s="649" t="str">
        <f>Admin!J43</f>
        <v>Międzynarodowy Dzień Kobiet</v>
      </c>
      <c r="E42" s="650"/>
      <c r="F42" s="651"/>
      <c r="G42" s="104" t="str">
        <f t="shared" si="0"/>
        <v>March</v>
      </c>
    </row>
    <row r="43" spans="1:7" ht="15.75" thickBot="1">
      <c r="A43" s="5">
        <v>9</v>
      </c>
      <c r="B43" s="652">
        <f>Admin!H44</f>
        <v>46091</v>
      </c>
      <c r="C43" s="653"/>
      <c r="D43" s="649" t="str">
        <f>Admin!J44</f>
        <v>Dzień Mężczyzn</v>
      </c>
      <c r="E43" s="650"/>
      <c r="F43" s="651"/>
      <c r="G43" s="104" t="str">
        <f t="shared" si="0"/>
        <v>March</v>
      </c>
    </row>
    <row r="44" spans="1:7" ht="15.75" thickBot="1">
      <c r="A44" s="5">
        <v>10</v>
      </c>
      <c r="B44" s="652">
        <f>Admin!H45</f>
        <v>46101</v>
      </c>
      <c r="C44" s="653"/>
      <c r="D44" s="649" t="str">
        <f>Admin!J45</f>
        <v>Początek astronomicznej wiosny</v>
      </c>
      <c r="E44" s="650"/>
      <c r="F44" s="651"/>
      <c r="G44" s="104" t="str">
        <f t="shared" si="0"/>
        <v>March</v>
      </c>
    </row>
    <row r="45" spans="1:7" ht="15.75" thickBot="1">
      <c r="A45" s="5">
        <v>11</v>
      </c>
      <c r="B45" s="652">
        <f>Admin!H46</f>
        <v>46110</v>
      </c>
      <c r="C45" s="653"/>
      <c r="D45" s="649" t="str">
        <f>Admin!J46</f>
        <v>Zmiana czasu z zimowego na letni, Niedziela Palmowa</v>
      </c>
      <c r="E45" s="650"/>
      <c r="F45" s="651"/>
      <c r="G45" s="104" t="str">
        <f t="shared" si="0"/>
        <v>March</v>
      </c>
    </row>
    <row r="46" spans="1:7" ht="15.75" thickBot="1">
      <c r="A46" s="5">
        <v>12</v>
      </c>
      <c r="B46" s="652">
        <f>Admin!H47</f>
        <v>46113</v>
      </c>
      <c r="C46" s="653"/>
      <c r="D46" s="649" t="str">
        <f>Admin!J47</f>
        <v>Prima Aprilis</v>
      </c>
      <c r="E46" s="650"/>
      <c r="F46" s="651"/>
      <c r="G46" s="104" t="str">
        <f t="shared" si="0"/>
        <v>April</v>
      </c>
    </row>
    <row r="47" spans="1:7" ht="15.75" thickBot="1">
      <c r="A47" s="5">
        <v>13</v>
      </c>
      <c r="B47" s="652">
        <f>Admin!H48</f>
        <v>46116</v>
      </c>
      <c r="C47" s="653"/>
      <c r="D47" s="649" t="str">
        <f>Admin!J48</f>
        <v>Wielka Sobota</v>
      </c>
      <c r="E47" s="650"/>
      <c r="F47" s="651"/>
      <c r="G47" s="104" t="str">
        <f t="shared" si="0"/>
        <v>April</v>
      </c>
    </row>
    <row r="48" spans="1:7" ht="15.75" thickBot="1">
      <c r="A48" s="5">
        <v>14</v>
      </c>
      <c r="B48" s="652">
        <f>Admin!H49</f>
        <v>46124</v>
      </c>
      <c r="C48" s="653"/>
      <c r="D48" s="649" t="str">
        <f>Admin!J49</f>
        <v>Święto Bożego Miłosierdzia</v>
      </c>
      <c r="E48" s="650"/>
      <c r="F48" s="651"/>
      <c r="G48" s="104" t="str">
        <f t="shared" si="0"/>
        <v>April</v>
      </c>
    </row>
    <row r="49" spans="1:7" ht="15.75" thickBot="1">
      <c r="A49" s="5">
        <v>15</v>
      </c>
      <c r="B49" s="652">
        <f>Admin!H50</f>
        <v>46134</v>
      </c>
      <c r="C49" s="653"/>
      <c r="D49" s="649" t="str">
        <f>Admin!J50</f>
        <v>Międzynarodowy Dzień Ziemi</v>
      </c>
      <c r="E49" s="650"/>
      <c r="F49" s="651"/>
      <c r="G49" s="104" t="str">
        <f t="shared" si="0"/>
        <v>April</v>
      </c>
    </row>
    <row r="50" spans="1:7" ht="15.75" thickBot="1">
      <c r="A50" s="5">
        <v>16</v>
      </c>
      <c r="B50" s="652">
        <f>Admin!H51</f>
        <v>46144</v>
      </c>
      <c r="C50" s="653"/>
      <c r="D50" s="649" t="str">
        <f>Admin!J51</f>
        <v>Dzień Flagi Rzeczpospolitej Polskiej</v>
      </c>
      <c r="E50" s="650"/>
      <c r="F50" s="651"/>
      <c r="G50" s="104" t="str">
        <f t="shared" si="0"/>
        <v>May</v>
      </c>
    </row>
    <row r="51" spans="1:7" ht="15.75" thickBot="1">
      <c r="A51" s="5">
        <v>17</v>
      </c>
      <c r="B51" s="652">
        <f>Admin!H52</f>
        <v>46159</v>
      </c>
      <c r="C51" s="653"/>
      <c r="D51" s="649" t="str">
        <f>Admin!J52</f>
        <v>Wniebowstąpienie</v>
      </c>
      <c r="E51" s="650"/>
      <c r="F51" s="651"/>
      <c r="G51" s="104" t="str">
        <f t="shared" si="0"/>
        <v>May</v>
      </c>
    </row>
    <row r="52" spans="1:7" ht="15.75" thickBot="1">
      <c r="A52" s="5">
        <v>18</v>
      </c>
      <c r="B52" s="652">
        <f>Admin!H53</f>
        <v>46168</v>
      </c>
      <c r="C52" s="653"/>
      <c r="D52" s="649" t="str">
        <f>Admin!J53</f>
        <v>Dzień Matki</v>
      </c>
      <c r="E52" s="650"/>
      <c r="F52" s="651"/>
      <c r="G52" s="104" t="str">
        <f t="shared" si="0"/>
        <v>May</v>
      </c>
    </row>
    <row r="53" spans="1:7" ht="15.75" thickBot="1">
      <c r="A53" s="5">
        <v>19</v>
      </c>
      <c r="B53" s="652">
        <f>Admin!H54</f>
        <v>46174</v>
      </c>
      <c r="C53" s="653"/>
      <c r="D53" s="649" t="str">
        <f>Admin!J54</f>
        <v>Międzynarodowy Dzień Dziecka</v>
      </c>
      <c r="E53" s="650"/>
      <c r="F53" s="651"/>
      <c r="G53" s="104" t="str">
        <f t="shared" si="0"/>
        <v>June</v>
      </c>
    </row>
    <row r="54" spans="1:7" ht="15.75" thickBot="1">
      <c r="A54" s="5">
        <v>20</v>
      </c>
      <c r="B54" s="652">
        <f>Admin!H55</f>
        <v>46194</v>
      </c>
      <c r="C54" s="653"/>
      <c r="D54" s="649" t="str">
        <f>Admin!J55</f>
        <v>Pierwszy Dzień Lata - najdłuższy dzień roku</v>
      </c>
      <c r="E54" s="650"/>
      <c r="F54" s="651"/>
      <c r="G54" s="104" t="str">
        <f t="shared" si="0"/>
        <v>June</v>
      </c>
    </row>
    <row r="55" spans="1:7" ht="15.75" thickBot="1">
      <c r="A55" s="5">
        <v>21</v>
      </c>
      <c r="B55" s="652">
        <f>Admin!H56</f>
        <v>46196</v>
      </c>
      <c r="C55" s="653"/>
      <c r="D55" s="649" t="str">
        <f>Admin!J56</f>
        <v>Dzień Ojca</v>
      </c>
      <c r="E55" s="650"/>
      <c r="F55" s="651"/>
      <c r="G55" s="104" t="str">
        <f t="shared" si="0"/>
        <v>June</v>
      </c>
    </row>
    <row r="56" spans="1:7" ht="15.75" thickBot="1">
      <c r="A56" s="5">
        <v>22</v>
      </c>
      <c r="B56" s="652">
        <f>Admin!H57</f>
        <v>46235</v>
      </c>
      <c r="C56" s="653"/>
      <c r="D56" s="649" t="str">
        <f>Admin!J57</f>
        <v>Dzień Pamięci Powstania Warszawskiego</v>
      </c>
      <c r="E56" s="650"/>
      <c r="F56" s="651"/>
      <c r="G56" s="104" t="str">
        <f t="shared" si="0"/>
        <v>August</v>
      </c>
    </row>
    <row r="57" spans="1:7" ht="15.75" thickBot="1">
      <c r="A57" s="5">
        <v>23</v>
      </c>
      <c r="B57" s="652">
        <f>Admin!H58</f>
        <v>46265</v>
      </c>
      <c r="C57" s="653"/>
      <c r="D57" s="649" t="str">
        <f>Admin!J58</f>
        <v>Dzień Solidarności i Wolności</v>
      </c>
      <c r="E57" s="650"/>
      <c r="F57" s="651"/>
      <c r="G57" s="104" t="str">
        <f t="shared" si="0"/>
        <v>August</v>
      </c>
    </row>
    <row r="58" spans="1:7" ht="15.75" thickBot="1">
      <c r="A58" s="5">
        <v>24</v>
      </c>
      <c r="B58" s="652">
        <f>Admin!H59</f>
        <v>46288</v>
      </c>
      <c r="C58" s="653"/>
      <c r="D58" s="649" t="str">
        <f>Admin!J59</f>
        <v>Początek Astronomicznej Jesieni</v>
      </c>
      <c r="E58" s="650"/>
      <c r="F58" s="651"/>
      <c r="G58" s="104" t="str">
        <f t="shared" si="0"/>
        <v>September</v>
      </c>
    </row>
    <row r="59" spans="1:7" ht="15.75" thickBot="1">
      <c r="A59" s="5">
        <v>25</v>
      </c>
      <c r="B59" s="652">
        <f>Admin!H60</f>
        <v>46295</v>
      </c>
      <c r="C59" s="653"/>
      <c r="D59" s="649" t="str">
        <f>Admin!J60</f>
        <v>Dzień Chłopaka</v>
      </c>
      <c r="E59" s="650"/>
      <c r="F59" s="651"/>
      <c r="G59" s="104" t="str">
        <f t="shared" si="0"/>
        <v>September</v>
      </c>
    </row>
    <row r="60" spans="1:7" ht="15.75" thickBot="1">
      <c r="A60" s="5">
        <v>26</v>
      </c>
      <c r="B60" s="652">
        <f>Admin!H61</f>
        <v>46309</v>
      </c>
      <c r="C60" s="653"/>
      <c r="D60" s="649" t="str">
        <f>Admin!J61</f>
        <v>Dzień Nauczyciela</v>
      </c>
      <c r="E60" s="650"/>
      <c r="F60" s="651"/>
      <c r="G60" s="104" t="str">
        <f t="shared" si="0"/>
        <v>October</v>
      </c>
    </row>
    <row r="61" spans="1:7" ht="15.75" thickBot="1">
      <c r="A61" s="5">
        <v>27</v>
      </c>
      <c r="B61" s="652">
        <f>Admin!H62</f>
        <v>46320</v>
      </c>
      <c r="C61" s="653"/>
      <c r="D61" s="649" t="str">
        <f>Admin!J62</f>
        <v>Zmiana czasu z letniego na zimowy</v>
      </c>
      <c r="E61" s="650"/>
      <c r="F61" s="651"/>
      <c r="G61" s="104" t="str">
        <f t="shared" si="0"/>
        <v>October</v>
      </c>
    </row>
    <row r="62" spans="1:7" ht="15.75" thickBot="1">
      <c r="A62" s="5">
        <v>28</v>
      </c>
      <c r="B62" s="652">
        <f>Admin!H63</f>
        <v>46328</v>
      </c>
      <c r="C62" s="653"/>
      <c r="D62" s="649" t="str">
        <f>Admin!J63</f>
        <v>Dzień zaduszny</v>
      </c>
      <c r="E62" s="650"/>
      <c r="F62" s="651"/>
      <c r="G62" s="104" t="str">
        <f t="shared" si="0"/>
        <v>November</v>
      </c>
    </row>
    <row r="63" spans="1:7" ht="15.75" thickBot="1">
      <c r="A63" s="5">
        <v>29</v>
      </c>
      <c r="B63" s="652">
        <f>Admin!H64</f>
        <v>46355</v>
      </c>
      <c r="C63" s="653"/>
      <c r="D63" s="649" t="str">
        <f>Admin!J64</f>
        <v>Andrzejki (w nocy z 29 na 30)</v>
      </c>
      <c r="E63" s="650"/>
      <c r="F63" s="651"/>
      <c r="G63" s="104" t="str">
        <f t="shared" si="0"/>
        <v>November</v>
      </c>
    </row>
    <row r="64" spans="1:7" ht="15.75" thickBot="1">
      <c r="A64" s="5">
        <v>30</v>
      </c>
      <c r="B64" s="652">
        <f>Admin!H65</f>
        <v>46360</v>
      </c>
      <c r="C64" s="653"/>
      <c r="D64" s="649" t="str">
        <f>Admin!J65</f>
        <v>Barbórka</v>
      </c>
      <c r="E64" s="650"/>
      <c r="F64" s="651"/>
      <c r="G64" s="104" t="str">
        <f t="shared" si="0"/>
        <v>December</v>
      </c>
    </row>
    <row r="65" spans="1:7" ht="15.75" thickBot="1">
      <c r="A65" s="5">
        <v>31</v>
      </c>
      <c r="B65" s="652">
        <f>Admin!H66</f>
        <v>46362</v>
      </c>
      <c r="C65" s="653"/>
      <c r="D65" s="649" t="str">
        <f>Admin!J66</f>
        <v>Dzień św. Mikołaja</v>
      </c>
      <c r="E65" s="650"/>
      <c r="F65" s="651"/>
      <c r="G65" s="104" t="str">
        <f t="shared" si="0"/>
        <v>December</v>
      </c>
    </row>
    <row r="66" spans="1:7" ht="15.75" thickBot="1">
      <c r="A66" s="5">
        <v>32</v>
      </c>
      <c r="B66" s="652">
        <f>Admin!H67</f>
        <v>46377</v>
      </c>
      <c r="C66" s="653"/>
      <c r="D66" s="649" t="str">
        <f>Admin!J67</f>
        <v>Początek astr. zimy - najkrótszy dzień roku</v>
      </c>
      <c r="E66" s="650"/>
      <c r="F66" s="651"/>
      <c r="G66" s="104" t="str">
        <f t="shared" si="0"/>
        <v>December</v>
      </c>
    </row>
    <row r="67" spans="1:7" ht="15.75" thickBot="1">
      <c r="A67" s="5">
        <v>33</v>
      </c>
      <c r="B67" s="652">
        <f>Admin!H68</f>
        <v>46380</v>
      </c>
      <c r="C67" s="653"/>
      <c r="D67" s="649" t="str">
        <f>Admin!J68</f>
        <v>Wigilia Bożego Narodzenia</v>
      </c>
      <c r="E67" s="650"/>
      <c r="F67" s="651"/>
      <c r="G67" s="104" t="str">
        <f t="shared" si="0"/>
        <v>December</v>
      </c>
    </row>
    <row r="68" spans="1:7" ht="15.75" thickBot="1">
      <c r="A68" s="5">
        <v>34</v>
      </c>
      <c r="B68" s="652">
        <f>Admin!H69</f>
        <v>46383</v>
      </c>
      <c r="C68" s="653"/>
      <c r="D68" s="649" t="str">
        <f>Admin!J69</f>
        <v>Dzień Zwycięskiego Powstania Wielkopolskiego</v>
      </c>
      <c r="E68" s="650"/>
      <c r="F68" s="651"/>
      <c r="G68" s="104" t="str">
        <f t="shared" si="0"/>
        <v>December</v>
      </c>
    </row>
    <row r="69" spans="1:7">
      <c r="A69" s="5">
        <v>35</v>
      </c>
      <c r="B69" s="652">
        <f>Admin!H70</f>
        <v>46387</v>
      </c>
      <c r="C69" s="653"/>
      <c r="D69" s="649" t="str">
        <f>Admin!J70</f>
        <v>Sylwester</v>
      </c>
      <c r="E69" s="650"/>
      <c r="F69" s="651"/>
      <c r="G69" s="104" t="str">
        <f t="shared" si="0"/>
        <v>December</v>
      </c>
    </row>
    <row r="70" spans="1:7">
      <c r="B70" s="5"/>
      <c r="C70" s="5"/>
      <c r="D70" s="5"/>
      <c r="E70" s="5"/>
      <c r="F70" s="5"/>
      <c r="G70" s="5"/>
    </row>
  </sheetData>
  <sheetProtection algorithmName="SHA-512" hashValue="Kl5qbVEdH2tZStXxi8T9za5YgnRB/ZjdNi5oKGrrA3F/6XrICiXPXrw825zho9In6vMp2tGGP/uOPiIj4GSyow==" saltValue="wKcIiIXKOE+B8Z/pXA3IsQ==" spinCount="100000" sheet="1" objects="1" scenarios="1" selectLockedCells="1"/>
  <mergeCells count="107">
    <mergeCell ref="D67:F67"/>
    <mergeCell ref="D68:F68"/>
    <mergeCell ref="B37:C37"/>
    <mergeCell ref="B38:C38"/>
    <mergeCell ref="B39:C39"/>
    <mergeCell ref="B68:C68"/>
    <mergeCell ref="B64:C64"/>
    <mergeCell ref="B65:C65"/>
    <mergeCell ref="B66:C66"/>
    <mergeCell ref="B67:C67"/>
    <mergeCell ref="B62:C62"/>
    <mergeCell ref="B63:C63"/>
    <mergeCell ref="B43:C43"/>
    <mergeCell ref="B44:C44"/>
    <mergeCell ref="B45:C45"/>
    <mergeCell ref="B51:C51"/>
    <mergeCell ref="B55:C55"/>
    <mergeCell ref="B56:C56"/>
    <mergeCell ref="B57:C57"/>
    <mergeCell ref="B52:C52"/>
    <mergeCell ref="B53:C53"/>
    <mergeCell ref="D55:F55"/>
    <mergeCell ref="D56:F56"/>
    <mergeCell ref="D57:F57"/>
    <mergeCell ref="B58:C58"/>
    <mergeCell ref="D50:F50"/>
    <mergeCell ref="D51:F51"/>
    <mergeCell ref="D52:F52"/>
    <mergeCell ref="D53:F53"/>
    <mergeCell ref="D54:F54"/>
    <mergeCell ref="D62:F62"/>
    <mergeCell ref="D63:F63"/>
    <mergeCell ref="D60:F60"/>
    <mergeCell ref="D61:F61"/>
    <mergeCell ref="D65:F65"/>
    <mergeCell ref="D66:F66"/>
    <mergeCell ref="D35:F35"/>
    <mergeCell ref="D36:F36"/>
    <mergeCell ref="D37:F37"/>
    <mergeCell ref="D38:F38"/>
    <mergeCell ref="D39:F39"/>
    <mergeCell ref="B49:C49"/>
    <mergeCell ref="B50:C50"/>
    <mergeCell ref="B46:C46"/>
    <mergeCell ref="B47:C47"/>
    <mergeCell ref="B48:C48"/>
    <mergeCell ref="B40:C40"/>
    <mergeCell ref="B41:C41"/>
    <mergeCell ref="B42:C42"/>
    <mergeCell ref="B35:C35"/>
    <mergeCell ref="B36:C36"/>
    <mergeCell ref="B59:C59"/>
    <mergeCell ref="B60:C60"/>
    <mergeCell ref="B61:C61"/>
    <mergeCell ref="D40:F40"/>
    <mergeCell ref="D58:F58"/>
    <mergeCell ref="D59:F59"/>
    <mergeCell ref="B54:C54"/>
    <mergeCell ref="D46:F46"/>
    <mergeCell ref="D47:F47"/>
    <mergeCell ref="D48:F48"/>
    <mergeCell ref="D49:F49"/>
    <mergeCell ref="D41:F41"/>
    <mergeCell ref="D42:F42"/>
    <mergeCell ref="D43:F43"/>
    <mergeCell ref="D44:F44"/>
    <mergeCell ref="D64:F64"/>
    <mergeCell ref="D69:F69"/>
    <mergeCell ref="B69:C69"/>
    <mergeCell ref="B19:C19"/>
    <mergeCell ref="D19:F19"/>
    <mergeCell ref="B20:C20"/>
    <mergeCell ref="D20:F20"/>
    <mergeCell ref="B21:C21"/>
    <mergeCell ref="D21:F21"/>
    <mergeCell ref="B15:F15"/>
    <mergeCell ref="B31:C31"/>
    <mergeCell ref="D31:F31"/>
    <mergeCell ref="B32:C32"/>
    <mergeCell ref="D32:F32"/>
    <mergeCell ref="B33:C33"/>
    <mergeCell ref="D33:F33"/>
    <mergeCell ref="B28:C28"/>
    <mergeCell ref="D28:F28"/>
    <mergeCell ref="B29:C29"/>
    <mergeCell ref="D29:F29"/>
    <mergeCell ref="B30:C30"/>
    <mergeCell ref="D30:F30"/>
    <mergeCell ref="B34:C34"/>
    <mergeCell ref="D34:F34"/>
    <mergeCell ref="D45:F45"/>
    <mergeCell ref="B1:F1"/>
    <mergeCell ref="B17:F17"/>
    <mergeCell ref="B18:C18"/>
    <mergeCell ref="D18:F18"/>
    <mergeCell ref="B25:C25"/>
    <mergeCell ref="D25:F25"/>
    <mergeCell ref="B26:C26"/>
    <mergeCell ref="D26:F26"/>
    <mergeCell ref="B27:C27"/>
    <mergeCell ref="D27:F27"/>
    <mergeCell ref="B22:C22"/>
    <mergeCell ref="D22:F22"/>
    <mergeCell ref="B23:C23"/>
    <mergeCell ref="D23:F23"/>
    <mergeCell ref="B24:C24"/>
    <mergeCell ref="D24:F24"/>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Arkusz7">
    <tabColor rgb="FFFF0000"/>
  </sheetPr>
  <dimension ref="A1:G203"/>
  <sheetViews>
    <sheetView workbookViewId="0">
      <pane ySplit="2" topLeftCell="A88" activePane="bottomLeft" state="frozen"/>
      <selection pane="bottomLeft" activeCell="A2" sqref="A2"/>
      <selection activeCell="A2" sqref="A2"/>
    </sheetView>
  </sheetViews>
  <sheetFormatPr defaultColWidth="30.7109375" defaultRowHeight="15"/>
  <cols>
    <col min="1" max="6" width="30.7109375" style="44"/>
    <col min="7" max="7" width="30.7109375" customWidth="1"/>
  </cols>
  <sheetData>
    <row r="1" spans="1:6" ht="13.5" customHeight="1">
      <c r="A1" s="49" t="str">
        <f>IF(Admin!B6=Lists!C1,"A",IF(Admin!B6=Lists!C2,"B",IF(Admin!B6=Lists!C3,"C",IF(Admin!B6=Lists!C4,"D",IF(Admin!B6=Lists!C5,"E",IF(Admin!B6=Lists!C6,"F",0))))))</f>
        <v>D</v>
      </c>
    </row>
    <row r="2" spans="1:6" ht="13.5" customHeight="1">
      <c r="A2" s="50" t="s">
        <v>113</v>
      </c>
      <c r="B2" s="50" t="s">
        <v>114</v>
      </c>
      <c r="C2" s="50" t="s">
        <v>115</v>
      </c>
      <c r="D2" s="50" t="s">
        <v>116</v>
      </c>
      <c r="E2" s="50" t="s">
        <v>117</v>
      </c>
      <c r="F2" s="50" t="s">
        <v>117</v>
      </c>
    </row>
    <row r="3" spans="1:6">
      <c r="A3" s="44" t="s">
        <v>118</v>
      </c>
      <c r="B3" s="44" t="s">
        <v>119</v>
      </c>
      <c r="C3" s="44" t="s">
        <v>120</v>
      </c>
      <c r="D3" s="44" t="s">
        <v>121</v>
      </c>
      <c r="E3" s="44" t="s">
        <v>122</v>
      </c>
      <c r="F3" s="44" t="s">
        <v>122</v>
      </c>
    </row>
    <row r="4" spans="1:6">
      <c r="A4" s="44" t="s">
        <v>123</v>
      </c>
      <c r="B4" s="44" t="s">
        <v>124</v>
      </c>
      <c r="C4" s="44" t="s">
        <v>125</v>
      </c>
      <c r="D4" s="44" t="s">
        <v>126</v>
      </c>
      <c r="E4" s="44" t="s">
        <v>122</v>
      </c>
      <c r="F4" s="44" t="s">
        <v>122</v>
      </c>
    </row>
    <row r="5" spans="1:6">
      <c r="A5" s="44" t="s">
        <v>127</v>
      </c>
      <c r="B5" s="44" t="s">
        <v>128</v>
      </c>
      <c r="C5" s="44" t="s">
        <v>129</v>
      </c>
      <c r="D5" s="44" t="s">
        <v>130</v>
      </c>
      <c r="E5" s="44" t="s">
        <v>122</v>
      </c>
      <c r="F5" s="44" t="s">
        <v>122</v>
      </c>
    </row>
    <row r="6" spans="1:6">
      <c r="A6" s="44" t="s">
        <v>131</v>
      </c>
      <c r="B6" s="44" t="s">
        <v>132</v>
      </c>
      <c r="C6" s="44" t="s">
        <v>133</v>
      </c>
      <c r="D6" s="44" t="s">
        <v>134</v>
      </c>
      <c r="E6" s="44" t="s">
        <v>122</v>
      </c>
      <c r="F6" s="44" t="s">
        <v>122</v>
      </c>
    </row>
    <row r="7" spans="1:6">
      <c r="A7" s="44" t="s">
        <v>135</v>
      </c>
      <c r="B7" s="44" t="s">
        <v>136</v>
      </c>
      <c r="C7" s="44" t="s">
        <v>137</v>
      </c>
      <c r="D7" s="44" t="s">
        <v>138</v>
      </c>
      <c r="E7" s="44" t="s">
        <v>122</v>
      </c>
      <c r="F7" s="44" t="s">
        <v>122</v>
      </c>
    </row>
    <row r="8" spans="1:6">
      <c r="A8" s="44" t="s">
        <v>139</v>
      </c>
      <c r="B8" s="44" t="s">
        <v>140</v>
      </c>
      <c r="C8" s="44" t="s">
        <v>141</v>
      </c>
      <c r="D8" s="44" t="s">
        <v>142</v>
      </c>
      <c r="E8" s="44" t="s">
        <v>122</v>
      </c>
      <c r="F8" s="44" t="s">
        <v>122</v>
      </c>
    </row>
    <row r="9" spans="1:6">
      <c r="A9" s="44" t="s">
        <v>143</v>
      </c>
      <c r="B9" s="44" t="s">
        <v>144</v>
      </c>
      <c r="C9" s="44" t="s">
        <v>145</v>
      </c>
      <c r="D9" s="44" t="s">
        <v>146</v>
      </c>
      <c r="E9" s="44" t="s">
        <v>122</v>
      </c>
      <c r="F9" s="44" t="s">
        <v>122</v>
      </c>
    </row>
    <row r="10" spans="1:6">
      <c r="A10" s="44" t="s">
        <v>147</v>
      </c>
      <c r="B10" s="44" t="s">
        <v>148</v>
      </c>
      <c r="C10" s="44" t="s">
        <v>149</v>
      </c>
      <c r="D10" s="44" t="s">
        <v>150</v>
      </c>
      <c r="E10" s="44" t="s">
        <v>122</v>
      </c>
      <c r="F10" s="44" t="s">
        <v>122</v>
      </c>
    </row>
    <row r="11" spans="1:6">
      <c r="A11" s="44" t="s">
        <v>151</v>
      </c>
      <c r="B11" s="44" t="s">
        <v>152</v>
      </c>
      <c r="C11" s="44" t="s">
        <v>153</v>
      </c>
      <c r="D11" s="44" t="s">
        <v>154</v>
      </c>
      <c r="E11" s="44" t="s">
        <v>122</v>
      </c>
      <c r="F11" s="44" t="s">
        <v>122</v>
      </c>
    </row>
    <row r="12" spans="1:6">
      <c r="A12" s="44" t="s">
        <v>155</v>
      </c>
      <c r="B12" s="44" t="s">
        <v>156</v>
      </c>
      <c r="C12" s="44" t="s">
        <v>157</v>
      </c>
      <c r="D12" s="44" t="s">
        <v>158</v>
      </c>
      <c r="E12" s="44" t="s">
        <v>122</v>
      </c>
      <c r="F12" s="44" t="s">
        <v>122</v>
      </c>
    </row>
    <row r="13" spans="1:6">
      <c r="A13" s="44" t="s">
        <v>159</v>
      </c>
      <c r="B13" s="44" t="s">
        <v>160</v>
      </c>
      <c r="C13" s="44" t="s">
        <v>161</v>
      </c>
      <c r="D13" s="44" t="s">
        <v>162</v>
      </c>
      <c r="E13" s="44" t="s">
        <v>122</v>
      </c>
      <c r="F13" s="44" t="s">
        <v>122</v>
      </c>
    </row>
    <row r="14" spans="1:6">
      <c r="A14" s="44" t="s">
        <v>163</v>
      </c>
      <c r="B14" s="44" t="s">
        <v>164</v>
      </c>
      <c r="C14" s="44" t="s">
        <v>165</v>
      </c>
      <c r="D14" s="44" t="s">
        <v>0</v>
      </c>
      <c r="E14" s="44" t="s">
        <v>122</v>
      </c>
      <c r="F14" s="44" t="s">
        <v>122</v>
      </c>
    </row>
    <row r="15" spans="1:6">
      <c r="A15" s="44" t="s">
        <v>166</v>
      </c>
      <c r="B15" s="44" t="s">
        <v>167</v>
      </c>
      <c r="C15" s="44" t="s">
        <v>168</v>
      </c>
      <c r="D15" s="44" t="s">
        <v>169</v>
      </c>
      <c r="E15" s="44" t="s">
        <v>122</v>
      </c>
      <c r="F15" s="44" t="s">
        <v>122</v>
      </c>
    </row>
    <row r="16" spans="1:6">
      <c r="A16" s="44" t="s">
        <v>170</v>
      </c>
      <c r="B16" s="44" t="s">
        <v>171</v>
      </c>
      <c r="C16" s="44" t="s">
        <v>172</v>
      </c>
      <c r="D16" s="44" t="s">
        <v>173</v>
      </c>
      <c r="E16" s="44" t="s">
        <v>122</v>
      </c>
      <c r="F16" s="44" t="s">
        <v>122</v>
      </c>
    </row>
    <row r="17" spans="1:7">
      <c r="A17" s="44" t="s">
        <v>174</v>
      </c>
      <c r="B17" s="44" t="s">
        <v>175</v>
      </c>
      <c r="C17" s="44" t="s">
        <v>174</v>
      </c>
      <c r="D17" s="44" t="s">
        <v>175</v>
      </c>
      <c r="E17" s="44" t="s">
        <v>122</v>
      </c>
      <c r="F17" s="44" t="s">
        <v>122</v>
      </c>
    </row>
    <row r="18" spans="1:7">
      <c r="A18" s="44" t="s">
        <v>176</v>
      </c>
      <c r="B18" s="44" t="s">
        <v>177</v>
      </c>
      <c r="C18" s="44" t="s">
        <v>176</v>
      </c>
      <c r="D18" s="44" t="s">
        <v>178</v>
      </c>
      <c r="E18" s="44" t="s">
        <v>122</v>
      </c>
      <c r="F18" s="44" t="s">
        <v>122</v>
      </c>
    </row>
    <row r="19" spans="1:7">
      <c r="A19" s="44" t="s">
        <v>179</v>
      </c>
      <c r="B19" s="44" t="s">
        <v>180</v>
      </c>
      <c r="C19" s="44" t="s">
        <v>181</v>
      </c>
      <c r="D19" s="44" t="s">
        <v>182</v>
      </c>
      <c r="E19" s="44" t="s">
        <v>122</v>
      </c>
      <c r="F19" s="44" t="s">
        <v>122</v>
      </c>
    </row>
    <row r="20" spans="1:7">
      <c r="A20" s="44" t="s">
        <v>183</v>
      </c>
      <c r="B20" s="44" t="s">
        <v>184</v>
      </c>
      <c r="C20" s="44" t="s">
        <v>185</v>
      </c>
      <c r="D20" s="44" t="s">
        <v>186</v>
      </c>
      <c r="E20" s="44" t="s">
        <v>122</v>
      </c>
      <c r="F20" s="44" t="s">
        <v>122</v>
      </c>
    </row>
    <row r="21" spans="1:7">
      <c r="A21" s="44" t="s">
        <v>187</v>
      </c>
      <c r="B21" s="44" t="s">
        <v>188</v>
      </c>
      <c r="C21" s="44" t="s">
        <v>189</v>
      </c>
      <c r="D21" s="44" t="s">
        <v>190</v>
      </c>
      <c r="E21" s="44" t="s">
        <v>122</v>
      </c>
      <c r="F21" s="44" t="s">
        <v>122</v>
      </c>
    </row>
    <row r="22" spans="1:7">
      <c r="A22" s="44" t="s">
        <v>191</v>
      </c>
      <c r="B22" s="44" t="s">
        <v>192</v>
      </c>
      <c r="C22" s="44" t="s">
        <v>193</v>
      </c>
      <c r="D22" s="44" t="s">
        <v>194</v>
      </c>
      <c r="E22" s="44" t="s">
        <v>122</v>
      </c>
      <c r="F22" s="44" t="s">
        <v>122</v>
      </c>
    </row>
    <row r="23" spans="1:7">
      <c r="A23" s="44" t="s">
        <v>195</v>
      </c>
      <c r="B23" s="44" t="s">
        <v>196</v>
      </c>
      <c r="C23" s="44" t="s">
        <v>197</v>
      </c>
      <c r="D23" s="44" t="s">
        <v>198</v>
      </c>
      <c r="E23" s="44" t="s">
        <v>122</v>
      </c>
      <c r="F23" s="44" t="s">
        <v>122</v>
      </c>
    </row>
    <row r="24" spans="1:7">
      <c r="A24" s="44" t="s">
        <v>199</v>
      </c>
      <c r="B24" s="44" t="s">
        <v>200</v>
      </c>
      <c r="C24" s="44" t="s">
        <v>201</v>
      </c>
      <c r="D24" s="44" t="s">
        <v>200</v>
      </c>
      <c r="E24" s="44" t="s">
        <v>122</v>
      </c>
      <c r="F24" s="44" t="s">
        <v>122</v>
      </c>
    </row>
    <row r="25" spans="1:7">
      <c r="A25" s="44" t="s">
        <v>202</v>
      </c>
      <c r="B25" s="44" t="s">
        <v>203</v>
      </c>
      <c r="C25" s="44" t="s">
        <v>204</v>
      </c>
      <c r="D25" s="44" t="s">
        <v>205</v>
      </c>
      <c r="E25" s="44" t="s">
        <v>122</v>
      </c>
      <c r="F25" s="44" t="s">
        <v>122</v>
      </c>
    </row>
    <row r="26" spans="1:7">
      <c r="A26" s="44" t="s">
        <v>206</v>
      </c>
      <c r="B26" s="44" t="s">
        <v>207</v>
      </c>
      <c r="C26" s="44" t="s">
        <v>208</v>
      </c>
      <c r="D26" s="44" t="s">
        <v>209</v>
      </c>
      <c r="E26" s="44" t="s">
        <v>122</v>
      </c>
      <c r="F26" s="44" t="s">
        <v>122</v>
      </c>
      <c r="G26" s="105"/>
    </row>
    <row r="27" spans="1:7">
      <c r="A27" s="44" t="s">
        <v>210</v>
      </c>
      <c r="B27" s="44" t="s">
        <v>211</v>
      </c>
      <c r="C27" s="44" t="s">
        <v>212</v>
      </c>
      <c r="D27" s="44" t="s">
        <v>213</v>
      </c>
      <c r="E27" s="44" t="s">
        <v>122</v>
      </c>
      <c r="F27" s="44" t="s">
        <v>122</v>
      </c>
    </row>
    <row r="28" spans="1:7">
      <c r="A28" s="44" t="s">
        <v>214</v>
      </c>
      <c r="B28" s="44" t="s">
        <v>215</v>
      </c>
      <c r="C28" s="44" t="s">
        <v>216</v>
      </c>
      <c r="D28" s="44" t="s">
        <v>217</v>
      </c>
      <c r="E28" s="44" t="s">
        <v>122</v>
      </c>
      <c r="F28" s="44" t="s">
        <v>122</v>
      </c>
    </row>
    <row r="29" spans="1:7">
      <c r="A29" s="44" t="s">
        <v>218</v>
      </c>
      <c r="B29" s="44" t="s">
        <v>219</v>
      </c>
      <c r="C29" s="44" t="s">
        <v>220</v>
      </c>
      <c r="D29" s="44" t="s">
        <v>221</v>
      </c>
      <c r="E29" s="44" t="s">
        <v>122</v>
      </c>
      <c r="F29" s="44" t="s">
        <v>122</v>
      </c>
    </row>
    <row r="30" spans="1:7">
      <c r="A30" s="44" t="s">
        <v>222</v>
      </c>
      <c r="B30" s="44" t="s">
        <v>223</v>
      </c>
      <c r="C30" s="44" t="s">
        <v>224</v>
      </c>
      <c r="D30" s="44" t="s">
        <v>225</v>
      </c>
      <c r="E30" s="44" t="s">
        <v>122</v>
      </c>
      <c r="F30" s="44" t="s">
        <v>122</v>
      </c>
    </row>
    <row r="31" spans="1:7">
      <c r="A31" s="44" t="s">
        <v>226</v>
      </c>
      <c r="B31" s="44" t="s">
        <v>227</v>
      </c>
      <c r="C31" s="44" t="s">
        <v>228</v>
      </c>
      <c r="D31" s="44" t="s">
        <v>229</v>
      </c>
      <c r="E31" s="44" t="s">
        <v>122</v>
      </c>
      <c r="F31" s="44" t="s">
        <v>122</v>
      </c>
    </row>
    <row r="32" spans="1:7">
      <c r="A32" s="44" t="s">
        <v>230</v>
      </c>
      <c r="B32" s="44" t="s">
        <v>231</v>
      </c>
      <c r="C32" s="44" t="s">
        <v>232</v>
      </c>
      <c r="D32" s="44" t="s">
        <v>233</v>
      </c>
      <c r="E32" s="44" t="s">
        <v>122</v>
      </c>
      <c r="F32" s="44" t="s">
        <v>122</v>
      </c>
    </row>
    <row r="33" spans="1:6">
      <c r="A33" s="44" t="s">
        <v>234</v>
      </c>
      <c r="B33" s="44" t="s">
        <v>235</v>
      </c>
      <c r="C33" s="44" t="s">
        <v>236</v>
      </c>
      <c r="D33" s="44" t="s">
        <v>237</v>
      </c>
      <c r="E33" s="44" t="s">
        <v>122</v>
      </c>
      <c r="F33" s="44" t="s">
        <v>122</v>
      </c>
    </row>
    <row r="34" spans="1:6">
      <c r="A34" s="44" t="s">
        <v>238</v>
      </c>
      <c r="B34" s="44" t="s">
        <v>239</v>
      </c>
      <c r="C34" s="44" t="s">
        <v>240</v>
      </c>
      <c r="D34" s="44" t="s">
        <v>241</v>
      </c>
      <c r="E34" s="44" t="s">
        <v>122</v>
      </c>
      <c r="F34" s="44" t="s">
        <v>122</v>
      </c>
    </row>
    <row r="35" spans="1:6">
      <c r="A35" s="44" t="s">
        <v>242</v>
      </c>
      <c r="B35" s="44" t="s">
        <v>243</v>
      </c>
      <c r="C35" s="44" t="s">
        <v>244</v>
      </c>
      <c r="D35" s="44" t="s">
        <v>245</v>
      </c>
      <c r="E35" s="44" t="s">
        <v>122</v>
      </c>
      <c r="F35" s="44" t="s">
        <v>122</v>
      </c>
    </row>
    <row r="36" spans="1:6">
      <c r="A36" s="44" t="s">
        <v>246</v>
      </c>
      <c r="B36" s="44" t="s">
        <v>247</v>
      </c>
      <c r="C36" s="44" t="s">
        <v>248</v>
      </c>
      <c r="D36" s="44" t="s">
        <v>249</v>
      </c>
      <c r="E36" s="44" t="s">
        <v>122</v>
      </c>
      <c r="F36" s="44" t="s">
        <v>122</v>
      </c>
    </row>
    <row r="37" spans="1:6">
      <c r="A37" s="44" t="s">
        <v>250</v>
      </c>
      <c r="B37" s="44" t="s">
        <v>251</v>
      </c>
      <c r="C37" s="44" t="s">
        <v>252</v>
      </c>
      <c r="D37" s="44" t="s">
        <v>253</v>
      </c>
      <c r="E37" s="44" t="s">
        <v>122</v>
      </c>
      <c r="F37" s="44" t="s">
        <v>122</v>
      </c>
    </row>
    <row r="38" spans="1:6">
      <c r="A38" s="44" t="s">
        <v>254</v>
      </c>
      <c r="B38" s="44" t="s">
        <v>255</v>
      </c>
      <c r="C38" s="44" t="s">
        <v>256</v>
      </c>
      <c r="D38" s="44" t="s">
        <v>255</v>
      </c>
      <c r="E38" s="44" t="s">
        <v>122</v>
      </c>
      <c r="F38" s="44" t="s">
        <v>122</v>
      </c>
    </row>
    <row r="39" spans="1:6">
      <c r="A39" s="44" t="s">
        <v>257</v>
      </c>
      <c r="B39" s="44" t="s">
        <v>258</v>
      </c>
      <c r="C39" s="44" t="s">
        <v>259</v>
      </c>
      <c r="D39" s="44" t="s">
        <v>258</v>
      </c>
      <c r="E39" s="44" t="s">
        <v>122</v>
      </c>
      <c r="F39" s="44" t="s">
        <v>122</v>
      </c>
    </row>
    <row r="40" spans="1:6">
      <c r="A40" s="44" t="s">
        <v>260</v>
      </c>
      <c r="B40" s="44" t="s">
        <v>261</v>
      </c>
      <c r="C40" s="44" t="s">
        <v>262</v>
      </c>
      <c r="D40" s="44" t="s">
        <v>263</v>
      </c>
      <c r="E40" s="44" t="s">
        <v>122</v>
      </c>
      <c r="F40" s="44" t="s">
        <v>122</v>
      </c>
    </row>
    <row r="41" spans="1:6">
      <c r="A41" s="44" t="s">
        <v>264</v>
      </c>
      <c r="B41" s="44" t="s">
        <v>265</v>
      </c>
      <c r="C41" s="44" t="s">
        <v>266</v>
      </c>
      <c r="D41" s="44" t="s">
        <v>48</v>
      </c>
      <c r="E41" s="44" t="s">
        <v>122</v>
      </c>
      <c r="F41" s="44" t="s">
        <v>122</v>
      </c>
    </row>
    <row r="42" spans="1:6">
      <c r="A42" s="44" t="s">
        <v>267</v>
      </c>
      <c r="B42" s="44" t="s">
        <v>243</v>
      </c>
      <c r="C42" s="44" t="s">
        <v>268</v>
      </c>
      <c r="D42" s="44" t="s">
        <v>269</v>
      </c>
      <c r="E42" s="44" t="s">
        <v>122</v>
      </c>
      <c r="F42" s="44" t="s">
        <v>122</v>
      </c>
    </row>
    <row r="43" spans="1:6">
      <c r="A43" s="44" t="s">
        <v>46</v>
      </c>
      <c r="B43" s="44" t="s">
        <v>270</v>
      </c>
      <c r="C43" s="44" t="s">
        <v>271</v>
      </c>
      <c r="D43" s="44" t="s">
        <v>272</v>
      </c>
      <c r="E43" s="44" t="s">
        <v>122</v>
      </c>
      <c r="F43" s="44" t="s">
        <v>122</v>
      </c>
    </row>
    <row r="44" spans="1:6">
      <c r="A44" s="44" t="s">
        <v>273</v>
      </c>
      <c r="B44" s="44" t="s">
        <v>274</v>
      </c>
      <c r="C44" s="44" t="s">
        <v>275</v>
      </c>
      <c r="D44" s="44" t="s">
        <v>276</v>
      </c>
      <c r="E44" s="44" t="s">
        <v>122</v>
      </c>
      <c r="F44" s="44" t="s">
        <v>122</v>
      </c>
    </row>
    <row r="45" spans="1:6">
      <c r="A45" s="44" t="s">
        <v>277</v>
      </c>
      <c r="B45" s="44" t="s">
        <v>278</v>
      </c>
      <c r="C45" s="44" t="s">
        <v>279</v>
      </c>
      <c r="D45" s="44" t="s">
        <v>280</v>
      </c>
      <c r="E45" s="44" t="s">
        <v>122</v>
      </c>
      <c r="F45" s="44" t="s">
        <v>122</v>
      </c>
    </row>
    <row r="46" spans="1:6">
      <c r="A46" s="44" t="s">
        <v>281</v>
      </c>
      <c r="B46" s="44" t="s">
        <v>282</v>
      </c>
      <c r="C46" s="44" t="s">
        <v>283</v>
      </c>
      <c r="D46" s="44" t="s">
        <v>284</v>
      </c>
      <c r="E46" s="44" t="s">
        <v>122</v>
      </c>
      <c r="F46" s="44" t="s">
        <v>122</v>
      </c>
    </row>
    <row r="47" spans="1:6">
      <c r="A47" s="44" t="s">
        <v>285</v>
      </c>
      <c r="B47" s="44" t="s">
        <v>286</v>
      </c>
      <c r="C47" s="44" t="s">
        <v>287</v>
      </c>
      <c r="D47" s="44" t="s">
        <v>288</v>
      </c>
      <c r="E47" s="44" t="s">
        <v>122</v>
      </c>
      <c r="F47" s="44" t="s">
        <v>122</v>
      </c>
    </row>
    <row r="48" spans="1:6">
      <c r="A48" s="44" t="s">
        <v>289</v>
      </c>
      <c r="B48" s="44" t="s">
        <v>290</v>
      </c>
      <c r="C48" s="44" t="s">
        <v>291</v>
      </c>
      <c r="D48" s="44" t="s">
        <v>292</v>
      </c>
      <c r="E48" s="44" t="s">
        <v>122</v>
      </c>
      <c r="F48" s="44" t="s">
        <v>122</v>
      </c>
    </row>
    <row r="49" spans="1:6" ht="27.75">
      <c r="A49" s="44" t="s">
        <v>293</v>
      </c>
      <c r="B49" s="44" t="s">
        <v>294</v>
      </c>
      <c r="C49" s="44" t="s">
        <v>295</v>
      </c>
      <c r="D49" s="44" t="s">
        <v>296</v>
      </c>
      <c r="E49" s="44" t="s">
        <v>122</v>
      </c>
      <c r="F49" s="44" t="s">
        <v>122</v>
      </c>
    </row>
    <row r="50" spans="1:6">
      <c r="A50" s="44" t="s">
        <v>297</v>
      </c>
      <c r="B50" s="44" t="s">
        <v>298</v>
      </c>
      <c r="C50" s="44" t="s">
        <v>299</v>
      </c>
      <c r="D50" s="44" t="s">
        <v>300</v>
      </c>
      <c r="E50" s="44" t="s">
        <v>122</v>
      </c>
      <c r="F50" s="44" t="s">
        <v>122</v>
      </c>
    </row>
    <row r="51" spans="1:6">
      <c r="A51" s="44" t="s">
        <v>301</v>
      </c>
      <c r="B51" s="44" t="s">
        <v>302</v>
      </c>
      <c r="C51" s="44" t="s">
        <v>303</v>
      </c>
      <c r="D51" s="44" t="s">
        <v>304</v>
      </c>
      <c r="E51" s="44" t="s">
        <v>122</v>
      </c>
      <c r="F51" s="44" t="s">
        <v>122</v>
      </c>
    </row>
    <row r="52" spans="1:6">
      <c r="A52" s="44" t="s">
        <v>305</v>
      </c>
      <c r="B52" s="44" t="s">
        <v>306</v>
      </c>
      <c r="C52" s="44" t="s">
        <v>307</v>
      </c>
      <c r="D52" s="44" t="s">
        <v>308</v>
      </c>
      <c r="E52" s="44" t="s">
        <v>122</v>
      </c>
      <c r="F52" s="44" t="s">
        <v>122</v>
      </c>
    </row>
    <row r="53" spans="1:6">
      <c r="A53" s="44" t="s">
        <v>309</v>
      </c>
      <c r="B53" s="44" t="s">
        <v>310</v>
      </c>
      <c r="C53" s="44" t="s">
        <v>287</v>
      </c>
      <c r="D53" s="44" t="s">
        <v>311</v>
      </c>
      <c r="E53" s="44" t="s">
        <v>122</v>
      </c>
      <c r="F53" s="44" t="s">
        <v>122</v>
      </c>
    </row>
    <row r="54" spans="1:6">
      <c r="A54" s="44" t="s">
        <v>312</v>
      </c>
      <c r="B54" s="44" t="s">
        <v>313</v>
      </c>
      <c r="C54" s="44" t="s">
        <v>314</v>
      </c>
      <c r="D54" s="44" t="s">
        <v>315</v>
      </c>
      <c r="E54" s="44" t="s">
        <v>122</v>
      </c>
      <c r="F54" s="44" t="s">
        <v>122</v>
      </c>
    </row>
    <row r="55" spans="1:6">
      <c r="A55" s="44" t="s">
        <v>316</v>
      </c>
      <c r="B55" s="44" t="s">
        <v>317</v>
      </c>
      <c r="C55" s="44" t="s">
        <v>318</v>
      </c>
      <c r="D55" s="44" t="s">
        <v>319</v>
      </c>
      <c r="E55" s="44" t="s">
        <v>122</v>
      </c>
      <c r="F55" s="44" t="s">
        <v>122</v>
      </c>
    </row>
    <row r="56" spans="1:6">
      <c r="A56" s="44" t="s">
        <v>320</v>
      </c>
      <c r="B56" s="44" t="s">
        <v>321</v>
      </c>
      <c r="C56" s="44" t="s">
        <v>320</v>
      </c>
      <c r="D56" s="44" t="s">
        <v>322</v>
      </c>
      <c r="E56" s="44" t="s">
        <v>122</v>
      </c>
      <c r="F56" s="44" t="s">
        <v>122</v>
      </c>
    </row>
    <row r="57" spans="1:6">
      <c r="A57" s="44" t="s">
        <v>323</v>
      </c>
      <c r="B57" s="44" t="s">
        <v>324</v>
      </c>
      <c r="C57" s="44" t="s">
        <v>325</v>
      </c>
      <c r="D57" s="44" t="s">
        <v>326</v>
      </c>
      <c r="E57" s="44" t="s">
        <v>122</v>
      </c>
      <c r="F57" s="44" t="s">
        <v>122</v>
      </c>
    </row>
    <row r="58" spans="1:6">
      <c r="A58" s="44" t="s">
        <v>327</v>
      </c>
      <c r="B58" s="44" t="s">
        <v>328</v>
      </c>
      <c r="C58" s="44" t="s">
        <v>329</v>
      </c>
      <c r="D58" s="44" t="s">
        <v>330</v>
      </c>
      <c r="E58" s="44" t="s">
        <v>122</v>
      </c>
      <c r="F58" s="44" t="s">
        <v>122</v>
      </c>
    </row>
    <row r="59" spans="1:6">
      <c r="A59" s="44" t="s">
        <v>331</v>
      </c>
      <c r="B59" s="44" t="s">
        <v>332</v>
      </c>
      <c r="C59" s="44" t="s">
        <v>333</v>
      </c>
      <c r="D59" s="44" t="s">
        <v>334</v>
      </c>
      <c r="E59" s="44" t="s">
        <v>122</v>
      </c>
      <c r="F59" s="44" t="s">
        <v>122</v>
      </c>
    </row>
    <row r="60" spans="1:6">
      <c r="A60" s="44" t="s">
        <v>335</v>
      </c>
      <c r="B60" s="44" t="s">
        <v>336</v>
      </c>
      <c r="C60" s="44" t="s">
        <v>337</v>
      </c>
      <c r="D60" s="44" t="s">
        <v>338</v>
      </c>
      <c r="E60" s="44" t="s">
        <v>122</v>
      </c>
      <c r="F60" s="44" t="s">
        <v>122</v>
      </c>
    </row>
    <row r="61" spans="1:6">
      <c r="A61" s="44" t="s">
        <v>339</v>
      </c>
      <c r="B61" s="44" t="s">
        <v>306</v>
      </c>
      <c r="C61" s="44" t="s">
        <v>340</v>
      </c>
      <c r="D61" s="44" t="s">
        <v>341</v>
      </c>
      <c r="E61" s="44" t="s">
        <v>122</v>
      </c>
      <c r="F61" s="44" t="s">
        <v>122</v>
      </c>
    </row>
    <row r="62" spans="1:6">
      <c r="A62" s="44" t="s">
        <v>342</v>
      </c>
      <c r="B62" s="44" t="s">
        <v>310</v>
      </c>
      <c r="C62" s="44" t="s">
        <v>287</v>
      </c>
      <c r="D62" s="44" t="s">
        <v>311</v>
      </c>
      <c r="E62" s="44" t="s">
        <v>122</v>
      </c>
      <c r="F62" s="44" t="s">
        <v>122</v>
      </c>
    </row>
    <row r="63" spans="1:6">
      <c r="A63" s="44" t="s">
        <v>343</v>
      </c>
      <c r="B63" s="44" t="s">
        <v>344</v>
      </c>
      <c r="C63" s="44" t="s">
        <v>345</v>
      </c>
      <c r="D63" s="44" t="s">
        <v>346</v>
      </c>
      <c r="E63" s="44" t="s">
        <v>122</v>
      </c>
      <c r="F63" s="44" t="s">
        <v>122</v>
      </c>
    </row>
    <row r="64" spans="1:6">
      <c r="A64" s="44" t="s">
        <v>347</v>
      </c>
      <c r="B64" s="44" t="s">
        <v>348</v>
      </c>
      <c r="C64" s="44" t="s">
        <v>349</v>
      </c>
      <c r="D64" s="44" t="s">
        <v>350</v>
      </c>
      <c r="E64" s="44" t="s">
        <v>122</v>
      </c>
      <c r="F64" s="44" t="s">
        <v>122</v>
      </c>
    </row>
    <row r="65" spans="1:7">
      <c r="A65" s="44" t="s">
        <v>351</v>
      </c>
      <c r="B65" s="44" t="s">
        <v>352</v>
      </c>
      <c r="C65" s="44" t="s">
        <v>353</v>
      </c>
      <c r="D65" s="44" t="s">
        <v>354</v>
      </c>
      <c r="E65" s="44" t="s">
        <v>122</v>
      </c>
      <c r="F65" s="44" t="s">
        <v>122</v>
      </c>
    </row>
    <row r="66" spans="1:7">
      <c r="A66" s="44" t="s">
        <v>355</v>
      </c>
      <c r="B66" s="44" t="s">
        <v>356</v>
      </c>
      <c r="C66" s="44" t="s">
        <v>357</v>
      </c>
      <c r="D66" s="44" t="s">
        <v>358</v>
      </c>
      <c r="E66" s="44" t="s">
        <v>122</v>
      </c>
      <c r="F66" s="44" t="s">
        <v>122</v>
      </c>
    </row>
    <row r="67" spans="1:7" ht="408.95" customHeight="1">
      <c r="A67" s="44" t="s">
        <v>359</v>
      </c>
      <c r="B67" s="44" t="s">
        <v>360</v>
      </c>
      <c r="C67" s="44" t="s">
        <v>361</v>
      </c>
      <c r="D67" s="44" t="s">
        <v>362</v>
      </c>
      <c r="E67" s="44" t="s">
        <v>122</v>
      </c>
      <c r="F67" s="44" t="s">
        <v>122</v>
      </c>
      <c r="G67" s="45" t="str">
        <f ca="1">INDIRECT("T!"&amp;T!A1&amp;"67")</f>
        <v xml:space="preserve">EFEKTYWNOŚĆ GRAFIKU MANAGERSKIEGO
Rekomendacje:
Customer &amp; Sales:
- 1xSMS
- 1xDOS uwzględniając kalendarz regionalny
- każdy wtorek ADM
- SM powinien prowadzić conajmniej 3 zmiany w tyg.
- SM powinien prowadzić zmiany podczas największego ruchu 
People:
- Każdy Poniedziałek ASM NC - 4 godziny
- Każdy Poniedziałek Observe&amp;Coach albo inne wartościowe zadania
po porozumieniu z SM'em, jeśli nie - 4 C
Product
- Ostatni dzień miesiąca 1xINV
- Jeżeli store ma problem (PCA, Efektywność) jedna
inwentaryacja w środku miesiąca albo inwentaryzacja
topowych itemów
Facility
- Pierwszy albo Drugi dzień miesiąca NC dla Prev Maintenance
</v>
      </c>
    </row>
    <row r="68" spans="1:7">
      <c r="A68" s="44" t="s">
        <v>363</v>
      </c>
      <c r="B68" s="44" t="s">
        <v>364</v>
      </c>
      <c r="C68" s="44" t="s">
        <v>365</v>
      </c>
      <c r="D68" s="44" t="s">
        <v>366</v>
      </c>
      <c r="E68" s="44" t="s">
        <v>122</v>
      </c>
      <c r="F68" s="44" t="s">
        <v>122</v>
      </c>
    </row>
    <row r="69" spans="1:7" ht="27.75">
      <c r="A69" s="44" t="s">
        <v>367</v>
      </c>
      <c r="B69" s="44" t="s">
        <v>368</v>
      </c>
      <c r="C69" s="44" t="s">
        <v>369</v>
      </c>
      <c r="D69" s="44" t="s">
        <v>370</v>
      </c>
      <c r="E69" s="44" t="s">
        <v>122</v>
      </c>
      <c r="F69" s="44" t="s">
        <v>122</v>
      </c>
      <c r="G69" s="45" t="str">
        <f ca="1">INDIRECT("T!"&amp;T!A1&amp;"69")</f>
        <v>Czy chesz usunąć wszystkie dane z arkuszy "Holidays" oraz "Schedules"?</v>
      </c>
    </row>
    <row r="70" spans="1:7" ht="27.75">
      <c r="A70" s="44" t="s">
        <v>371</v>
      </c>
      <c r="B70" s="44" t="s">
        <v>372</v>
      </c>
      <c r="C70" s="44" t="s">
        <v>373</v>
      </c>
      <c r="D70" s="44" t="s">
        <v>374</v>
      </c>
      <c r="E70" s="44" t="s">
        <v>122</v>
      </c>
      <c r="F70" s="44" t="s">
        <v>122</v>
      </c>
      <c r="G70" s="45" t="str">
        <f ca="1">INDIRECT("T!"&amp;T!A1&amp;"70")</f>
        <v>Czy chcesz usunąć wszystkie zadania NC?</v>
      </c>
    </row>
    <row r="71" spans="1:7">
      <c r="A71" s="44" t="s">
        <v>375</v>
      </c>
      <c r="B71" s="44" t="s">
        <v>376</v>
      </c>
      <c r="C71" s="44" t="s">
        <v>377</v>
      </c>
      <c r="D71" s="44" t="s">
        <v>378</v>
      </c>
      <c r="E71" s="44" t="s">
        <v>122</v>
      </c>
      <c r="F71" s="44" t="s">
        <v>122</v>
      </c>
    </row>
    <row r="72" spans="1:7">
      <c r="A72" s="44" t="s">
        <v>379</v>
      </c>
      <c r="B72" s="44" t="s">
        <v>380</v>
      </c>
      <c r="C72" s="44" t="s">
        <v>381</v>
      </c>
      <c r="D72" s="44" t="s">
        <v>382</v>
      </c>
      <c r="E72" s="44" t="s">
        <v>122</v>
      </c>
      <c r="F72" s="44" t="s">
        <v>122</v>
      </c>
    </row>
    <row r="73" spans="1:7">
      <c r="A73" s="44" t="s">
        <v>383</v>
      </c>
      <c r="B73" s="44" t="s">
        <v>384</v>
      </c>
      <c r="C73" s="44" t="s">
        <v>385</v>
      </c>
      <c r="D73" s="44" t="s">
        <v>386</v>
      </c>
      <c r="E73" s="44" t="s">
        <v>122</v>
      </c>
      <c r="F73" s="44" t="s">
        <v>122</v>
      </c>
    </row>
    <row r="74" spans="1:7">
      <c r="A74" s="44" t="s">
        <v>323</v>
      </c>
      <c r="B74" s="44" t="s">
        <v>324</v>
      </c>
      <c r="C74" s="44" t="s">
        <v>325</v>
      </c>
      <c r="D74" s="44" t="s">
        <v>326</v>
      </c>
      <c r="E74" s="44" t="s">
        <v>122</v>
      </c>
      <c r="F74" s="44" t="s">
        <v>122</v>
      </c>
    </row>
    <row r="75" spans="1:7" ht="54.75">
      <c r="A75" s="44" t="s">
        <v>387</v>
      </c>
      <c r="B75" s="44" t="s">
        <v>388</v>
      </c>
      <c r="C75" s="44" t="s">
        <v>389</v>
      </c>
      <c r="D75" s="44" t="s">
        <v>390</v>
      </c>
      <c r="E75" s="44" t="s">
        <v>122</v>
      </c>
      <c r="F75" s="44" t="s">
        <v>122</v>
      </c>
    </row>
    <row r="76" spans="1:7">
      <c r="A76" s="44" t="s">
        <v>391</v>
      </c>
      <c r="B76" s="44" t="s">
        <v>392</v>
      </c>
      <c r="C76" s="44" t="s">
        <v>393</v>
      </c>
      <c r="D76" s="44" t="s">
        <v>394</v>
      </c>
      <c r="E76" s="44" t="s">
        <v>122</v>
      </c>
      <c r="F76" s="44" t="s">
        <v>122</v>
      </c>
    </row>
    <row r="77" spans="1:7" ht="175.5">
      <c r="A77" s="44" t="s">
        <v>395</v>
      </c>
      <c r="B77" s="44" t="s">
        <v>396</v>
      </c>
      <c r="C77" s="44" t="s">
        <v>397</v>
      </c>
      <c r="D77" s="44" t="s">
        <v>398</v>
      </c>
      <c r="E77" s="44" t="s">
        <v>122</v>
      </c>
      <c r="F77" s="44" t="s">
        <v>122</v>
      </c>
    </row>
    <row r="78" spans="1:7">
      <c r="A78" s="44" t="s">
        <v>399</v>
      </c>
      <c r="B78" s="44" t="s">
        <v>400</v>
      </c>
      <c r="C78" s="44" t="s">
        <v>401</v>
      </c>
      <c r="D78" s="44" t="s">
        <v>402</v>
      </c>
      <c r="E78" s="44" t="s">
        <v>122</v>
      </c>
      <c r="F78" s="44" t="s">
        <v>122</v>
      </c>
    </row>
    <row r="79" spans="1:7" ht="68.25">
      <c r="A79" s="44" t="s">
        <v>403</v>
      </c>
      <c r="B79" s="44" t="s">
        <v>404</v>
      </c>
      <c r="C79" s="44" t="s">
        <v>405</v>
      </c>
      <c r="D79" s="44" t="s">
        <v>406</v>
      </c>
      <c r="E79" s="44" t="s">
        <v>122</v>
      </c>
      <c r="F79" s="44" t="s">
        <v>122</v>
      </c>
    </row>
    <row r="80" spans="1:7">
      <c r="A80" s="44" t="s">
        <v>407</v>
      </c>
      <c r="B80" s="44" t="s">
        <v>408</v>
      </c>
      <c r="C80" s="44" t="s">
        <v>409</v>
      </c>
      <c r="D80" s="44" t="s">
        <v>410</v>
      </c>
      <c r="E80" s="44" t="s">
        <v>122</v>
      </c>
      <c r="F80" s="44" t="s">
        <v>122</v>
      </c>
    </row>
    <row r="81" spans="1:6">
      <c r="A81" s="44" t="s">
        <v>411</v>
      </c>
      <c r="B81" s="44" t="s">
        <v>412</v>
      </c>
      <c r="C81" s="44" t="s">
        <v>413</v>
      </c>
      <c r="D81" s="44" t="s">
        <v>414</v>
      </c>
      <c r="E81" s="44" t="s">
        <v>122</v>
      </c>
      <c r="F81" s="44" t="s">
        <v>122</v>
      </c>
    </row>
    <row r="82" spans="1:6">
      <c r="A82" s="44" t="s">
        <v>415</v>
      </c>
      <c r="B82" s="44" t="s">
        <v>416</v>
      </c>
      <c r="C82" s="44" t="s">
        <v>417</v>
      </c>
      <c r="D82" s="44" t="s">
        <v>418</v>
      </c>
      <c r="E82" s="44" t="s">
        <v>122</v>
      </c>
      <c r="F82" s="44" t="s">
        <v>122</v>
      </c>
    </row>
    <row r="83" spans="1:6" ht="27.75">
      <c r="A83" s="44" t="s">
        <v>419</v>
      </c>
      <c r="B83" s="44" t="s">
        <v>420</v>
      </c>
      <c r="C83" s="44" t="s">
        <v>421</v>
      </c>
      <c r="D83" s="44" t="s">
        <v>422</v>
      </c>
      <c r="E83" s="44" t="s">
        <v>122</v>
      </c>
      <c r="F83" s="44" t="s">
        <v>122</v>
      </c>
    </row>
    <row r="84" spans="1:6" ht="27.75">
      <c r="A84" s="44" t="s">
        <v>423</v>
      </c>
      <c r="B84" s="44" t="s">
        <v>424</v>
      </c>
      <c r="C84" s="44" t="s">
        <v>425</v>
      </c>
      <c r="D84" s="44" t="s">
        <v>426</v>
      </c>
      <c r="E84" s="44" t="s">
        <v>122</v>
      </c>
      <c r="F84" s="44" t="s">
        <v>122</v>
      </c>
    </row>
    <row r="85" spans="1:6" ht="27.75">
      <c r="A85" s="44" t="s">
        <v>427</v>
      </c>
      <c r="B85" s="44" t="s">
        <v>428</v>
      </c>
      <c r="C85" s="44" t="s">
        <v>429</v>
      </c>
      <c r="D85" s="44" t="s">
        <v>430</v>
      </c>
      <c r="E85" s="44" t="s">
        <v>122</v>
      </c>
      <c r="F85" s="44" t="s">
        <v>122</v>
      </c>
    </row>
    <row r="86" spans="1:6" ht="135">
      <c r="A86" s="44" t="s">
        <v>431</v>
      </c>
      <c r="B86" s="44" t="s">
        <v>432</v>
      </c>
      <c r="C86" s="44" t="s">
        <v>433</v>
      </c>
      <c r="D86" s="44" t="s">
        <v>434</v>
      </c>
      <c r="E86" s="44" t="s">
        <v>122</v>
      </c>
      <c r="F86" s="44" t="s">
        <v>122</v>
      </c>
    </row>
    <row r="87" spans="1:6">
      <c r="A87" s="44" t="s">
        <v>435</v>
      </c>
      <c r="B87" s="44" t="s">
        <v>436</v>
      </c>
      <c r="C87" s="44" t="s">
        <v>437</v>
      </c>
      <c r="D87" s="44" t="s">
        <v>438</v>
      </c>
      <c r="E87" s="44" t="s">
        <v>122</v>
      </c>
      <c r="F87" s="44" t="s">
        <v>122</v>
      </c>
    </row>
    <row r="88" spans="1:6" ht="68.25">
      <c r="A88" s="44" t="s">
        <v>439</v>
      </c>
      <c r="B88" s="44" t="s">
        <v>440</v>
      </c>
      <c r="C88" s="44" t="s">
        <v>441</v>
      </c>
      <c r="D88" s="44" t="s">
        <v>442</v>
      </c>
      <c r="E88" s="44" t="s">
        <v>122</v>
      </c>
      <c r="F88" s="44" t="s">
        <v>122</v>
      </c>
    </row>
    <row r="89" spans="1:6">
      <c r="A89" s="44" t="s">
        <v>443</v>
      </c>
      <c r="B89" s="44" t="s">
        <v>444</v>
      </c>
      <c r="C89" s="44" t="s">
        <v>445</v>
      </c>
      <c r="D89" s="44" t="s">
        <v>446</v>
      </c>
      <c r="E89" s="44" t="s">
        <v>122</v>
      </c>
      <c r="F89" s="44" t="s">
        <v>122</v>
      </c>
    </row>
    <row r="90" spans="1:6" ht="121.5">
      <c r="A90" s="44" t="s">
        <v>447</v>
      </c>
      <c r="B90" s="44" t="s">
        <v>448</v>
      </c>
      <c r="C90" s="44" t="s">
        <v>449</v>
      </c>
      <c r="D90" s="44" t="s">
        <v>450</v>
      </c>
      <c r="E90" s="44" t="s">
        <v>122</v>
      </c>
      <c r="F90" s="44" t="s">
        <v>122</v>
      </c>
    </row>
    <row r="91" spans="1:6">
      <c r="A91" s="44" t="s">
        <v>451</v>
      </c>
      <c r="B91" s="44" t="s">
        <v>452</v>
      </c>
      <c r="C91" s="44" t="s">
        <v>453</v>
      </c>
      <c r="D91" s="44" t="s">
        <v>454</v>
      </c>
      <c r="E91" s="44" t="s">
        <v>122</v>
      </c>
      <c r="F91" s="44" t="s">
        <v>122</v>
      </c>
    </row>
    <row r="92" spans="1:6" ht="108">
      <c r="A92" s="44" t="s">
        <v>455</v>
      </c>
      <c r="B92" s="44" t="s">
        <v>456</v>
      </c>
      <c r="C92" s="44" t="s">
        <v>457</v>
      </c>
      <c r="D92" s="44" t="s">
        <v>458</v>
      </c>
      <c r="E92" s="44" t="s">
        <v>122</v>
      </c>
      <c r="F92" s="44" t="s">
        <v>122</v>
      </c>
    </row>
    <row r="93" spans="1:6">
      <c r="A93" s="44" t="s">
        <v>459</v>
      </c>
      <c r="B93" s="44" t="s">
        <v>348</v>
      </c>
      <c r="C93" s="44" t="s">
        <v>349</v>
      </c>
      <c r="D93" s="44" t="s">
        <v>460</v>
      </c>
      <c r="E93" s="44" t="s">
        <v>122</v>
      </c>
      <c r="F93" s="44" t="s">
        <v>122</v>
      </c>
    </row>
    <row r="94" spans="1:6">
      <c r="E94" s="44" t="s">
        <v>122</v>
      </c>
      <c r="F94" s="44" t="s">
        <v>122</v>
      </c>
    </row>
    <row r="95" spans="1:6">
      <c r="E95" s="44" t="s">
        <v>122</v>
      </c>
      <c r="F95" s="44" t="s">
        <v>122</v>
      </c>
    </row>
    <row r="96" spans="1:6">
      <c r="E96" s="44" t="s">
        <v>122</v>
      </c>
      <c r="F96" s="44" t="s">
        <v>122</v>
      </c>
    </row>
    <row r="97" spans="5:6">
      <c r="E97" s="44" t="s">
        <v>122</v>
      </c>
      <c r="F97" s="44" t="s">
        <v>122</v>
      </c>
    </row>
    <row r="98" spans="5:6">
      <c r="E98" s="44" t="s">
        <v>122</v>
      </c>
      <c r="F98" s="44" t="s">
        <v>122</v>
      </c>
    </row>
    <row r="99" spans="5:6">
      <c r="E99" s="44" t="s">
        <v>122</v>
      </c>
      <c r="F99" s="44" t="s">
        <v>122</v>
      </c>
    </row>
    <row r="100" spans="5:6">
      <c r="E100" s="44" t="s">
        <v>122</v>
      </c>
      <c r="F100" s="44" t="s">
        <v>122</v>
      </c>
    </row>
    <row r="101" spans="5:6">
      <c r="E101" s="44" t="s">
        <v>122</v>
      </c>
      <c r="F101" s="44" t="s">
        <v>122</v>
      </c>
    </row>
    <row r="102" spans="5:6">
      <c r="E102" s="44" t="s">
        <v>122</v>
      </c>
      <c r="F102" s="44" t="s">
        <v>122</v>
      </c>
    </row>
    <row r="103" spans="5:6">
      <c r="E103" s="44" t="s">
        <v>122</v>
      </c>
      <c r="F103" s="44" t="s">
        <v>122</v>
      </c>
    </row>
    <row r="104" spans="5:6">
      <c r="E104" s="44" t="s">
        <v>122</v>
      </c>
      <c r="F104" s="44" t="s">
        <v>122</v>
      </c>
    </row>
    <row r="105" spans="5:6">
      <c r="E105" s="44" t="s">
        <v>122</v>
      </c>
      <c r="F105" s="44" t="s">
        <v>122</v>
      </c>
    </row>
    <row r="106" spans="5:6">
      <c r="E106" s="44" t="s">
        <v>122</v>
      </c>
      <c r="F106" s="44" t="s">
        <v>122</v>
      </c>
    </row>
    <row r="107" spans="5:6">
      <c r="E107" s="44" t="s">
        <v>122</v>
      </c>
      <c r="F107" s="44" t="s">
        <v>122</v>
      </c>
    </row>
    <row r="108" spans="5:6">
      <c r="E108" s="44" t="s">
        <v>122</v>
      </c>
      <c r="F108" s="44" t="s">
        <v>122</v>
      </c>
    </row>
    <row r="109" spans="5:6">
      <c r="E109" s="44" t="s">
        <v>122</v>
      </c>
      <c r="F109" s="44" t="s">
        <v>122</v>
      </c>
    </row>
    <row r="110" spans="5:6">
      <c r="E110" s="44" t="s">
        <v>122</v>
      </c>
      <c r="F110" s="44" t="s">
        <v>122</v>
      </c>
    </row>
    <row r="111" spans="5:6">
      <c r="E111" s="44" t="s">
        <v>122</v>
      </c>
      <c r="F111" s="44" t="s">
        <v>122</v>
      </c>
    </row>
    <row r="112" spans="5:6">
      <c r="E112" s="44" t="s">
        <v>122</v>
      </c>
      <c r="F112" s="44" t="s">
        <v>122</v>
      </c>
    </row>
    <row r="113" spans="5:6">
      <c r="E113" s="44" t="s">
        <v>122</v>
      </c>
      <c r="F113" s="44" t="s">
        <v>122</v>
      </c>
    </row>
    <row r="114" spans="5:6">
      <c r="E114" s="44" t="s">
        <v>122</v>
      </c>
      <c r="F114" s="44" t="s">
        <v>122</v>
      </c>
    </row>
    <row r="115" spans="5:6">
      <c r="E115" s="44" t="s">
        <v>122</v>
      </c>
      <c r="F115" s="44" t="s">
        <v>122</v>
      </c>
    </row>
    <row r="116" spans="5:6">
      <c r="E116" s="44" t="s">
        <v>122</v>
      </c>
      <c r="F116" s="44" t="s">
        <v>122</v>
      </c>
    </row>
    <row r="117" spans="5:6">
      <c r="E117" s="44" t="s">
        <v>122</v>
      </c>
      <c r="F117" s="44" t="s">
        <v>122</v>
      </c>
    </row>
    <row r="118" spans="5:6">
      <c r="E118" s="44" t="s">
        <v>122</v>
      </c>
      <c r="F118" s="44" t="s">
        <v>122</v>
      </c>
    </row>
    <row r="119" spans="5:6">
      <c r="E119" s="44" t="s">
        <v>122</v>
      </c>
      <c r="F119" s="44" t="s">
        <v>122</v>
      </c>
    </row>
    <row r="120" spans="5:6">
      <c r="E120" s="44" t="s">
        <v>122</v>
      </c>
      <c r="F120" s="44" t="s">
        <v>122</v>
      </c>
    </row>
    <row r="121" spans="5:6">
      <c r="E121" s="44" t="s">
        <v>122</v>
      </c>
      <c r="F121" s="44" t="s">
        <v>122</v>
      </c>
    </row>
    <row r="122" spans="5:6">
      <c r="E122" s="44" t="s">
        <v>122</v>
      </c>
      <c r="F122" s="44" t="s">
        <v>122</v>
      </c>
    </row>
    <row r="123" spans="5:6">
      <c r="E123" s="44" t="s">
        <v>122</v>
      </c>
      <c r="F123" s="44" t="s">
        <v>122</v>
      </c>
    </row>
    <row r="124" spans="5:6">
      <c r="E124" s="44" t="s">
        <v>122</v>
      </c>
      <c r="F124" s="44" t="s">
        <v>122</v>
      </c>
    </row>
    <row r="125" spans="5:6">
      <c r="E125" s="44" t="s">
        <v>122</v>
      </c>
      <c r="F125" s="44" t="s">
        <v>122</v>
      </c>
    </row>
    <row r="126" spans="5:6">
      <c r="E126" s="44" t="s">
        <v>122</v>
      </c>
      <c r="F126" s="44" t="s">
        <v>122</v>
      </c>
    </row>
    <row r="127" spans="5:6">
      <c r="E127" s="44" t="s">
        <v>122</v>
      </c>
      <c r="F127" s="44" t="s">
        <v>122</v>
      </c>
    </row>
    <row r="128" spans="5:6">
      <c r="E128" s="44" t="s">
        <v>122</v>
      </c>
      <c r="F128" s="44" t="s">
        <v>122</v>
      </c>
    </row>
    <row r="129" spans="5:6">
      <c r="E129" s="44" t="s">
        <v>122</v>
      </c>
      <c r="F129" s="44" t="s">
        <v>122</v>
      </c>
    </row>
    <row r="130" spans="5:6">
      <c r="E130" s="44" t="s">
        <v>122</v>
      </c>
      <c r="F130" s="44" t="s">
        <v>122</v>
      </c>
    </row>
    <row r="131" spans="5:6">
      <c r="E131" s="44" t="s">
        <v>122</v>
      </c>
      <c r="F131" s="44" t="s">
        <v>122</v>
      </c>
    </row>
    <row r="132" spans="5:6">
      <c r="E132" s="44" t="s">
        <v>122</v>
      </c>
      <c r="F132" s="44" t="s">
        <v>122</v>
      </c>
    </row>
    <row r="133" spans="5:6">
      <c r="E133" s="44" t="s">
        <v>122</v>
      </c>
      <c r="F133" s="44" t="s">
        <v>122</v>
      </c>
    </row>
    <row r="134" spans="5:6">
      <c r="E134" s="44" t="s">
        <v>122</v>
      </c>
      <c r="F134" s="44" t="s">
        <v>122</v>
      </c>
    </row>
    <row r="135" spans="5:6">
      <c r="E135" s="44" t="s">
        <v>122</v>
      </c>
      <c r="F135" s="44" t="s">
        <v>122</v>
      </c>
    </row>
    <row r="136" spans="5:6">
      <c r="E136" s="44" t="s">
        <v>122</v>
      </c>
      <c r="F136" s="44" t="s">
        <v>122</v>
      </c>
    </row>
    <row r="137" spans="5:6">
      <c r="E137" s="44" t="s">
        <v>122</v>
      </c>
      <c r="F137" s="44" t="s">
        <v>122</v>
      </c>
    </row>
    <row r="138" spans="5:6">
      <c r="E138" s="44" t="s">
        <v>122</v>
      </c>
      <c r="F138" s="44" t="s">
        <v>122</v>
      </c>
    </row>
    <row r="139" spans="5:6">
      <c r="E139" s="44" t="s">
        <v>122</v>
      </c>
      <c r="F139" s="44" t="s">
        <v>122</v>
      </c>
    </row>
    <row r="140" spans="5:6">
      <c r="E140" s="44" t="s">
        <v>122</v>
      </c>
      <c r="F140" s="44" t="s">
        <v>122</v>
      </c>
    </row>
    <row r="141" spans="5:6">
      <c r="E141" s="44" t="s">
        <v>122</v>
      </c>
      <c r="F141" s="44" t="s">
        <v>122</v>
      </c>
    </row>
    <row r="142" spans="5:6">
      <c r="E142" s="44" t="s">
        <v>122</v>
      </c>
      <c r="F142" s="44" t="s">
        <v>122</v>
      </c>
    </row>
    <row r="143" spans="5:6">
      <c r="E143" s="44" t="s">
        <v>122</v>
      </c>
      <c r="F143" s="44" t="s">
        <v>122</v>
      </c>
    </row>
    <row r="144" spans="5:6">
      <c r="E144" s="44" t="s">
        <v>122</v>
      </c>
      <c r="F144" s="44" t="s">
        <v>122</v>
      </c>
    </row>
    <row r="145" spans="5:6">
      <c r="E145" s="44" t="s">
        <v>122</v>
      </c>
      <c r="F145" s="44" t="s">
        <v>122</v>
      </c>
    </row>
    <row r="146" spans="5:6">
      <c r="E146" s="44" t="s">
        <v>122</v>
      </c>
      <c r="F146" s="44" t="s">
        <v>122</v>
      </c>
    </row>
    <row r="147" spans="5:6">
      <c r="E147" s="44" t="s">
        <v>122</v>
      </c>
      <c r="F147" s="44" t="s">
        <v>122</v>
      </c>
    </row>
    <row r="148" spans="5:6">
      <c r="E148" s="44" t="s">
        <v>122</v>
      </c>
      <c r="F148" s="44" t="s">
        <v>122</v>
      </c>
    </row>
    <row r="149" spans="5:6">
      <c r="E149" s="44" t="s">
        <v>122</v>
      </c>
      <c r="F149" s="44" t="s">
        <v>122</v>
      </c>
    </row>
    <row r="150" spans="5:6">
      <c r="E150" s="44" t="s">
        <v>122</v>
      </c>
      <c r="F150" s="44" t="s">
        <v>122</v>
      </c>
    </row>
    <row r="151" spans="5:6">
      <c r="E151" s="44" t="s">
        <v>122</v>
      </c>
      <c r="F151" s="44" t="s">
        <v>122</v>
      </c>
    </row>
    <row r="152" spans="5:6">
      <c r="E152" s="44" t="s">
        <v>122</v>
      </c>
      <c r="F152" s="44" t="s">
        <v>122</v>
      </c>
    </row>
    <row r="153" spans="5:6">
      <c r="E153" s="44" t="s">
        <v>122</v>
      </c>
      <c r="F153" s="44" t="s">
        <v>122</v>
      </c>
    </row>
    <row r="154" spans="5:6">
      <c r="E154" s="44" t="s">
        <v>122</v>
      </c>
      <c r="F154" s="44" t="s">
        <v>122</v>
      </c>
    </row>
    <row r="155" spans="5:6">
      <c r="E155" s="44" t="s">
        <v>122</v>
      </c>
      <c r="F155" s="44" t="s">
        <v>122</v>
      </c>
    </row>
    <row r="156" spans="5:6">
      <c r="E156" s="44" t="s">
        <v>122</v>
      </c>
      <c r="F156" s="44" t="s">
        <v>122</v>
      </c>
    </row>
    <row r="157" spans="5:6">
      <c r="E157" s="44" t="s">
        <v>122</v>
      </c>
      <c r="F157" s="44" t="s">
        <v>122</v>
      </c>
    </row>
    <row r="158" spans="5:6">
      <c r="E158" s="44" t="s">
        <v>122</v>
      </c>
      <c r="F158" s="44" t="s">
        <v>122</v>
      </c>
    </row>
    <row r="159" spans="5:6">
      <c r="E159" s="44" t="s">
        <v>122</v>
      </c>
      <c r="F159" s="44" t="s">
        <v>122</v>
      </c>
    </row>
    <row r="160" spans="5:6">
      <c r="E160" s="44" t="s">
        <v>122</v>
      </c>
      <c r="F160" s="44" t="s">
        <v>122</v>
      </c>
    </row>
    <row r="161" spans="5:6">
      <c r="E161" s="44" t="s">
        <v>122</v>
      </c>
      <c r="F161" s="44" t="s">
        <v>122</v>
      </c>
    </row>
    <row r="162" spans="5:6">
      <c r="E162" s="44" t="s">
        <v>122</v>
      </c>
      <c r="F162" s="44" t="s">
        <v>122</v>
      </c>
    </row>
    <row r="163" spans="5:6">
      <c r="E163" s="44" t="s">
        <v>122</v>
      </c>
      <c r="F163" s="44" t="s">
        <v>122</v>
      </c>
    </row>
    <row r="164" spans="5:6">
      <c r="E164" s="44" t="s">
        <v>122</v>
      </c>
      <c r="F164" s="44" t="s">
        <v>122</v>
      </c>
    </row>
    <row r="165" spans="5:6">
      <c r="E165" s="44" t="s">
        <v>122</v>
      </c>
      <c r="F165" s="44" t="s">
        <v>122</v>
      </c>
    </row>
    <row r="166" spans="5:6">
      <c r="E166" s="44" t="s">
        <v>122</v>
      </c>
      <c r="F166" s="44" t="s">
        <v>122</v>
      </c>
    </row>
    <row r="167" spans="5:6">
      <c r="E167" s="44" t="s">
        <v>122</v>
      </c>
      <c r="F167" s="44" t="s">
        <v>122</v>
      </c>
    </row>
    <row r="168" spans="5:6">
      <c r="E168" s="44" t="s">
        <v>122</v>
      </c>
      <c r="F168" s="44" t="s">
        <v>122</v>
      </c>
    </row>
    <row r="169" spans="5:6">
      <c r="E169" s="44" t="s">
        <v>122</v>
      </c>
      <c r="F169" s="44" t="s">
        <v>122</v>
      </c>
    </row>
    <row r="170" spans="5:6">
      <c r="E170" s="44" t="s">
        <v>122</v>
      </c>
      <c r="F170" s="44" t="s">
        <v>122</v>
      </c>
    </row>
    <row r="171" spans="5:6">
      <c r="E171" s="44" t="s">
        <v>122</v>
      </c>
      <c r="F171" s="44" t="s">
        <v>122</v>
      </c>
    </row>
    <row r="172" spans="5:6">
      <c r="E172" s="44" t="s">
        <v>122</v>
      </c>
      <c r="F172" s="44" t="s">
        <v>122</v>
      </c>
    </row>
    <row r="173" spans="5:6">
      <c r="E173" s="44" t="s">
        <v>122</v>
      </c>
      <c r="F173" s="44" t="s">
        <v>122</v>
      </c>
    </row>
    <row r="174" spans="5:6">
      <c r="E174" s="44" t="s">
        <v>122</v>
      </c>
      <c r="F174" s="44" t="s">
        <v>122</v>
      </c>
    </row>
    <row r="175" spans="5:6">
      <c r="E175" s="44" t="s">
        <v>122</v>
      </c>
      <c r="F175" s="44" t="s">
        <v>122</v>
      </c>
    </row>
    <row r="176" spans="5:6">
      <c r="E176" s="44" t="s">
        <v>122</v>
      </c>
      <c r="F176" s="44" t="s">
        <v>122</v>
      </c>
    </row>
    <row r="177" spans="5:6">
      <c r="E177" s="44" t="s">
        <v>122</v>
      </c>
      <c r="F177" s="44" t="s">
        <v>122</v>
      </c>
    </row>
    <row r="178" spans="5:6">
      <c r="E178" s="44" t="s">
        <v>122</v>
      </c>
      <c r="F178" s="44" t="s">
        <v>122</v>
      </c>
    </row>
    <row r="179" spans="5:6">
      <c r="E179" s="44" t="s">
        <v>122</v>
      </c>
      <c r="F179" s="44" t="s">
        <v>122</v>
      </c>
    </row>
    <row r="180" spans="5:6">
      <c r="E180" s="44" t="s">
        <v>122</v>
      </c>
      <c r="F180" s="44" t="s">
        <v>122</v>
      </c>
    </row>
    <row r="181" spans="5:6">
      <c r="E181" s="44" t="s">
        <v>122</v>
      </c>
      <c r="F181" s="44" t="s">
        <v>122</v>
      </c>
    </row>
    <row r="182" spans="5:6">
      <c r="E182" s="44" t="s">
        <v>122</v>
      </c>
      <c r="F182" s="44" t="s">
        <v>122</v>
      </c>
    </row>
    <row r="183" spans="5:6">
      <c r="E183" s="44" t="s">
        <v>122</v>
      </c>
      <c r="F183" s="44" t="s">
        <v>122</v>
      </c>
    </row>
    <row r="184" spans="5:6">
      <c r="E184" s="44" t="s">
        <v>122</v>
      </c>
      <c r="F184" s="44" t="s">
        <v>122</v>
      </c>
    </row>
    <row r="185" spans="5:6">
      <c r="E185" s="44" t="s">
        <v>122</v>
      </c>
      <c r="F185" s="44" t="s">
        <v>122</v>
      </c>
    </row>
    <row r="186" spans="5:6">
      <c r="E186" s="44" t="s">
        <v>122</v>
      </c>
      <c r="F186" s="44" t="s">
        <v>122</v>
      </c>
    </row>
    <row r="187" spans="5:6">
      <c r="E187" s="44" t="s">
        <v>122</v>
      </c>
      <c r="F187" s="44" t="s">
        <v>122</v>
      </c>
    </row>
    <row r="188" spans="5:6">
      <c r="E188" s="44" t="s">
        <v>122</v>
      </c>
      <c r="F188" s="44" t="s">
        <v>122</v>
      </c>
    </row>
    <row r="189" spans="5:6">
      <c r="E189" s="44" t="s">
        <v>122</v>
      </c>
      <c r="F189" s="44" t="s">
        <v>122</v>
      </c>
    </row>
    <row r="190" spans="5:6">
      <c r="E190" s="44" t="s">
        <v>122</v>
      </c>
      <c r="F190" s="44" t="s">
        <v>122</v>
      </c>
    </row>
    <row r="191" spans="5:6">
      <c r="E191" s="44" t="s">
        <v>122</v>
      </c>
      <c r="F191" s="44" t="s">
        <v>122</v>
      </c>
    </row>
    <row r="192" spans="5:6">
      <c r="E192" s="44" t="s">
        <v>122</v>
      </c>
      <c r="F192" s="44" t="s">
        <v>122</v>
      </c>
    </row>
    <row r="193" spans="5:6">
      <c r="E193" s="44" t="s">
        <v>122</v>
      </c>
      <c r="F193" s="44" t="s">
        <v>122</v>
      </c>
    </row>
    <row r="194" spans="5:6">
      <c r="E194" s="44" t="s">
        <v>122</v>
      </c>
      <c r="F194" s="44" t="s">
        <v>122</v>
      </c>
    </row>
    <row r="195" spans="5:6">
      <c r="E195" s="44" t="s">
        <v>122</v>
      </c>
      <c r="F195" s="44" t="s">
        <v>122</v>
      </c>
    </row>
    <row r="196" spans="5:6">
      <c r="E196" s="44" t="s">
        <v>122</v>
      </c>
      <c r="F196" s="44" t="s">
        <v>122</v>
      </c>
    </row>
    <row r="197" spans="5:6">
      <c r="E197" s="44" t="s">
        <v>122</v>
      </c>
      <c r="F197" s="44" t="s">
        <v>122</v>
      </c>
    </row>
    <row r="198" spans="5:6">
      <c r="E198" s="44" t="s">
        <v>122</v>
      </c>
      <c r="F198" s="44" t="s">
        <v>122</v>
      </c>
    </row>
    <row r="199" spans="5:6">
      <c r="E199" s="44" t="s">
        <v>122</v>
      </c>
      <c r="F199" s="44" t="s">
        <v>122</v>
      </c>
    </row>
    <row r="200" spans="5:6">
      <c r="E200" s="44" t="s">
        <v>122</v>
      </c>
      <c r="F200" s="44" t="s">
        <v>122</v>
      </c>
    </row>
    <row r="201" spans="5:6">
      <c r="E201" s="44" t="s">
        <v>122</v>
      </c>
      <c r="F201" s="44" t="s">
        <v>122</v>
      </c>
    </row>
    <row r="202" spans="5:6">
      <c r="E202" s="44" t="s">
        <v>122</v>
      </c>
      <c r="F202" s="44" t="s">
        <v>122</v>
      </c>
    </row>
    <row r="203" spans="5:6">
      <c r="E203" s="44" t="s">
        <v>122</v>
      </c>
      <c r="F203" s="44" t="s">
        <v>122</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Arkusz12">
    <tabColor rgb="FFFF0000"/>
  </sheetPr>
  <dimension ref="A1:C9"/>
  <sheetViews>
    <sheetView workbookViewId="0"/>
  </sheetViews>
  <sheetFormatPr defaultColWidth="8.85546875" defaultRowHeight="15"/>
  <cols>
    <col min="1" max="1" width="45.28515625" customWidth="1"/>
    <col min="3" max="3" width="39.140625" customWidth="1"/>
  </cols>
  <sheetData>
    <row r="1" spans="1:3">
      <c r="A1" t="s">
        <v>461</v>
      </c>
      <c r="B1" t="s">
        <v>462</v>
      </c>
      <c r="C1" t="s">
        <v>461</v>
      </c>
    </row>
    <row r="2" spans="1:3">
      <c r="B2" t="s">
        <v>462</v>
      </c>
    </row>
    <row r="3" spans="1:3">
      <c r="B3" t="s">
        <v>462</v>
      </c>
    </row>
    <row r="4" spans="1:3">
      <c r="B4" t="s">
        <v>462</v>
      </c>
    </row>
    <row r="5" spans="1:3">
      <c r="B5" t="s">
        <v>462</v>
      </c>
    </row>
    <row r="6" spans="1:3">
      <c r="B6" t="s">
        <v>462</v>
      </c>
    </row>
    <row r="7" spans="1:3">
      <c r="B7" t="s">
        <v>462</v>
      </c>
    </row>
    <row r="8" spans="1:3">
      <c r="B8" t="s">
        <v>462</v>
      </c>
    </row>
    <row r="9" spans="1:3">
      <c r="B9" t="s">
        <v>462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rkusz3">
    <tabColor rgb="FFFF0000"/>
  </sheetPr>
  <dimension ref="A1:AN48"/>
  <sheetViews>
    <sheetView zoomScale="70" zoomScaleNormal="70" workbookViewId="0">
      <selection activeCell="B16" sqref="B16:AF25"/>
    </sheetView>
  </sheetViews>
  <sheetFormatPr defaultColWidth="8.85546875" defaultRowHeight="15"/>
  <cols>
    <col min="1" max="1" width="18.28515625" customWidth="1"/>
    <col min="2" max="2" width="6.28515625" customWidth="1"/>
    <col min="3" max="3" width="10.7109375" customWidth="1"/>
    <col min="4" max="4" width="7.140625" customWidth="1"/>
    <col min="5" max="5" width="6.85546875" customWidth="1"/>
    <col min="6" max="32" width="6.7109375" customWidth="1"/>
    <col min="34" max="35" width="9.140625" customWidth="1"/>
    <col min="39" max="39" width="16.28515625" customWidth="1"/>
    <col min="40" max="40" width="9.42578125" bestFit="1" customWidth="1"/>
  </cols>
  <sheetData>
    <row r="1" spans="1:40">
      <c r="A1" t="s">
        <v>463</v>
      </c>
    </row>
    <row r="2" spans="1:40">
      <c r="E2">
        <v>1</v>
      </c>
      <c r="F2">
        <v>2</v>
      </c>
      <c r="G2">
        <v>3</v>
      </c>
      <c r="H2">
        <v>4</v>
      </c>
      <c r="I2">
        <v>5</v>
      </c>
      <c r="J2">
        <v>6</v>
      </c>
      <c r="K2">
        <v>7</v>
      </c>
      <c r="L2">
        <v>8</v>
      </c>
      <c r="M2">
        <v>9</v>
      </c>
      <c r="N2">
        <v>10</v>
      </c>
      <c r="O2">
        <v>11</v>
      </c>
      <c r="P2">
        <v>12</v>
      </c>
      <c r="Q2">
        <v>13</v>
      </c>
      <c r="R2">
        <v>14</v>
      </c>
      <c r="S2">
        <v>15</v>
      </c>
      <c r="T2">
        <v>16</v>
      </c>
      <c r="U2">
        <v>17</v>
      </c>
      <c r="V2">
        <v>18</v>
      </c>
      <c r="W2">
        <v>19</v>
      </c>
      <c r="X2">
        <v>20</v>
      </c>
      <c r="Y2">
        <v>21</v>
      </c>
      <c r="Z2">
        <v>22</v>
      </c>
      <c r="AA2">
        <v>23</v>
      </c>
      <c r="AB2">
        <v>24</v>
      </c>
      <c r="AC2">
        <v>25</v>
      </c>
      <c r="AD2">
        <v>26</v>
      </c>
      <c r="AE2">
        <v>27</v>
      </c>
      <c r="AF2">
        <v>28</v>
      </c>
      <c r="AG2">
        <v>29</v>
      </c>
      <c r="AH2">
        <v>30</v>
      </c>
      <c r="AI2">
        <v>31</v>
      </c>
      <c r="AJ2" t="s">
        <v>17</v>
      </c>
      <c r="AK2" t="s">
        <v>29</v>
      </c>
      <c r="AM2" s="60">
        <v>0.33333333333333337</v>
      </c>
    </row>
    <row r="3" spans="1:40">
      <c r="B3" s="143" t="str">
        <f>Schedule!A15</f>
        <v>FULL</v>
      </c>
      <c r="C3" s="59" t="str">
        <f>Schedule!C15</f>
        <v>Dawid Szeluga</v>
      </c>
      <c r="D3" s="59" t="str">
        <f>Schedule!H15</f>
        <v>CUSTOMER AND SALES MANAGER</v>
      </c>
      <c r="E3" s="59" t="str">
        <f>Schedule!K15</f>
        <v>OFF</v>
      </c>
      <c r="F3" s="59" t="str">
        <f>Schedule!L15</f>
        <v>OFF</v>
      </c>
      <c r="G3" s="59" t="str">
        <f>Schedule!M15</f>
        <v>NC</v>
      </c>
      <c r="H3" s="59" t="str">
        <f>Schedule!N15</f>
        <v>NC</v>
      </c>
      <c r="I3" s="59" t="str">
        <f>Schedule!O15</f>
        <v>NC</v>
      </c>
      <c r="J3" s="59" t="str">
        <f>Schedule!P15</f>
        <v>NC</v>
      </c>
      <c r="K3" s="59" t="str">
        <f>Schedule!Q15</f>
        <v>NC</v>
      </c>
      <c r="L3" s="59" t="str">
        <f>Schedule!R15</f>
        <v>OFF</v>
      </c>
      <c r="M3" s="59" t="str">
        <f>Schedule!S15</f>
        <v>OFF</v>
      </c>
      <c r="N3" s="59" t="str">
        <f>Schedule!T15</f>
        <v>NC</v>
      </c>
      <c r="O3" s="59" t="str">
        <f>Schedule!U15</f>
        <v>NC</v>
      </c>
      <c r="P3" s="59" t="str">
        <f>Schedule!V15</f>
        <v>AMB</v>
      </c>
      <c r="Q3" s="59" t="str">
        <f>Schedule!W15</f>
        <v>MIB</v>
      </c>
      <c r="R3" s="59" t="str">
        <f>Schedule!X15</f>
        <v>AMB</v>
      </c>
      <c r="S3" s="59" t="str">
        <f>Schedule!Y15</f>
        <v>OFF</v>
      </c>
      <c r="T3" s="59" t="str">
        <f>Schedule!Z15</f>
        <v>OFF</v>
      </c>
      <c r="U3" s="59" t="str">
        <f>Schedule!AA15</f>
        <v>NC</v>
      </c>
      <c r="V3" s="59" t="str">
        <f>Schedule!AB15</f>
        <v>NC</v>
      </c>
      <c r="W3" s="59" t="str">
        <f>Schedule!AC15</f>
        <v>PM</v>
      </c>
      <c r="X3" s="59" t="str">
        <f>Schedule!AD15</f>
        <v>RET</v>
      </c>
      <c r="Y3" s="59" t="str">
        <f>Schedule!AE15</f>
        <v>PM</v>
      </c>
      <c r="Z3" s="59" t="str">
        <f>Schedule!AF15</f>
        <v>OFF</v>
      </c>
      <c r="AA3" s="59" t="str">
        <f>Schedule!AG15</f>
        <v>OFF</v>
      </c>
      <c r="AB3" s="59" t="str">
        <f>Schedule!AH15</f>
        <v>NC</v>
      </c>
      <c r="AC3" s="59" t="str">
        <f>Schedule!AI15</f>
        <v>NC</v>
      </c>
      <c r="AD3" s="59" t="str">
        <f>Schedule!AJ15</f>
        <v>AM</v>
      </c>
      <c r="AE3" s="59" t="str">
        <f>Schedule!AK15</f>
        <v>H</v>
      </c>
      <c r="AF3" s="59" t="str">
        <f>Schedule!AL15</f>
        <v>H</v>
      </c>
      <c r="AG3" s="59" t="str">
        <f>Schedule!AM15</f>
        <v>OFF</v>
      </c>
      <c r="AH3" s="59" t="str">
        <f>Schedule!AN15</f>
        <v>OFF</v>
      </c>
      <c r="AI3" s="59" t="str">
        <f>Schedule!AO15</f>
        <v>H</v>
      </c>
      <c r="AJ3" s="61">
        <f>AM$2*COUNTIFS(E3:AI3,"H")</f>
        <v>1</v>
      </c>
      <c r="AK3" s="61">
        <f>AM$2*COUNTIFS(E3:AI3,"L4")</f>
        <v>0</v>
      </c>
      <c r="AL3">
        <f>IF(B3=Lists!K$1,Lists!$L$1,IF(B3=Lists!K$2,Lists!$L$2,IF(B3=Lists!K$3,Lists!$L$3,IF(B3=Lists!K$4,Lists!$L$4,IF(B3=Lists!K$5,Lists!$L$5,IF(B3=Lists!K$6,Lists!$L$6,IF(B3=Lists!K$7,Lists!$L$7,0)))))))</f>
        <v>1</v>
      </c>
      <c r="AM3" s="62">
        <f>SUM(AJ3:AK3)*AL3</f>
        <v>1</v>
      </c>
      <c r="AN3" s="62"/>
    </row>
    <row r="4" spans="1:40">
      <c r="B4" s="143" t="str">
        <f>Schedule!A16</f>
        <v>FULL</v>
      </c>
      <c r="C4" s="59" t="str">
        <f>Schedule!C16</f>
        <v>Dawid Apel</v>
      </c>
      <c r="D4" s="59" t="str">
        <f>Schedule!H16</f>
        <v>ASSISTANT STORE MANAGER</v>
      </c>
      <c r="E4" s="59" t="str">
        <f>Schedule!K16</f>
        <v>SAM</v>
      </c>
      <c r="F4" s="59" t="str">
        <f>Schedule!L16</f>
        <v>OFF</v>
      </c>
      <c r="G4" s="59" t="str">
        <f>Schedule!M16</f>
        <v>NC</v>
      </c>
      <c r="H4" s="59" t="str">
        <f>Schedule!N16</f>
        <v>NC</v>
      </c>
      <c r="I4" s="59" t="str">
        <f>Schedule!O16</f>
        <v>SAM</v>
      </c>
      <c r="J4" s="59" t="str">
        <f>Schedule!P16</f>
        <v>AM</v>
      </c>
      <c r="K4" s="59" t="str">
        <f>Schedule!Q16</f>
        <v>OFF</v>
      </c>
      <c r="L4" s="59" t="str">
        <f>Schedule!R16</f>
        <v>OFF</v>
      </c>
      <c r="M4" s="59" t="str">
        <f>Schedule!S16</f>
        <v>OFF</v>
      </c>
      <c r="N4" s="59" t="str">
        <f>Schedule!T16</f>
        <v>NC</v>
      </c>
      <c r="O4" s="59" t="str">
        <f>Schedule!U16</f>
        <v>AM</v>
      </c>
      <c r="P4" s="59" t="str">
        <f>Schedule!V16</f>
        <v>H</v>
      </c>
      <c r="Q4" s="59" t="str">
        <f>Schedule!W16</f>
        <v>H</v>
      </c>
      <c r="R4" s="59" t="str">
        <f>Schedule!X16</f>
        <v>H</v>
      </c>
      <c r="S4" s="59" t="str">
        <f>Schedule!Y16</f>
        <v>OFF</v>
      </c>
      <c r="T4" s="59" t="str">
        <f>Schedule!Z16</f>
        <v>OFF</v>
      </c>
      <c r="U4" s="59" t="str">
        <f>Schedule!AA16</f>
        <v>AM</v>
      </c>
      <c r="V4" s="59" t="str">
        <f>Schedule!AB16</f>
        <v>SAM</v>
      </c>
      <c r="W4" s="59" t="str">
        <f>Schedule!AC16</f>
        <v>OFF</v>
      </c>
      <c r="X4" s="59" t="str">
        <f>Schedule!AD16</f>
        <v>OFF</v>
      </c>
      <c r="Y4" s="59" t="str">
        <f>Schedule!AE16</f>
        <v>AM</v>
      </c>
      <c r="Z4" s="59" t="str">
        <f>Schedule!AF16</f>
        <v>AM</v>
      </c>
      <c r="AA4" s="59" t="str">
        <f>Schedule!AG16</f>
        <v>OFF</v>
      </c>
      <c r="AB4" s="59" t="str">
        <f>Schedule!AH16</f>
        <v>AM</v>
      </c>
      <c r="AC4" s="59" t="str">
        <f>Schedule!AI16</f>
        <v>AM</v>
      </c>
      <c r="AD4" s="59" t="str">
        <f>Schedule!AJ16</f>
        <v>H</v>
      </c>
      <c r="AE4" s="59" t="str">
        <f>Schedule!AK16</f>
        <v>H</v>
      </c>
      <c r="AF4" s="59" t="str">
        <f>Schedule!AL16</f>
        <v>H</v>
      </c>
      <c r="AG4" s="59" t="str">
        <f>Schedule!AM16</f>
        <v>OFF</v>
      </c>
      <c r="AH4" s="59" t="str">
        <f>Schedule!AN16</f>
        <v>OFF</v>
      </c>
      <c r="AI4" s="59" t="str">
        <f>Schedule!AO16</f>
        <v>H</v>
      </c>
      <c r="AJ4" s="61">
        <f t="shared" ref="AJ4:AJ12" si="0">AM$2*COUNTIFS(E4:AI4,"H")</f>
        <v>2.3333333333333335</v>
      </c>
      <c r="AK4" s="61">
        <f t="shared" ref="AK4:AK12" si="1">AM$2*COUNTIFS(E4:AI4,"L4")</f>
        <v>0</v>
      </c>
      <c r="AL4">
        <f>IF(B4=Lists!K$1,Lists!$L$1,IF(B4=Lists!K$2,Lists!$L$2,IF(B4=Lists!K$3,Lists!$L$3,IF(B4=Lists!K$4,Lists!$L$4,IF(B4=Lists!K$5,Lists!$L$5,IF(B4=Lists!K$6,Lists!$L$6,IF(B4=Lists!K$7,Lists!$L$7,0)))))))</f>
        <v>1</v>
      </c>
      <c r="AM4" s="62">
        <f t="shared" ref="AM4:AM12" si="2">SUM(AJ4:AK4)*AL4</f>
        <v>2.3333333333333335</v>
      </c>
      <c r="AN4" s="62"/>
    </row>
    <row r="5" spans="1:40">
      <c r="B5" s="143" t="str">
        <f>Schedule!A17</f>
        <v>FULL</v>
      </c>
      <c r="C5" s="59" t="str">
        <f>Schedule!C17</f>
        <v>Kamil Kamiński</v>
      </c>
      <c r="D5" s="59" t="str">
        <f>Schedule!H17</f>
        <v>SSV</v>
      </c>
      <c r="E5" s="59" t="str">
        <f>Schedule!K17</f>
        <v>PM</v>
      </c>
      <c r="F5" s="59" t="str">
        <f>Schedule!L17</f>
        <v>OFF</v>
      </c>
      <c r="G5" s="59" t="str">
        <f>Schedule!M17</f>
        <v>OFF</v>
      </c>
      <c r="H5" s="59" t="str">
        <f>Schedule!N17</f>
        <v>OFF</v>
      </c>
      <c r="I5" s="59" t="str">
        <f>Schedule!O17</f>
        <v>AM</v>
      </c>
      <c r="J5" s="59" t="str">
        <f>Schedule!P17</f>
        <v>NC</v>
      </c>
      <c r="K5" s="59" t="str">
        <f>Schedule!Q17</f>
        <v>NC</v>
      </c>
      <c r="L5" s="59" t="str">
        <f>Schedule!R17</f>
        <v>AM</v>
      </c>
      <c r="M5" s="59" t="str">
        <f>Schedule!S17</f>
        <v>AMN</v>
      </c>
      <c r="N5" s="59" t="str">
        <f>Schedule!T17</f>
        <v>OFF</v>
      </c>
      <c r="O5" s="59" t="str">
        <f>Schedule!U17</f>
        <v>NC</v>
      </c>
      <c r="P5" s="59" t="str">
        <f>Schedule!V17</f>
        <v>NC</v>
      </c>
      <c r="Q5" s="59" t="str">
        <f>Schedule!W17</f>
        <v>NC</v>
      </c>
      <c r="R5" s="59" t="str">
        <f>Schedule!X17</f>
        <v>NC</v>
      </c>
      <c r="S5" s="59" t="str">
        <f>Schedule!Y17</f>
        <v>OFF</v>
      </c>
      <c r="T5" s="59" t="str">
        <f>Schedule!Z17</f>
        <v>OFF</v>
      </c>
      <c r="U5" s="59" t="str">
        <f>Schedule!AA17</f>
        <v>H</v>
      </c>
      <c r="V5" s="59" t="str">
        <f>Schedule!AB17</f>
        <v>H</v>
      </c>
      <c r="W5" s="59" t="str">
        <f>Schedule!AC17</f>
        <v>H</v>
      </c>
      <c r="X5" s="59" t="str">
        <f>Schedule!AD17</f>
        <v>NC</v>
      </c>
      <c r="Y5" s="59" t="str">
        <f>Schedule!AE17</f>
        <v>NC</v>
      </c>
      <c r="Z5" s="59" t="str">
        <f>Schedule!AF17</f>
        <v>OFF</v>
      </c>
      <c r="AA5" s="59" t="str">
        <f>Schedule!AG17</f>
        <v>OFF</v>
      </c>
      <c r="AB5" s="59" t="str">
        <f>Schedule!AH17</f>
        <v>PM</v>
      </c>
      <c r="AC5" s="59" t="str">
        <f>Schedule!AI17</f>
        <v>SPM</v>
      </c>
      <c r="AD5" s="59" t="str">
        <f>Schedule!AJ17</f>
        <v>NC</v>
      </c>
      <c r="AE5" s="59" t="str">
        <f>Schedule!AK17</f>
        <v>NC</v>
      </c>
      <c r="AF5" s="59" t="str">
        <f>Schedule!AL17</f>
        <v>NC</v>
      </c>
      <c r="AG5" s="59" t="str">
        <f>Schedule!AM17</f>
        <v>OFF</v>
      </c>
      <c r="AH5" s="59" t="str">
        <f>Schedule!AN17</f>
        <v>OFF</v>
      </c>
      <c r="AI5" s="59" t="str">
        <f>Schedule!AO17</f>
        <v>OFF</v>
      </c>
      <c r="AJ5" s="61">
        <f t="shared" si="0"/>
        <v>1</v>
      </c>
      <c r="AK5" s="61">
        <f>AM$2*COUNTIFS(E5:AI5,"L4")</f>
        <v>0</v>
      </c>
      <c r="AL5">
        <f>IF(B5=Lists!K$1,Lists!$L$1,IF(B5=Lists!K$2,Lists!$L$2,IF(B5=Lists!K$3,Lists!$L$3,IF(B5=Lists!K$4,Lists!$L$4,IF(B5=Lists!K$5,Lists!$L$5,IF(B5=Lists!K$6,Lists!$L$6,IF(B5=Lists!K$7,Lists!$L$7,0)))))))</f>
        <v>1</v>
      </c>
      <c r="AM5" s="62">
        <f>SUM(AJ5:AK5)*AL5</f>
        <v>1</v>
      </c>
      <c r="AN5" s="62"/>
    </row>
    <row r="6" spans="1:40">
      <c r="B6" s="143">
        <f>Schedule!A18</f>
        <v>0.75</v>
      </c>
      <c r="C6" s="59" t="str">
        <f>Schedule!C18</f>
        <v>Zuzanna Makowska</v>
      </c>
      <c r="D6" s="59" t="str">
        <f>Schedule!H18</f>
        <v>SSV</v>
      </c>
      <c r="E6" s="59" t="str">
        <f>Schedule!K18</f>
        <v>OFF</v>
      </c>
      <c r="F6" s="59" t="str">
        <f>Schedule!L18</f>
        <v>AMN</v>
      </c>
      <c r="G6" s="59" t="str">
        <f>Schedule!M18</f>
        <v>AM</v>
      </c>
      <c r="H6" s="59" t="str">
        <f>Schedule!N18</f>
        <v>AM</v>
      </c>
      <c r="I6" s="59" t="str">
        <f>Schedule!O18</f>
        <v>OFF</v>
      </c>
      <c r="J6" s="59" t="str">
        <f>Schedule!P18</f>
        <v>OFF</v>
      </c>
      <c r="K6" s="59" t="str">
        <f>Schedule!Q18</f>
        <v>AM</v>
      </c>
      <c r="L6" s="59" t="str">
        <f>Schedule!R18</f>
        <v>OFF</v>
      </c>
      <c r="M6" s="59" t="str">
        <f>Schedule!S18</f>
        <v>PMN</v>
      </c>
      <c r="N6" s="59" t="str">
        <f>Schedule!T18</f>
        <v>OFF</v>
      </c>
      <c r="O6" s="59" t="str">
        <f>Schedule!U18</f>
        <v>OFF</v>
      </c>
      <c r="P6" s="59" t="str">
        <f>Schedule!V18</f>
        <v>AM</v>
      </c>
      <c r="Q6" s="59" t="str">
        <f>Schedule!W18</f>
        <v>AM</v>
      </c>
      <c r="R6" s="59" t="str">
        <f>Schedule!X18</f>
        <v>OFF</v>
      </c>
      <c r="S6" s="59" t="str">
        <f>Schedule!Y18</f>
        <v>OFF</v>
      </c>
      <c r="T6" s="59" t="str">
        <f>Schedule!Z18</f>
        <v>OFF</v>
      </c>
      <c r="U6" s="59" t="str">
        <f>Schedule!AA18</f>
        <v>H</v>
      </c>
      <c r="V6" s="59" t="str">
        <f>Schedule!AB18</f>
        <v>AMB</v>
      </c>
      <c r="W6" s="59" t="str">
        <f>Schedule!AC18</f>
        <v>PM</v>
      </c>
      <c r="X6" s="59" t="str">
        <f>Schedule!AD18</f>
        <v>OFF</v>
      </c>
      <c r="Y6" s="59" t="str">
        <f>Schedule!AE18</f>
        <v>OFF</v>
      </c>
      <c r="Z6" s="59" t="str">
        <f>Schedule!AF18</f>
        <v>OFF</v>
      </c>
      <c r="AA6" s="59" t="str">
        <f>Schedule!AG18</f>
        <v>AMN</v>
      </c>
      <c r="AB6" s="59" t="str">
        <f>Schedule!AH18</f>
        <v>SPM</v>
      </c>
      <c r="AC6" s="59" t="str">
        <f>Schedule!AI18</f>
        <v>OFF</v>
      </c>
      <c r="AD6" s="59" t="str">
        <f>Schedule!AJ18</f>
        <v>SAM</v>
      </c>
      <c r="AE6" s="59" t="str">
        <f>Schedule!AK18</f>
        <v>OFF</v>
      </c>
      <c r="AF6" s="59" t="str">
        <f>Schedule!AL18</f>
        <v>OFF</v>
      </c>
      <c r="AG6" s="59" t="str">
        <f>Schedule!AM18</f>
        <v>AM</v>
      </c>
      <c r="AH6" s="59" t="str">
        <f>Schedule!AN18</f>
        <v>AMN</v>
      </c>
      <c r="AI6" s="59" t="str">
        <f>Schedule!AO18</f>
        <v>INV</v>
      </c>
      <c r="AJ6" s="61">
        <f>AM$2*COUNTIFS(E6:AI6,"H")</f>
        <v>0.33333333333333337</v>
      </c>
      <c r="AK6" s="61">
        <f t="shared" si="1"/>
        <v>0</v>
      </c>
      <c r="AL6">
        <f>IF(B6=Lists!K$1,Lists!$L$1,IF(B6=Lists!K$2,Lists!$L$2,IF(B6=Lists!K$3,Lists!$L$3,IF(B6=Lists!K$4,Lists!$L$4,IF(B6=Lists!K$5,Lists!$L$5,IF(B6=Lists!K$6,Lists!$L$6,IF(B6=Lists!K$7,Lists!$L$7,0)))))))</f>
        <v>0.75</v>
      </c>
      <c r="AM6" s="62">
        <f>SUM(AJ6:AK6)*AL6</f>
        <v>0.25</v>
      </c>
      <c r="AN6" s="62"/>
    </row>
    <row r="7" spans="1:40">
      <c r="B7" s="143">
        <f>Schedule!A19</f>
        <v>0.5</v>
      </c>
      <c r="C7" s="59" t="str">
        <f>Schedule!C19</f>
        <v>Weronika Bieńkowska</v>
      </c>
      <c r="D7" s="59" t="str">
        <f>Schedule!H19</f>
        <v>SSV</v>
      </c>
      <c r="E7" s="59" t="str">
        <f>Schedule!K19</f>
        <v>AM</v>
      </c>
      <c r="F7" s="59" t="str">
        <f>Schedule!L19</f>
        <v>PMN</v>
      </c>
      <c r="G7" s="59" t="str">
        <f>Schedule!M19</f>
        <v>OFF</v>
      </c>
      <c r="H7" s="59" t="str">
        <f>Schedule!N19</f>
        <v>OFF</v>
      </c>
      <c r="I7" s="59" t="str">
        <f>Schedule!O19</f>
        <v>OFF</v>
      </c>
      <c r="J7" s="59" t="str">
        <f>Schedule!P19</f>
        <v>PM</v>
      </c>
      <c r="K7" s="59" t="str">
        <f>Schedule!Q19</f>
        <v>OFF</v>
      </c>
      <c r="L7" s="59" t="str">
        <f>Schedule!R19</f>
        <v>OFF</v>
      </c>
      <c r="M7" s="59" t="str">
        <f>Schedule!S19</f>
        <v>OFF</v>
      </c>
      <c r="N7" s="59" t="str">
        <f>Schedule!T19</f>
        <v>PM</v>
      </c>
      <c r="O7" s="59" t="str">
        <f>Schedule!U19</f>
        <v>OFF</v>
      </c>
      <c r="P7" s="59" t="str">
        <f>Schedule!V19</f>
        <v>PM</v>
      </c>
      <c r="Q7" s="59" t="str">
        <f>Schedule!W19</f>
        <v>OFF</v>
      </c>
      <c r="R7" s="59" t="str">
        <f>Schedule!X19</f>
        <v>OFF</v>
      </c>
      <c r="S7" s="59" t="str">
        <f>Schedule!Y19</f>
        <v>OFF</v>
      </c>
      <c r="T7" s="59" t="str">
        <f>Schedule!Z19</f>
        <v>OFF</v>
      </c>
      <c r="U7" s="59" t="str">
        <f>Schedule!AA19</f>
        <v>H</v>
      </c>
      <c r="V7" s="59" t="str">
        <f>Schedule!AB19</f>
        <v>H</v>
      </c>
      <c r="W7" s="59" t="str">
        <f>Schedule!AC19</f>
        <v>H</v>
      </c>
      <c r="X7" s="59" t="str">
        <f>Schedule!AD19</f>
        <v>H</v>
      </c>
      <c r="Y7" s="59" t="str">
        <f>Schedule!AE19</f>
        <v>H</v>
      </c>
      <c r="Z7" s="59" t="str">
        <f>Schedule!AF19</f>
        <v>OFF</v>
      </c>
      <c r="AA7" s="59" t="str">
        <f>Schedule!AG19</f>
        <v>OFF</v>
      </c>
      <c r="AB7" s="59" t="str">
        <f>Schedule!AH19</f>
        <v>H</v>
      </c>
      <c r="AC7" s="59" t="str">
        <f>Schedule!AI19</f>
        <v>H</v>
      </c>
      <c r="AD7" s="59" t="str">
        <f>Schedule!AJ19</f>
        <v>L4</v>
      </c>
      <c r="AE7" s="59" t="str">
        <f>Schedule!AK19</f>
        <v>L4</v>
      </c>
      <c r="AF7" s="59" t="str">
        <f>Schedule!AL19</f>
        <v>OFF</v>
      </c>
      <c r="AG7" s="59" t="str">
        <f>Schedule!AM19</f>
        <v>OFF</v>
      </c>
      <c r="AH7" s="59" t="str">
        <f>Schedule!AN19</f>
        <v>OFF</v>
      </c>
      <c r="AI7" s="59" t="str">
        <f>Schedule!AO19</f>
        <v>OFF</v>
      </c>
      <c r="AJ7" s="61">
        <f t="shared" si="0"/>
        <v>2.3333333333333335</v>
      </c>
      <c r="AK7" s="61">
        <f t="shared" si="1"/>
        <v>0.66666666666666674</v>
      </c>
      <c r="AL7">
        <f>IF(B7=Lists!K$1,Lists!$L$1,IF(B7=Lists!K$2,Lists!$L$2,IF(B7=Lists!K$3,Lists!$L$3,IF(B7=Lists!K$4,Lists!$L$4,IF(B7=Lists!K$5,Lists!$L$5,IF(B7=Lists!K$6,Lists!$L$6,IF(B7=Lists!K$7,Lists!$L$7,0)))))))</f>
        <v>0.5</v>
      </c>
      <c r="AM7" s="62">
        <f t="shared" si="2"/>
        <v>1.5</v>
      </c>
      <c r="AN7" s="62"/>
    </row>
    <row r="8" spans="1:40">
      <c r="B8" s="143">
        <f>Schedule!A20</f>
        <v>0.5</v>
      </c>
      <c r="C8" s="59" t="str">
        <f>Schedule!C20</f>
        <v>Hanna Domachowska</v>
      </c>
      <c r="D8" s="59" t="str">
        <f>Schedule!H20</f>
        <v>SSV</v>
      </c>
      <c r="E8" s="59" t="str">
        <f>Schedule!K20</f>
        <v>OFF</v>
      </c>
      <c r="F8" s="59" t="str">
        <f>Schedule!L20</f>
        <v>OFF</v>
      </c>
      <c r="G8" s="59" t="str">
        <f>Schedule!M20</f>
        <v>OFF</v>
      </c>
      <c r="H8" s="59" t="str">
        <f>Schedule!N20</f>
        <v>OFF</v>
      </c>
      <c r="I8" s="59" t="str">
        <f>Schedule!O20</f>
        <v>OFF</v>
      </c>
      <c r="J8" s="59" t="str">
        <f>Schedule!P20</f>
        <v>OFF</v>
      </c>
      <c r="K8" s="59" t="str">
        <f>Schedule!Q20</f>
        <v>OFF</v>
      </c>
      <c r="L8" s="59" t="str">
        <f>Schedule!R20</f>
        <v>OFF</v>
      </c>
      <c r="M8" s="59" t="str">
        <f>Schedule!S20</f>
        <v>OFF</v>
      </c>
      <c r="N8" s="59" t="str">
        <f>Schedule!T20</f>
        <v>OFF</v>
      </c>
      <c r="O8" s="59" t="str">
        <f>Schedule!U20</f>
        <v>OFF</v>
      </c>
      <c r="P8" s="59" t="str">
        <f>Schedule!V20</f>
        <v>OFF</v>
      </c>
      <c r="Q8" s="59" t="str">
        <f>Schedule!W20</f>
        <v>OFF</v>
      </c>
      <c r="R8" s="59" t="str">
        <f>Schedule!X20</f>
        <v>AM</v>
      </c>
      <c r="S8" s="59" t="str">
        <f>Schedule!Y20</f>
        <v>AM</v>
      </c>
      <c r="T8" s="59" t="str">
        <f>Schedule!Z20</f>
        <v>AMN</v>
      </c>
      <c r="U8" s="59" t="str">
        <f>Schedule!AA20</f>
        <v>SAM</v>
      </c>
      <c r="V8" s="59" t="str">
        <f>Schedule!AB20</f>
        <v>PM</v>
      </c>
      <c r="W8" s="59" t="str">
        <f>Schedule!AC20</f>
        <v>OFF</v>
      </c>
      <c r="X8" s="59" t="str">
        <f>Schedule!AD20</f>
        <v>PM</v>
      </c>
      <c r="Y8" s="59" t="str">
        <f>Schedule!AE20</f>
        <v>OFF</v>
      </c>
      <c r="Z8" s="59" t="str">
        <f>Schedule!AF20</f>
        <v>OFF</v>
      </c>
      <c r="AA8" s="59" t="str">
        <f>Schedule!AG20</f>
        <v>OFF</v>
      </c>
      <c r="AB8" s="59" t="str">
        <f>Schedule!AH20</f>
        <v>OFF</v>
      </c>
      <c r="AC8" s="59" t="str">
        <f>Schedule!AI20</f>
        <v>PM</v>
      </c>
      <c r="AD8" s="59" t="str">
        <f>Schedule!AJ20</f>
        <v>MIB</v>
      </c>
      <c r="AE8" s="59" t="str">
        <f>Schedule!AK20</f>
        <v>AM</v>
      </c>
      <c r="AF8" s="59" t="str">
        <f>Schedule!AL20</f>
        <v>AM</v>
      </c>
      <c r="AG8" s="59" t="str">
        <f>Schedule!AM20</f>
        <v>OFF</v>
      </c>
      <c r="AH8" s="59" t="str">
        <f>Schedule!AN20</f>
        <v>OFF</v>
      </c>
      <c r="AI8" s="59" t="str">
        <f>Schedule!AO20</f>
        <v>AM</v>
      </c>
      <c r="AJ8" s="61">
        <f t="shared" si="0"/>
        <v>0</v>
      </c>
      <c r="AK8" s="61">
        <f t="shared" si="1"/>
        <v>0</v>
      </c>
      <c r="AL8">
        <f>IF(B8=Lists!K$1,Lists!$L$1,IF(B8=Lists!K$2,Lists!$L$2,IF(B8=Lists!K$3,Lists!$L$3,IF(B8=Lists!K$4,Lists!$L$4,IF(B8=Lists!K$5,Lists!$L$5,IF(B8=Lists!K$6,Lists!$L$6,IF(B8=Lists!K$7,Lists!$L$7,0)))))))</f>
        <v>0.5</v>
      </c>
      <c r="AM8" s="62">
        <f t="shared" si="2"/>
        <v>0</v>
      </c>
      <c r="AN8" s="62"/>
    </row>
    <row r="9" spans="1:40">
      <c r="B9" s="143" t="str">
        <f>Schedule!A21</f>
        <v>FULL</v>
      </c>
      <c r="C9" s="59" t="str">
        <f>Schedule!C21</f>
        <v>Aleksandra Płużyńska</v>
      </c>
      <c r="D9" s="59" t="str">
        <f>Schedule!H21</f>
        <v>SSV</v>
      </c>
      <c r="E9" s="59" t="str">
        <f>Schedule!K21</f>
        <v>OFF</v>
      </c>
      <c r="F9" s="59" t="str">
        <f>Schedule!L21</f>
        <v>OFF</v>
      </c>
      <c r="G9" s="59" t="str">
        <f>Schedule!M21</f>
        <v>AMB</v>
      </c>
      <c r="H9" s="59" t="str">
        <f>Schedule!N21</f>
        <v>OFF</v>
      </c>
      <c r="I9" s="59" t="str">
        <f>Schedule!O21</f>
        <v>AMB</v>
      </c>
      <c r="J9" s="59" t="str">
        <f>Schedule!P21</f>
        <v>AMB</v>
      </c>
      <c r="K9" s="59" t="str">
        <f>Schedule!Q21</f>
        <v>AMB</v>
      </c>
      <c r="L9" s="59" t="str">
        <f>Schedule!R21</f>
        <v>OFF</v>
      </c>
      <c r="M9" s="59" t="str">
        <f>Schedule!S21</f>
        <v>OFF</v>
      </c>
      <c r="N9" s="59" t="str">
        <f>Schedule!T21</f>
        <v>AMB</v>
      </c>
      <c r="O9" s="59" t="str">
        <f>Schedule!U21</f>
        <v>AMB</v>
      </c>
      <c r="P9" s="59" t="str">
        <f>Schedule!V21</f>
        <v>PMB</v>
      </c>
      <c r="Q9" s="59" t="str">
        <f>Schedule!W21</f>
        <v>PMB</v>
      </c>
      <c r="R9" s="59" t="str">
        <f>Schedule!X21</f>
        <v>PMB</v>
      </c>
      <c r="S9" s="59" t="str">
        <f>Schedule!Y21</f>
        <v>OFF</v>
      </c>
      <c r="T9" s="59" t="str">
        <f>Schedule!Z21</f>
        <v>OFF</v>
      </c>
      <c r="U9" s="59" t="str">
        <f>Schedule!AA21</f>
        <v>AMB</v>
      </c>
      <c r="V9" s="59" t="str">
        <f>Schedule!AB21</f>
        <v>AMB</v>
      </c>
      <c r="W9" s="59" t="str">
        <f>Schedule!AC21</f>
        <v>AMB</v>
      </c>
      <c r="X9" s="59" t="str">
        <f>Schedule!AD21</f>
        <v>AMB</v>
      </c>
      <c r="Y9" s="59" t="str">
        <f>Schedule!AE21</f>
        <v>AMB</v>
      </c>
      <c r="Z9" s="59" t="str">
        <f>Schedule!AF21</f>
        <v>OFF</v>
      </c>
      <c r="AA9" s="59" t="str">
        <f>Schedule!AG21</f>
        <v>OFF</v>
      </c>
      <c r="AB9" s="59" t="str">
        <f>Schedule!AH21</f>
        <v>H</v>
      </c>
      <c r="AC9" s="59" t="str">
        <f>Schedule!AI21</f>
        <v>H</v>
      </c>
      <c r="AD9" s="59" t="str">
        <f>Schedule!AJ21</f>
        <v>H</v>
      </c>
      <c r="AE9" s="59" t="str">
        <f>Schedule!AK21</f>
        <v>H</v>
      </c>
      <c r="AF9" s="59" t="str">
        <f>Schedule!AL21</f>
        <v>H</v>
      </c>
      <c r="AG9" s="59" t="str">
        <f>Schedule!AM21</f>
        <v>OFF</v>
      </c>
      <c r="AH9" s="59" t="str">
        <f>Schedule!AN21</f>
        <v>OFF</v>
      </c>
      <c r="AI9" s="59" t="str">
        <f>Schedule!AO21</f>
        <v>H</v>
      </c>
      <c r="AJ9" s="61">
        <f>AM$2*COUNTIFS(E9:AI9,"H")</f>
        <v>2</v>
      </c>
      <c r="AK9" s="61">
        <f t="shared" si="1"/>
        <v>0</v>
      </c>
      <c r="AL9">
        <f>IF(B9=Lists!K$1,Lists!$L$1,IF(B9=Lists!K$2,Lists!$L$2,IF(B9=Lists!K$3,Lists!$L$3,IF(B9=Lists!K$4,Lists!$L$4,IF(B9=Lists!K$5,Lists!$L$5,IF(B9=Lists!K$6,Lists!$L$6,IF(B9=Lists!K$7,Lists!$L$7,0)))))))</f>
        <v>1</v>
      </c>
      <c r="AM9" s="62">
        <f>SUM(AJ9:AK9)*AL9</f>
        <v>2</v>
      </c>
      <c r="AN9" s="62"/>
    </row>
    <row r="10" spans="1:40">
      <c r="B10" s="143" t="str">
        <f>Schedule!A22</f>
        <v>FULL</v>
      </c>
      <c r="C10" s="59" t="str">
        <f>Schedule!C22</f>
        <v>Gabi Znojek</v>
      </c>
      <c r="D10" s="59" t="str">
        <f>Schedule!H22</f>
        <v>SSV</v>
      </c>
      <c r="E10" s="59" t="str">
        <f>Schedule!K22</f>
        <v>OFF</v>
      </c>
      <c r="F10" s="59" t="str">
        <f>Schedule!L22</f>
        <v>OFF</v>
      </c>
      <c r="G10" s="59" t="str">
        <f>Schedule!M22</f>
        <v>PM</v>
      </c>
      <c r="H10" s="59" t="str">
        <f>Schedule!N22</f>
        <v>PM</v>
      </c>
      <c r="I10" s="59" t="str">
        <f>Schedule!O22</f>
        <v>PM</v>
      </c>
      <c r="J10" s="59" t="str">
        <f>Schedule!P22</f>
        <v>OFF</v>
      </c>
      <c r="K10" s="59" t="str">
        <f>Schedule!Q22</f>
        <v>PM</v>
      </c>
      <c r="L10" s="59" t="str">
        <f>Schedule!R22</f>
        <v>PM</v>
      </c>
      <c r="M10" s="59" t="str">
        <f>Schedule!S22</f>
        <v>OFF</v>
      </c>
      <c r="N10" s="59" t="str">
        <f>Schedule!T22</f>
        <v>AM</v>
      </c>
      <c r="O10" s="59" t="str">
        <f>Schedule!U22</f>
        <v>PM</v>
      </c>
      <c r="P10" s="59" t="str">
        <f>Schedule!V22</f>
        <v>OFF</v>
      </c>
      <c r="Q10" s="59" t="str">
        <f>Schedule!W22</f>
        <v>PM</v>
      </c>
      <c r="R10" s="59" t="str">
        <f>Schedule!X22</f>
        <v>PM</v>
      </c>
      <c r="S10" s="59" t="str">
        <f>Schedule!Y22</f>
        <v>PM</v>
      </c>
      <c r="T10" s="59" t="str">
        <f>Schedule!Z22</f>
        <v>PMN</v>
      </c>
      <c r="U10" s="59" t="str">
        <f>Schedule!AA22</f>
        <v>PM</v>
      </c>
      <c r="V10" s="59" t="str">
        <f>Schedule!AB22</f>
        <v>OFF</v>
      </c>
      <c r="W10" s="59" t="str">
        <f>Schedule!AC22</f>
        <v>AM</v>
      </c>
      <c r="X10" s="59" t="str">
        <f>Schedule!AD22</f>
        <v>AM</v>
      </c>
      <c r="Y10" s="59" t="str">
        <f>Schedule!AE22</f>
        <v>OFF</v>
      </c>
      <c r="Z10" s="59" t="str">
        <f>Schedule!AF22</f>
        <v>PM</v>
      </c>
      <c r="AA10" s="59" t="str">
        <f>Schedule!AG22</f>
        <v>PMN</v>
      </c>
      <c r="AB10" s="59" t="str">
        <f>Schedule!AH22</f>
        <v>OFF</v>
      </c>
      <c r="AC10" s="59" t="str">
        <f>Schedule!AI22</f>
        <v>OFF</v>
      </c>
      <c r="AD10" s="59" t="str">
        <f>Schedule!AJ22</f>
        <v>OFF</v>
      </c>
      <c r="AE10" s="59" t="str">
        <f>Schedule!AK22</f>
        <v>PM</v>
      </c>
      <c r="AF10" s="59" t="str">
        <f>Schedule!AL22</f>
        <v>PM</v>
      </c>
      <c r="AG10" s="59" t="str">
        <f>Schedule!AM22</f>
        <v>PM</v>
      </c>
      <c r="AH10" s="59" t="str">
        <f>Schedule!AN22</f>
        <v>PMN</v>
      </c>
      <c r="AI10" s="59" t="str">
        <f>Schedule!AO22</f>
        <v>PM</v>
      </c>
      <c r="AJ10" s="61">
        <f>AM$2*COUNTIFS(E10:AI10,"H")</f>
        <v>0</v>
      </c>
      <c r="AK10" s="61">
        <f t="shared" si="1"/>
        <v>0</v>
      </c>
      <c r="AL10">
        <f>IF(B10=Lists!K$1,Lists!$L$1,IF(B10=Lists!K$2,Lists!$L$2,IF(B10=Lists!K$3,Lists!$L$3,IF(B10=Lists!K$4,Lists!$L$4,IF(B10=Lists!K$5,Lists!$L$5,IF(B10=Lists!K$6,Lists!$L$6,IF(B10=Lists!K$7,Lists!$L$7,0)))))))</f>
        <v>1</v>
      </c>
      <c r="AM10" s="62">
        <f t="shared" si="2"/>
        <v>0</v>
      </c>
      <c r="AN10" s="62"/>
    </row>
    <row r="11" spans="1:40">
      <c r="B11" s="143">
        <f>Schedule!A23</f>
        <v>0</v>
      </c>
      <c r="C11" s="59">
        <f>Schedule!C23</f>
        <v>0</v>
      </c>
      <c r="D11" s="59">
        <f>Schedule!H23</f>
        <v>0</v>
      </c>
      <c r="E11" s="59">
        <f>Schedule!K23</f>
        <v>0</v>
      </c>
      <c r="F11" s="59">
        <f>Schedule!L23</f>
        <v>0</v>
      </c>
      <c r="G11" s="59">
        <f>Schedule!M23</f>
        <v>0</v>
      </c>
      <c r="H11" s="59">
        <f>Schedule!N23</f>
        <v>0</v>
      </c>
      <c r="I11" s="59">
        <f>Schedule!O23</f>
        <v>0</v>
      </c>
      <c r="J11" s="59">
        <f>Schedule!P23</f>
        <v>0</v>
      </c>
      <c r="K11" s="59">
        <f>Schedule!Q23</f>
        <v>0</v>
      </c>
      <c r="L11" s="59">
        <f>Schedule!R23</f>
        <v>0</v>
      </c>
      <c r="M11" s="59">
        <f>Schedule!S23</f>
        <v>0</v>
      </c>
      <c r="N11" s="59">
        <f>Schedule!T23</f>
        <v>0</v>
      </c>
      <c r="O11" s="59">
        <f>Schedule!U23</f>
        <v>0</v>
      </c>
      <c r="P11" s="59">
        <f>Schedule!V23</f>
        <v>0</v>
      </c>
      <c r="Q11" s="59">
        <f>Schedule!W23</f>
        <v>0</v>
      </c>
      <c r="R11" s="59">
        <f>Schedule!X23</f>
        <v>0</v>
      </c>
      <c r="S11" s="59">
        <f>Schedule!Y23</f>
        <v>0</v>
      </c>
      <c r="T11" s="59">
        <f>Schedule!Z23</f>
        <v>0</v>
      </c>
      <c r="U11" s="59">
        <f>Schedule!AA23</f>
        <v>0</v>
      </c>
      <c r="V11" s="59">
        <f>Schedule!AB23</f>
        <v>0</v>
      </c>
      <c r="W11" s="59">
        <f>Schedule!AC23</f>
        <v>0</v>
      </c>
      <c r="X11" s="59">
        <f>Schedule!AD23</f>
        <v>0</v>
      </c>
      <c r="Y11" s="59">
        <f>Schedule!AE23</f>
        <v>0</v>
      </c>
      <c r="Z11" s="59">
        <f>Schedule!AF23</f>
        <v>0</v>
      </c>
      <c r="AA11" s="59">
        <f>Schedule!AG23</f>
        <v>0</v>
      </c>
      <c r="AB11" s="59">
        <f>Schedule!AH23</f>
        <v>0</v>
      </c>
      <c r="AC11" s="59">
        <f>Schedule!AI23</f>
        <v>0</v>
      </c>
      <c r="AD11" s="59">
        <f>Schedule!AJ23</f>
        <v>0</v>
      </c>
      <c r="AE11" s="59">
        <f>Schedule!AK23</f>
        <v>0</v>
      </c>
      <c r="AF11" s="59">
        <f>Schedule!AL23</f>
        <v>0</v>
      </c>
      <c r="AG11" s="59">
        <f>Schedule!AM23</f>
        <v>0</v>
      </c>
      <c r="AH11" s="59">
        <f>Schedule!AN23</f>
        <v>0</v>
      </c>
      <c r="AI11" s="59">
        <f>Schedule!AO23</f>
        <v>0</v>
      </c>
      <c r="AJ11" s="61">
        <f t="shared" si="0"/>
        <v>0</v>
      </c>
      <c r="AK11" s="61">
        <f t="shared" si="1"/>
        <v>0</v>
      </c>
      <c r="AL11">
        <f>IF(B11=Lists!K$1,Lists!$L$1,IF(B11=Lists!K$2,Lists!$L$2,IF(B11=Lists!K$3,Lists!$L$3,IF(B11=Lists!K$4,Lists!$L$4,IF(B11=Lists!K$5,Lists!$L$5,IF(B11=Lists!K$6,Lists!$L$6,IF(B11=Lists!K$7,Lists!$L$7,0)))))))</f>
        <v>0</v>
      </c>
      <c r="AM11" s="62">
        <f t="shared" si="2"/>
        <v>0</v>
      </c>
      <c r="AN11" s="62"/>
    </row>
    <row r="12" spans="1:40">
      <c r="B12" s="143">
        <f>Schedule!A24</f>
        <v>0</v>
      </c>
      <c r="C12" s="59">
        <f>Schedule!C24</f>
        <v>0</v>
      </c>
      <c r="D12" s="59">
        <f>Schedule!H24</f>
        <v>0</v>
      </c>
      <c r="E12" s="59">
        <f>Schedule!K24</f>
        <v>0</v>
      </c>
      <c r="F12" s="59">
        <f>Schedule!L24</f>
        <v>0</v>
      </c>
      <c r="G12" s="59">
        <f>Schedule!M24</f>
        <v>0</v>
      </c>
      <c r="H12" s="59">
        <f>Schedule!N24</f>
        <v>0</v>
      </c>
      <c r="I12" s="59">
        <f>Schedule!O24</f>
        <v>0</v>
      </c>
      <c r="J12" s="59">
        <f>Schedule!P24</f>
        <v>0</v>
      </c>
      <c r="K12" s="59">
        <f>Schedule!Q24</f>
        <v>0</v>
      </c>
      <c r="L12" s="59">
        <f>Schedule!R24</f>
        <v>0</v>
      </c>
      <c r="M12" s="59">
        <f>Schedule!S24</f>
        <v>0</v>
      </c>
      <c r="N12" s="59">
        <f>Schedule!T24</f>
        <v>0</v>
      </c>
      <c r="O12" s="59">
        <f>Schedule!U24</f>
        <v>0</v>
      </c>
      <c r="P12" s="59">
        <f>Schedule!V24</f>
        <v>0</v>
      </c>
      <c r="Q12" s="59">
        <f>Schedule!W24</f>
        <v>0</v>
      </c>
      <c r="R12" s="59">
        <f>Schedule!X24</f>
        <v>0</v>
      </c>
      <c r="S12" s="59">
        <f>Schedule!Y24</f>
        <v>0</v>
      </c>
      <c r="T12" s="59">
        <f>Schedule!Z24</f>
        <v>0</v>
      </c>
      <c r="U12" s="59">
        <f>Schedule!AA24</f>
        <v>0</v>
      </c>
      <c r="V12" s="59">
        <f>Schedule!AB24</f>
        <v>0</v>
      </c>
      <c r="W12" s="59">
        <f>Schedule!AC24</f>
        <v>0</v>
      </c>
      <c r="X12" s="59">
        <f>Schedule!AD24</f>
        <v>0</v>
      </c>
      <c r="Y12" s="59">
        <f>Schedule!AE24</f>
        <v>0</v>
      </c>
      <c r="Z12" s="59">
        <f>Schedule!AF24</f>
        <v>0</v>
      </c>
      <c r="AA12" s="59">
        <f>Schedule!AG24</f>
        <v>0</v>
      </c>
      <c r="AB12" s="59">
        <f>Schedule!AH24</f>
        <v>0</v>
      </c>
      <c r="AC12" s="59">
        <f>Schedule!AI24</f>
        <v>0</v>
      </c>
      <c r="AD12" s="59">
        <f>Schedule!AJ24</f>
        <v>0</v>
      </c>
      <c r="AE12" s="59">
        <f>Schedule!AK24</f>
        <v>0</v>
      </c>
      <c r="AF12" s="59">
        <f>Schedule!AL24</f>
        <v>0</v>
      </c>
      <c r="AG12" s="59">
        <f>Schedule!AM24</f>
        <v>0</v>
      </c>
      <c r="AH12" s="59">
        <f>Schedule!AN24</f>
        <v>0</v>
      </c>
      <c r="AI12" s="59">
        <f>Schedule!AO24</f>
        <v>0</v>
      </c>
      <c r="AJ12" s="61">
        <f t="shared" si="0"/>
        <v>0</v>
      </c>
      <c r="AK12" s="61">
        <f t="shared" si="1"/>
        <v>0</v>
      </c>
      <c r="AL12">
        <f>IF(B12=Lists!K$1,Lists!$L$1,IF(B12=Lists!K$2,Lists!$L$2,IF(B12=Lists!K$3,Lists!$L$3,IF(B12=Lists!K$4,Lists!$L$4,IF(B12=Lists!K$5,Lists!$L$5,IF(B12=Lists!K$6,Lists!$L$6,IF(B12=Lists!K$7,Lists!$L$7,0)))))))</f>
        <v>0</v>
      </c>
      <c r="AM12" s="62">
        <f t="shared" si="2"/>
        <v>0</v>
      </c>
      <c r="AN12" s="62"/>
    </row>
    <row r="13" spans="1:40">
      <c r="B13" s="59"/>
      <c r="C13" s="59"/>
    </row>
    <row r="15" spans="1:40">
      <c r="B15">
        <v>1</v>
      </c>
      <c r="C15">
        <v>2</v>
      </c>
      <c r="D15">
        <v>3</v>
      </c>
      <c r="E15">
        <v>4</v>
      </c>
      <c r="F15">
        <v>5</v>
      </c>
      <c r="G15">
        <v>6</v>
      </c>
      <c r="H15">
        <v>7</v>
      </c>
      <c r="I15">
        <v>8</v>
      </c>
      <c r="J15">
        <v>9</v>
      </c>
      <c r="K15">
        <v>10</v>
      </c>
      <c r="L15">
        <v>11</v>
      </c>
      <c r="M15">
        <v>12</v>
      </c>
      <c r="N15">
        <v>13</v>
      </c>
      <c r="O15">
        <v>14</v>
      </c>
      <c r="P15">
        <v>15</v>
      </c>
      <c r="Q15">
        <v>16</v>
      </c>
      <c r="R15">
        <v>17</v>
      </c>
      <c r="S15">
        <v>18</v>
      </c>
      <c r="T15">
        <v>19</v>
      </c>
      <c r="U15">
        <v>20</v>
      </c>
      <c r="V15">
        <v>21</v>
      </c>
      <c r="W15">
        <v>22</v>
      </c>
      <c r="X15">
        <v>23</v>
      </c>
      <c r="Y15">
        <v>24</v>
      </c>
      <c r="Z15">
        <v>25</v>
      </c>
      <c r="AA15">
        <v>26</v>
      </c>
      <c r="AB15">
        <v>27</v>
      </c>
      <c r="AC15">
        <v>28</v>
      </c>
      <c r="AD15">
        <v>29</v>
      </c>
      <c r="AE15">
        <v>30</v>
      </c>
      <c r="AF15">
        <v>31</v>
      </c>
      <c r="AG15" t="s">
        <v>464</v>
      </c>
      <c r="AH15">
        <f ca="1">IF(Schedule!A4=Lists!F1,1,IF(Schedule!A4=Lists!F2,2,IF(Schedule!A4=Lists!F3,3,IF(Schedule!A4=Lists!F4,4,IF(Schedule!A4=Lists!F5,5,IF(Schedule!A4=Lists!F6,6,IF(Schedule!A4=Lists!F7,7,IF(Schedule!A4=Lists!F8,8,IF(Schedule!A4=Lists!F9,9,IF(Schedule!A4=Lists!F10,10,IF(Schedule!A4=Lists!F11,11,IF(Schedule!A4=Lists!F12,12))))))))))))</f>
        <v>8</v>
      </c>
      <c r="AI15">
        <f ca="1">IF(AH15=1,Calendar!F3,IF(AH15=2,Calendar!F4,IF(AH15=3,Calendar!F5,IF(AH15=4,Calendar!F6,IF(AH15=5,Calendar!F7,IF(AH15=6,Calendar!F8,IF(AH15=7,Calendar!F9,IF(AH15=8,Calendar!F10,IF(AH15=9,Calendar!F11,IF(AH15=10,Calendar!F12,IF(AH15=11,Calendar!F13,IF(AH15=12,Calendar!F14))))))))))))</f>
        <v>160</v>
      </c>
      <c r="AJ15" t="s">
        <v>465</v>
      </c>
      <c r="AK15" t="s">
        <v>466</v>
      </c>
      <c r="AL15" t="s">
        <v>467</v>
      </c>
    </row>
    <row r="16" spans="1:40">
      <c r="A16" t="str">
        <f>Schedule!C15</f>
        <v>Dawid Szeluga</v>
      </c>
      <c r="B16" t="e">
        <f ca="1">WYSZUKIWACZ(Schedule!K15,Lists!$O$1:$P$40)</f>
        <v>#NAME?</v>
      </c>
      <c r="C16" t="e">
        <f ca="1">WYSZUKIWACZ(Schedule!L15,Lists!$O$1:$P$40)</f>
        <v>#NAME?</v>
      </c>
      <c r="D16" t="e">
        <f ca="1">WYSZUKIWACZ(Schedule!M15,Lists!$O$1:$P$40)</f>
        <v>#NAME?</v>
      </c>
      <c r="E16" t="e">
        <f ca="1">WYSZUKIWACZ(Schedule!N15,Lists!$O$1:$P$40)</f>
        <v>#NAME?</v>
      </c>
      <c r="F16" t="e">
        <f ca="1">WYSZUKIWACZ(Schedule!O15,Lists!$O$1:$P$40)</f>
        <v>#NAME?</v>
      </c>
      <c r="G16" t="e">
        <f ca="1">WYSZUKIWACZ(Schedule!P15,Lists!$O$1:$P$40)</f>
        <v>#NAME?</v>
      </c>
      <c r="H16" t="e">
        <f ca="1">WYSZUKIWACZ(Schedule!Q15,Lists!$O$1:$P$40)</f>
        <v>#NAME?</v>
      </c>
      <c r="I16" t="e">
        <f ca="1">WYSZUKIWACZ(Schedule!R15,Lists!$O$1:$P$40)</f>
        <v>#NAME?</v>
      </c>
      <c r="J16" t="e">
        <f ca="1">WYSZUKIWACZ(Schedule!S15,Lists!$O$1:$P$40)</f>
        <v>#NAME?</v>
      </c>
      <c r="K16" t="e">
        <f ca="1">WYSZUKIWACZ(Schedule!T15,Lists!$O$1:$P$40)</f>
        <v>#NAME?</v>
      </c>
      <c r="L16" t="e">
        <f ca="1">WYSZUKIWACZ(Schedule!U15,Lists!$O$1:$P$40)</f>
        <v>#NAME?</v>
      </c>
      <c r="M16" t="e">
        <f ca="1">WYSZUKIWACZ(Schedule!V15,Lists!$O$1:$P$40)</f>
        <v>#NAME?</v>
      </c>
      <c r="N16" t="e">
        <f ca="1">WYSZUKIWACZ(Schedule!W15,Lists!$O$1:$P$40)</f>
        <v>#NAME?</v>
      </c>
      <c r="O16" t="e">
        <f ca="1">WYSZUKIWACZ(Schedule!X15,Lists!$O$1:$P$40)</f>
        <v>#NAME?</v>
      </c>
      <c r="P16" t="e">
        <f ca="1">WYSZUKIWACZ(Schedule!Y15,Lists!$O$1:$P$40)</f>
        <v>#NAME?</v>
      </c>
      <c r="Q16" t="e">
        <f ca="1">WYSZUKIWACZ(Schedule!Z15,Lists!$O$1:$P$40)</f>
        <v>#NAME?</v>
      </c>
      <c r="R16" t="e">
        <f ca="1">WYSZUKIWACZ(Schedule!AA15,Lists!$O$1:$P$40)</f>
        <v>#NAME?</v>
      </c>
      <c r="S16" t="e">
        <f ca="1">WYSZUKIWACZ(Schedule!AB15,Lists!$O$1:$P$40)</f>
        <v>#NAME?</v>
      </c>
      <c r="T16" t="e">
        <f ca="1">WYSZUKIWACZ(Schedule!AC15,Lists!$O$1:$P$40)</f>
        <v>#NAME?</v>
      </c>
      <c r="U16" t="e">
        <f ca="1">WYSZUKIWACZ(Schedule!AD15,Lists!$O$1:$P$40)</f>
        <v>#NAME?</v>
      </c>
      <c r="V16" t="e">
        <f ca="1">WYSZUKIWACZ(Schedule!AE15,Lists!$O$1:$P$40)</f>
        <v>#NAME?</v>
      </c>
      <c r="W16" t="e">
        <f ca="1">WYSZUKIWACZ(Schedule!AF15,Lists!$O$1:$P$40)</f>
        <v>#NAME?</v>
      </c>
      <c r="X16" t="e">
        <f ca="1">WYSZUKIWACZ(Schedule!AG15,Lists!$O$1:$P$40)</f>
        <v>#NAME?</v>
      </c>
      <c r="Y16" t="e">
        <f ca="1">WYSZUKIWACZ(Schedule!AH15,Lists!$O$1:$P$40)</f>
        <v>#NAME?</v>
      </c>
      <c r="Z16" t="e">
        <f ca="1">WYSZUKIWACZ(Schedule!AI15,Lists!$O$1:$P$40)</f>
        <v>#NAME?</v>
      </c>
      <c r="AA16" t="e">
        <f ca="1">WYSZUKIWACZ(Schedule!AJ15,Lists!$O$1:$P$40)</f>
        <v>#NAME?</v>
      </c>
      <c r="AB16" t="e">
        <f ca="1">WYSZUKIWACZ(Schedule!AK15,Lists!$O$1:$P$40)</f>
        <v>#NAME?</v>
      </c>
      <c r="AC16" t="e">
        <f ca="1">WYSZUKIWACZ(Schedule!AL15,Lists!$O$1:$P$40)</f>
        <v>#NAME?</v>
      </c>
      <c r="AD16" t="e">
        <f ca="1">WYSZUKIWACZ(Schedule!AM15,Lists!$O$1:$P$40)</f>
        <v>#NAME?</v>
      </c>
      <c r="AE16" t="e">
        <f ca="1">WYSZUKIWACZ(Schedule!AN15,Lists!$O$1:$P$40)</f>
        <v>#NAME?</v>
      </c>
      <c r="AF16" t="e">
        <f ca="1">WYSZUKIWACZ(Schedule!AO15,Lists!$O$1:$P$40)</f>
        <v>#NAME?</v>
      </c>
      <c r="AG16" t="e">
        <f ca="1">TEXT(SUM(B16:AF16,AM3),"[g]:mm")</f>
        <v>#NAME?</v>
      </c>
      <c r="AI16">
        <f ca="1">IF(Schedule!A15=Lists!K$1,V!AI$15,IF(Schedule!A15=Lists!K$2,V!AI$15*Lists!L$2,IF(Schedule!A15=Lists!K$3,V!AI$15*Lists!L$3,IF(Schedule!A15=Lists!K$4,V!AI$15*Lists!L$4,IF(Schedule!A15=Lists!K$5,V!AI$15*Lists!L$5,IF(Schedule!A15=Lists!K$6,V!AI$15*Lists!L$6,IF(Schedule!A15=Lists!K$7,V!AI$15*Lists!L$7,0)))))))</f>
        <v>160</v>
      </c>
      <c r="AJ16" t="e">
        <f ca="1">TEXT(AI16/24,"[g]:mm")</f>
        <v>#VALUE!</v>
      </c>
      <c r="AK16" s="27">
        <f ca="1">IFERROR(AG16/AJ16,0)</f>
        <v>0</v>
      </c>
      <c r="AL16" t="e">
        <f ca="1">IFERROR(TEXT(AG16-AJ16,"-[gg]:mm"),TEXT(AJ16-AG16,"+[gg]:mm"))</f>
        <v>#VALUE!</v>
      </c>
    </row>
    <row r="17" spans="1:38">
      <c r="A17" t="str">
        <f>Schedule!C16</f>
        <v>Dawid Apel</v>
      </c>
      <c r="B17" t="e">
        <f ca="1">WYSZUKIWACZ(Schedule!K16,Lists!$O$1:$P$40)</f>
        <v>#NAME?</v>
      </c>
      <c r="C17" t="e">
        <f ca="1">WYSZUKIWACZ(Schedule!L16,Lists!$O$1:$P$40)</f>
        <v>#NAME?</v>
      </c>
      <c r="D17" t="e">
        <f ca="1">WYSZUKIWACZ(Schedule!M16,Lists!$O$1:$P$40)</f>
        <v>#NAME?</v>
      </c>
      <c r="E17" t="e">
        <f ca="1">WYSZUKIWACZ(Schedule!N16,Lists!$O$1:$P$40)</f>
        <v>#NAME?</v>
      </c>
      <c r="F17" t="e">
        <f ca="1">WYSZUKIWACZ(Schedule!O16,Lists!$O$1:$P$40)</f>
        <v>#NAME?</v>
      </c>
      <c r="G17" t="e">
        <f ca="1">WYSZUKIWACZ(Schedule!P16,Lists!$O$1:$P$40)</f>
        <v>#NAME?</v>
      </c>
      <c r="H17" t="e">
        <f ca="1">WYSZUKIWACZ(Schedule!Q16,Lists!$O$1:$P$40)</f>
        <v>#NAME?</v>
      </c>
      <c r="I17" t="e">
        <f ca="1">WYSZUKIWACZ(Schedule!R16,Lists!$O$1:$P$40)</f>
        <v>#NAME?</v>
      </c>
      <c r="J17" t="e">
        <f ca="1">WYSZUKIWACZ(Schedule!S16,Lists!$O$1:$P$40)</f>
        <v>#NAME?</v>
      </c>
      <c r="K17" t="e">
        <f ca="1">WYSZUKIWACZ(Schedule!T16,Lists!$O$1:$P$40)</f>
        <v>#NAME?</v>
      </c>
      <c r="L17" t="e">
        <f ca="1">WYSZUKIWACZ(Schedule!U16,Lists!$O$1:$P$40)</f>
        <v>#NAME?</v>
      </c>
      <c r="M17" t="e">
        <f ca="1">WYSZUKIWACZ(Schedule!V16,Lists!$O$1:$P$40)</f>
        <v>#NAME?</v>
      </c>
      <c r="N17" t="e">
        <f ca="1">WYSZUKIWACZ(Schedule!W16,Lists!$O$1:$P$40)</f>
        <v>#NAME?</v>
      </c>
      <c r="O17" t="e">
        <f ca="1">WYSZUKIWACZ(Schedule!X16,Lists!$O$1:$P$40)</f>
        <v>#NAME?</v>
      </c>
      <c r="P17" t="e">
        <f ca="1">WYSZUKIWACZ(Schedule!Y16,Lists!$O$1:$P$40)</f>
        <v>#NAME?</v>
      </c>
      <c r="Q17" t="e">
        <f ca="1">WYSZUKIWACZ(Schedule!Z16,Lists!$O$1:$P$40)</f>
        <v>#NAME?</v>
      </c>
      <c r="R17" t="e">
        <f ca="1">WYSZUKIWACZ(Schedule!AA16,Lists!$O$1:$P$40)</f>
        <v>#NAME?</v>
      </c>
      <c r="S17" t="e">
        <f ca="1">WYSZUKIWACZ(Schedule!AB16,Lists!$O$1:$P$40)</f>
        <v>#NAME?</v>
      </c>
      <c r="T17" t="e">
        <f ca="1">WYSZUKIWACZ(Schedule!AC16,Lists!$O$1:$P$40)</f>
        <v>#NAME?</v>
      </c>
      <c r="U17" t="e">
        <f ca="1">WYSZUKIWACZ(Schedule!AD16,Lists!$O$1:$P$40)</f>
        <v>#NAME?</v>
      </c>
      <c r="V17" t="e">
        <f ca="1">WYSZUKIWACZ(Schedule!AE16,Lists!$O$1:$P$40)</f>
        <v>#NAME?</v>
      </c>
      <c r="W17" t="e">
        <f ca="1">WYSZUKIWACZ(Schedule!AF16,Lists!$O$1:$P$40)</f>
        <v>#NAME?</v>
      </c>
      <c r="X17" t="e">
        <f ca="1">WYSZUKIWACZ(Schedule!AG16,Lists!$O$1:$P$40)</f>
        <v>#NAME?</v>
      </c>
      <c r="Y17" t="e">
        <f ca="1">WYSZUKIWACZ(Schedule!AH16,Lists!$O$1:$P$40)</f>
        <v>#NAME?</v>
      </c>
      <c r="Z17" t="e">
        <f ca="1">WYSZUKIWACZ(Schedule!AI16,Lists!$O$1:$P$40)</f>
        <v>#NAME?</v>
      </c>
      <c r="AA17" t="e">
        <f ca="1">WYSZUKIWACZ(Schedule!AJ16,Lists!$O$1:$P$40)</f>
        <v>#NAME?</v>
      </c>
      <c r="AB17" t="e">
        <f ca="1">WYSZUKIWACZ(Schedule!AK16,Lists!$O$1:$P$40)</f>
        <v>#NAME?</v>
      </c>
      <c r="AC17" t="e">
        <f ca="1">WYSZUKIWACZ(Schedule!AL16,Lists!$O$1:$P$40)</f>
        <v>#NAME?</v>
      </c>
      <c r="AD17" t="e">
        <f ca="1">WYSZUKIWACZ(Schedule!AM16,Lists!$O$1:$P$40)</f>
        <v>#NAME?</v>
      </c>
      <c r="AE17" t="e">
        <f ca="1">WYSZUKIWACZ(Schedule!AN16,Lists!$O$1:$P$40)</f>
        <v>#NAME?</v>
      </c>
      <c r="AF17" t="e">
        <f ca="1">WYSZUKIWACZ(Schedule!AO16,Lists!$O$1:$P$40)</f>
        <v>#NAME?</v>
      </c>
      <c r="AG17" t="e">
        <f ca="1">TEXT(SUM(B17:AF17,AM4),"[g]:mm")</f>
        <v>#NAME?</v>
      </c>
      <c r="AI17">
        <f ca="1">IF(Schedule!A16=Lists!K$1,V!AI$15,IF(Schedule!A16=Lists!K$2,V!AI$15*Lists!L$2,IF(Schedule!A16=Lists!K$3,V!AI$15*Lists!L$3,IF(Schedule!A16=Lists!K$4,V!AI$15*Lists!L$4,IF(Schedule!A16=Lists!K$5,V!AI$15*Lists!L$5,IF(Schedule!A16=Lists!K$6,V!AI$15*Lists!L$6,IF(Schedule!A16=Lists!K$7,V!AI$15*Lists!L$7,0)))))))</f>
        <v>160</v>
      </c>
      <c r="AJ17" t="e">
        <f t="shared" ref="AJ17:AJ25" ca="1" si="3">TEXT(AI17/24,"[g]:mm")</f>
        <v>#VALUE!</v>
      </c>
      <c r="AK17" s="27">
        <f t="shared" ref="AK17:AK25" ca="1" si="4">IFERROR(AG17/AJ17,0)</f>
        <v>0</v>
      </c>
      <c r="AL17" t="e">
        <f t="shared" ref="AL17:AL25" ca="1" si="5">IFERROR(TEXT(AG17-AJ17,"-[gg]:mm"),TEXT(AJ17-AG17,"+[gg]:mm"))</f>
        <v>#VALUE!</v>
      </c>
    </row>
    <row r="18" spans="1:38">
      <c r="A18" t="str">
        <f>Schedule!C17</f>
        <v>Kamil Kamiński</v>
      </c>
      <c r="B18" t="e">
        <f ca="1">WYSZUKIWACZ(Schedule!K17,Lists!$O$1:$P$40)</f>
        <v>#NAME?</v>
      </c>
      <c r="C18" t="e">
        <f ca="1">WYSZUKIWACZ(Schedule!L17,Lists!$O$1:$P$40)</f>
        <v>#NAME?</v>
      </c>
      <c r="D18" t="e">
        <f ca="1">WYSZUKIWACZ(Schedule!M17,Lists!$O$1:$P$40)</f>
        <v>#NAME?</v>
      </c>
      <c r="E18" t="e">
        <f ca="1">WYSZUKIWACZ(Schedule!N17,Lists!$O$1:$P$40)</f>
        <v>#NAME?</v>
      </c>
      <c r="F18" t="e">
        <f ca="1">WYSZUKIWACZ(Schedule!O17,Lists!$O$1:$P$40)</f>
        <v>#NAME?</v>
      </c>
      <c r="G18" t="e">
        <f ca="1">WYSZUKIWACZ(Schedule!P17,Lists!$O$1:$P$40)</f>
        <v>#NAME?</v>
      </c>
      <c r="H18" t="e">
        <f ca="1">WYSZUKIWACZ(Schedule!Q17,Lists!$O$1:$P$40)</f>
        <v>#NAME?</v>
      </c>
      <c r="I18" t="e">
        <f ca="1">WYSZUKIWACZ(Schedule!R17,Lists!$O$1:$P$40)</f>
        <v>#NAME?</v>
      </c>
      <c r="J18" t="e">
        <f ca="1">WYSZUKIWACZ(Schedule!S17,Lists!$O$1:$P$40)</f>
        <v>#NAME?</v>
      </c>
      <c r="K18" t="e">
        <f ca="1">WYSZUKIWACZ(Schedule!T17,Lists!$O$1:$P$40)</f>
        <v>#NAME?</v>
      </c>
      <c r="L18" t="e">
        <f ca="1">WYSZUKIWACZ(Schedule!U17,Lists!$O$1:$P$40)</f>
        <v>#NAME?</v>
      </c>
      <c r="M18" t="e">
        <f ca="1">WYSZUKIWACZ(Schedule!V17,Lists!$O$1:$P$40)</f>
        <v>#NAME?</v>
      </c>
      <c r="N18" t="e">
        <f ca="1">WYSZUKIWACZ(Schedule!W17,Lists!$O$1:$P$40)</f>
        <v>#NAME?</v>
      </c>
      <c r="O18" t="e">
        <f ca="1">WYSZUKIWACZ(Schedule!X17,Lists!$O$1:$P$40)</f>
        <v>#NAME?</v>
      </c>
      <c r="P18" t="e">
        <f ca="1">WYSZUKIWACZ(Schedule!Y17,Lists!$O$1:$P$40)</f>
        <v>#NAME?</v>
      </c>
      <c r="Q18" t="e">
        <f ca="1">WYSZUKIWACZ(Schedule!Z17,Lists!$O$1:$P$40)</f>
        <v>#NAME?</v>
      </c>
      <c r="R18" t="e">
        <f ca="1">WYSZUKIWACZ(Schedule!AA17,Lists!$O$1:$P$40)</f>
        <v>#NAME?</v>
      </c>
      <c r="S18" t="e">
        <f ca="1">WYSZUKIWACZ(Schedule!AB17,Lists!$O$1:$P$40)</f>
        <v>#NAME?</v>
      </c>
      <c r="T18" t="e">
        <f ca="1">WYSZUKIWACZ(Schedule!AC17,Lists!$O$1:$P$40)</f>
        <v>#NAME?</v>
      </c>
      <c r="U18" t="e">
        <f ca="1">WYSZUKIWACZ(Schedule!AD17,Lists!$O$1:$P$40)</f>
        <v>#NAME?</v>
      </c>
      <c r="V18" t="e">
        <f ca="1">WYSZUKIWACZ(Schedule!AE17,Lists!$O$1:$P$40)</f>
        <v>#NAME?</v>
      </c>
      <c r="W18" t="e">
        <f ca="1">WYSZUKIWACZ(Schedule!AF17,Lists!$O$1:$P$40)</f>
        <v>#NAME?</v>
      </c>
      <c r="X18" t="e">
        <f ca="1">WYSZUKIWACZ(Schedule!AG17,Lists!$O$1:$P$40)</f>
        <v>#NAME?</v>
      </c>
      <c r="Y18" t="e">
        <f ca="1">WYSZUKIWACZ(Schedule!AH17,Lists!$O$1:$P$40)</f>
        <v>#NAME?</v>
      </c>
      <c r="Z18" t="e">
        <f ca="1">WYSZUKIWACZ(Schedule!AI17,Lists!$O$1:$P$40)</f>
        <v>#NAME?</v>
      </c>
      <c r="AA18" t="e">
        <f ca="1">WYSZUKIWACZ(Schedule!AJ17,Lists!$O$1:$P$40)</f>
        <v>#NAME?</v>
      </c>
      <c r="AB18" t="e">
        <f ca="1">WYSZUKIWACZ(Schedule!AK17,Lists!$O$1:$P$40)</f>
        <v>#NAME?</v>
      </c>
      <c r="AC18" t="e">
        <f ca="1">WYSZUKIWACZ(Schedule!AL17,Lists!$O$1:$P$40)</f>
        <v>#NAME?</v>
      </c>
      <c r="AD18" t="e">
        <f ca="1">WYSZUKIWACZ(Schedule!AM17,Lists!$O$1:$P$40)</f>
        <v>#NAME?</v>
      </c>
      <c r="AE18" t="e">
        <f ca="1">WYSZUKIWACZ(Schedule!AN17,Lists!$O$1:$P$40)</f>
        <v>#NAME?</v>
      </c>
      <c r="AF18" t="e">
        <f ca="1">WYSZUKIWACZ(Schedule!AO17,Lists!$O$1:$P$40)</f>
        <v>#NAME?</v>
      </c>
      <c r="AG18" t="e">
        <f t="shared" ref="AG18:AG25" ca="1" si="6">TEXT(SUM(B18:AF18,AM5),"[g]:mm")</f>
        <v>#NAME?</v>
      </c>
      <c r="AI18">
        <f ca="1">IF(Schedule!A17=Lists!K$1,V!AI$15,IF(Schedule!A17=Lists!K$2,V!AI$15*Lists!L$2,IF(Schedule!A17=Lists!K$3,V!AI$15*Lists!L$3,IF(Schedule!A17=Lists!K$4,V!AI$15*Lists!L$4,IF(Schedule!A17=Lists!K$5,V!AI$15*Lists!L$5,IF(Schedule!A17=Lists!K$6,V!AI$15*Lists!L$6,IF(Schedule!A17=Lists!K$7,V!AI$15*Lists!L$7,0)))))))</f>
        <v>160</v>
      </c>
      <c r="AJ18" t="e">
        <f t="shared" ca="1" si="3"/>
        <v>#VALUE!</v>
      </c>
      <c r="AK18" s="27">
        <f t="shared" ca="1" si="4"/>
        <v>0</v>
      </c>
      <c r="AL18" t="e">
        <f t="shared" ca="1" si="5"/>
        <v>#VALUE!</v>
      </c>
    </row>
    <row r="19" spans="1:38">
      <c r="A19" t="str">
        <f>Schedule!C18</f>
        <v>Zuzanna Makowska</v>
      </c>
      <c r="B19" t="e">
        <f ca="1">WYSZUKIWACZ(Schedule!K18,Lists!$O$1:$P$40)</f>
        <v>#NAME?</v>
      </c>
      <c r="C19" t="e">
        <f ca="1">WYSZUKIWACZ(Schedule!L18,Lists!$O$1:$P$40)</f>
        <v>#NAME?</v>
      </c>
      <c r="D19" t="e">
        <f ca="1">WYSZUKIWACZ(Schedule!M18,Lists!$O$1:$P$40)</f>
        <v>#NAME?</v>
      </c>
      <c r="E19" t="e">
        <f ca="1">WYSZUKIWACZ(Schedule!N18,Lists!$O$1:$P$40)</f>
        <v>#NAME?</v>
      </c>
      <c r="F19" t="e">
        <f ca="1">WYSZUKIWACZ(Schedule!O18,Lists!$O$1:$P$40)</f>
        <v>#NAME?</v>
      </c>
      <c r="G19" t="e">
        <f ca="1">WYSZUKIWACZ(Schedule!P18,Lists!$O$1:$P$40)</f>
        <v>#NAME?</v>
      </c>
      <c r="H19" t="e">
        <f ca="1">WYSZUKIWACZ(Schedule!Q18,Lists!$O$1:$P$40)</f>
        <v>#NAME?</v>
      </c>
      <c r="I19" t="e">
        <f ca="1">WYSZUKIWACZ(Schedule!R18,Lists!$O$1:$P$40)</f>
        <v>#NAME?</v>
      </c>
      <c r="J19" t="e">
        <f ca="1">WYSZUKIWACZ(Schedule!S18,Lists!$O$1:$P$40)</f>
        <v>#NAME?</v>
      </c>
      <c r="K19" t="e">
        <f ca="1">WYSZUKIWACZ(Schedule!T18,Lists!$O$1:$P$40)</f>
        <v>#NAME?</v>
      </c>
      <c r="L19" t="e">
        <f ca="1">WYSZUKIWACZ(Schedule!U18,Lists!$O$1:$P$40)</f>
        <v>#NAME?</v>
      </c>
      <c r="M19" t="e">
        <f ca="1">WYSZUKIWACZ(Schedule!V18,Lists!$O$1:$P$40)</f>
        <v>#NAME?</v>
      </c>
      <c r="N19" t="e">
        <f ca="1">WYSZUKIWACZ(Schedule!W18,Lists!$O$1:$P$40)</f>
        <v>#NAME?</v>
      </c>
      <c r="O19" t="e">
        <f ca="1">WYSZUKIWACZ(Schedule!X18,Lists!$O$1:$P$40)</f>
        <v>#NAME?</v>
      </c>
      <c r="P19" t="e">
        <f ca="1">WYSZUKIWACZ(Schedule!Y18,Lists!$O$1:$P$40)</f>
        <v>#NAME?</v>
      </c>
      <c r="Q19" t="e">
        <f ca="1">WYSZUKIWACZ(Schedule!Z18,Lists!$O$1:$P$40)</f>
        <v>#NAME?</v>
      </c>
      <c r="R19" t="e">
        <f ca="1">WYSZUKIWACZ(Schedule!AA18,Lists!$O$1:$P$40)</f>
        <v>#NAME?</v>
      </c>
      <c r="S19" t="e">
        <f ca="1">WYSZUKIWACZ(Schedule!AB18,Lists!$O$1:$P$40)</f>
        <v>#NAME?</v>
      </c>
      <c r="T19" t="e">
        <f ca="1">WYSZUKIWACZ(Schedule!AC18,Lists!$O$1:$P$40)</f>
        <v>#NAME?</v>
      </c>
      <c r="U19" t="e">
        <f ca="1">WYSZUKIWACZ(Schedule!AD18,Lists!$O$1:$P$40)</f>
        <v>#NAME?</v>
      </c>
      <c r="V19" t="e">
        <f ca="1">WYSZUKIWACZ(Schedule!AE18,Lists!$O$1:$P$40)</f>
        <v>#NAME?</v>
      </c>
      <c r="W19" t="e">
        <f ca="1">WYSZUKIWACZ(Schedule!AF18,Lists!$O$1:$P$40)</f>
        <v>#NAME?</v>
      </c>
      <c r="X19" t="e">
        <f ca="1">WYSZUKIWACZ(Schedule!AG18,Lists!$O$1:$P$40)</f>
        <v>#NAME?</v>
      </c>
      <c r="Y19" t="e">
        <f ca="1">WYSZUKIWACZ(Schedule!AH18,Lists!$O$1:$P$40)</f>
        <v>#NAME?</v>
      </c>
      <c r="Z19" t="e">
        <f ca="1">WYSZUKIWACZ(Schedule!AI18,Lists!$O$1:$P$40)</f>
        <v>#NAME?</v>
      </c>
      <c r="AA19" t="e">
        <f ca="1">WYSZUKIWACZ(Schedule!AJ18,Lists!$O$1:$P$40)</f>
        <v>#NAME?</v>
      </c>
      <c r="AB19" t="e">
        <f ca="1">WYSZUKIWACZ(Schedule!AK18,Lists!$O$1:$P$40)</f>
        <v>#NAME?</v>
      </c>
      <c r="AC19" t="e">
        <f ca="1">WYSZUKIWACZ(Schedule!AL18,Lists!$O$1:$P$40)</f>
        <v>#NAME?</v>
      </c>
      <c r="AD19" t="e">
        <f ca="1">WYSZUKIWACZ(Schedule!AM18,Lists!$O$1:$P$40)</f>
        <v>#NAME?</v>
      </c>
      <c r="AE19" t="e">
        <f ca="1">WYSZUKIWACZ(Schedule!AN18,Lists!$O$1:$P$40)</f>
        <v>#NAME?</v>
      </c>
      <c r="AF19" t="e">
        <f ca="1">WYSZUKIWACZ(Schedule!AO18,Lists!$O$1:$P$40)</f>
        <v>#NAME?</v>
      </c>
      <c r="AG19" t="e">
        <f ca="1">TEXT(SUM(B19:AF19,AM6),"[g]:mm")</f>
        <v>#NAME?</v>
      </c>
      <c r="AI19">
        <f ca="1">IF(Schedule!A18=Lists!K$1,V!AI$15,IF(Schedule!A18=Lists!K$2,V!AI$15*Lists!L$2,IF(Schedule!A18=Lists!K$3,V!AI$15*Lists!L$3,IF(Schedule!A18=Lists!K$4,V!AI$15*Lists!L$4,IF(Schedule!A18=Lists!K$5,V!AI$15*Lists!L$5,IF(Schedule!A18=Lists!K$6,V!AI$15*Lists!L$6,IF(Schedule!A18=Lists!K$7,V!AI$15*Lists!L$7,0)))))))</f>
        <v>120</v>
      </c>
      <c r="AJ19" t="e">
        <f t="shared" ca="1" si="3"/>
        <v>#VALUE!</v>
      </c>
      <c r="AK19" s="27">
        <f ca="1">IFERROR(AG19/AJ19,0)</f>
        <v>0</v>
      </c>
      <c r="AL19" t="e">
        <f t="shared" ca="1" si="5"/>
        <v>#VALUE!</v>
      </c>
    </row>
    <row r="20" spans="1:38">
      <c r="A20" t="str">
        <f>Schedule!C19</f>
        <v>Weronika Bieńkowska</v>
      </c>
      <c r="B20" t="e">
        <f ca="1">WYSZUKIWACZ(Schedule!K19,Lists!$O$1:$P$40)</f>
        <v>#NAME?</v>
      </c>
      <c r="C20" t="e">
        <f ca="1">WYSZUKIWACZ(Schedule!L19,Lists!$O$1:$P$40)</f>
        <v>#NAME?</v>
      </c>
      <c r="D20" t="e">
        <f ca="1">WYSZUKIWACZ(Schedule!M19,Lists!$O$1:$P$40)</f>
        <v>#NAME?</v>
      </c>
      <c r="E20" t="e">
        <f ca="1">WYSZUKIWACZ(Schedule!N19,Lists!$O$1:$P$40)</f>
        <v>#NAME?</v>
      </c>
      <c r="F20" t="e">
        <f ca="1">WYSZUKIWACZ(Schedule!O19,Lists!$O$1:$P$40)</f>
        <v>#NAME?</v>
      </c>
      <c r="G20" t="e">
        <f ca="1">WYSZUKIWACZ(Schedule!P19,Lists!$O$1:$P$40)</f>
        <v>#NAME?</v>
      </c>
      <c r="H20" t="e">
        <f ca="1">WYSZUKIWACZ(Schedule!Q19,Lists!$O$1:$P$40)</f>
        <v>#NAME?</v>
      </c>
      <c r="I20" t="e">
        <f ca="1">WYSZUKIWACZ(Schedule!R19,Lists!$O$1:$P$40)</f>
        <v>#NAME?</v>
      </c>
      <c r="J20" t="e">
        <f ca="1">WYSZUKIWACZ(Schedule!S19,Lists!$O$1:$P$40)</f>
        <v>#NAME?</v>
      </c>
      <c r="K20" t="e">
        <f ca="1">WYSZUKIWACZ(Schedule!T19,Lists!$O$1:$P$40)</f>
        <v>#NAME?</v>
      </c>
      <c r="L20" t="e">
        <f ca="1">WYSZUKIWACZ(Schedule!U19,Lists!$O$1:$P$40)</f>
        <v>#NAME?</v>
      </c>
      <c r="M20" t="e">
        <f ca="1">WYSZUKIWACZ(Schedule!V19,Lists!$O$1:$P$40)</f>
        <v>#NAME?</v>
      </c>
      <c r="N20" t="e">
        <f ca="1">WYSZUKIWACZ(Schedule!W19,Lists!$O$1:$P$40)</f>
        <v>#NAME?</v>
      </c>
      <c r="O20" t="e">
        <f ca="1">WYSZUKIWACZ(Schedule!X19,Lists!$O$1:$P$40)</f>
        <v>#NAME?</v>
      </c>
      <c r="P20" t="e">
        <f ca="1">WYSZUKIWACZ(Schedule!Y19,Lists!$O$1:$P$40)</f>
        <v>#NAME?</v>
      </c>
      <c r="Q20" t="e">
        <f ca="1">WYSZUKIWACZ(Schedule!Z19,Lists!$O$1:$P$40)</f>
        <v>#NAME?</v>
      </c>
      <c r="R20" t="e">
        <f ca="1">WYSZUKIWACZ(Schedule!AA19,Lists!$O$1:$P$40)</f>
        <v>#NAME?</v>
      </c>
      <c r="S20" t="e">
        <f ca="1">WYSZUKIWACZ(Schedule!AB19,Lists!$O$1:$P$40)</f>
        <v>#NAME?</v>
      </c>
      <c r="T20" t="e">
        <f ca="1">WYSZUKIWACZ(Schedule!AC19,Lists!$O$1:$P$40)</f>
        <v>#NAME?</v>
      </c>
      <c r="U20" t="e">
        <f ca="1">WYSZUKIWACZ(Schedule!AD19,Lists!$O$1:$P$40)</f>
        <v>#NAME?</v>
      </c>
      <c r="V20" t="e">
        <f ca="1">WYSZUKIWACZ(Schedule!AE19,Lists!$O$1:$P$40)</f>
        <v>#NAME?</v>
      </c>
      <c r="W20" t="e">
        <f ca="1">WYSZUKIWACZ(Schedule!AF19,Lists!$O$1:$P$40)</f>
        <v>#NAME?</v>
      </c>
      <c r="X20" t="e">
        <f ca="1">WYSZUKIWACZ(Schedule!AG19,Lists!$O$1:$P$40)</f>
        <v>#NAME?</v>
      </c>
      <c r="Y20" t="e">
        <f ca="1">WYSZUKIWACZ(Schedule!AH19,Lists!$O$1:$P$40)</f>
        <v>#NAME?</v>
      </c>
      <c r="Z20" t="e">
        <f ca="1">WYSZUKIWACZ(Schedule!AI19,Lists!$O$1:$P$40)</f>
        <v>#NAME?</v>
      </c>
      <c r="AA20" t="e">
        <f ca="1">WYSZUKIWACZ(Schedule!AJ19,Lists!$O$1:$P$40)</f>
        <v>#NAME?</v>
      </c>
      <c r="AB20" t="e">
        <f ca="1">WYSZUKIWACZ(Schedule!AK19,Lists!$O$1:$P$40)</f>
        <v>#NAME?</v>
      </c>
      <c r="AC20" t="e">
        <f ca="1">WYSZUKIWACZ(Schedule!AL19,Lists!$O$1:$P$40)</f>
        <v>#NAME?</v>
      </c>
      <c r="AD20" t="e">
        <f ca="1">WYSZUKIWACZ(Schedule!AM19,Lists!$O$1:$P$40)</f>
        <v>#NAME?</v>
      </c>
      <c r="AE20" t="e">
        <f ca="1">WYSZUKIWACZ(Schedule!AN19,Lists!$O$1:$P$40)</f>
        <v>#NAME?</v>
      </c>
      <c r="AF20" t="e">
        <f ca="1">WYSZUKIWACZ(Schedule!AO19,Lists!$O$1:$P$40)</f>
        <v>#NAME?</v>
      </c>
      <c r="AG20" t="e">
        <f t="shared" ca="1" si="6"/>
        <v>#NAME?</v>
      </c>
      <c r="AI20">
        <f ca="1">IF(Schedule!A19=Lists!K$1,V!AI$15,IF(Schedule!A19=Lists!K$2,V!AI$15*Lists!L$2,IF(Schedule!A19=Lists!K$3,V!AI$15*Lists!L$3,IF(Schedule!A19=Lists!K$4,V!AI$15*Lists!L$4,IF(Schedule!A19=Lists!K$5,V!AI$15*Lists!L$5,IF(Schedule!A19=Lists!K$6,V!AI$15*Lists!L$6,IF(Schedule!A19=Lists!K$7,V!AI$15*Lists!L$7,0)))))))</f>
        <v>80</v>
      </c>
      <c r="AJ20" t="e">
        <f t="shared" ca="1" si="3"/>
        <v>#VALUE!</v>
      </c>
      <c r="AK20" s="27">
        <f t="shared" ca="1" si="4"/>
        <v>0</v>
      </c>
      <c r="AL20" t="e">
        <f t="shared" ca="1" si="5"/>
        <v>#VALUE!</v>
      </c>
    </row>
    <row r="21" spans="1:38">
      <c r="A21" t="str">
        <f>Schedule!C20</f>
        <v>Hanna Domachowska</v>
      </c>
      <c r="B21" t="e">
        <f ca="1">WYSZUKIWACZ(Schedule!K20,Lists!$O$1:$P$40)</f>
        <v>#NAME?</v>
      </c>
      <c r="C21" t="e">
        <f ca="1">WYSZUKIWACZ(Schedule!L20,Lists!$O$1:$P$40)</f>
        <v>#NAME?</v>
      </c>
      <c r="D21" t="e">
        <f ca="1">WYSZUKIWACZ(Schedule!M20,Lists!$O$1:$P$40)</f>
        <v>#NAME?</v>
      </c>
      <c r="E21" t="e">
        <f ca="1">WYSZUKIWACZ(Schedule!N20,Lists!$O$1:$P$40)</f>
        <v>#NAME?</v>
      </c>
      <c r="F21" t="e">
        <f ca="1">WYSZUKIWACZ(Schedule!O20,Lists!$O$1:$P$40)</f>
        <v>#NAME?</v>
      </c>
      <c r="G21" t="e">
        <f ca="1">WYSZUKIWACZ(Schedule!P20,Lists!$O$1:$P$40)</f>
        <v>#NAME?</v>
      </c>
      <c r="H21" t="e">
        <f ca="1">WYSZUKIWACZ(Schedule!Q20,Lists!$O$1:$P$40)</f>
        <v>#NAME?</v>
      </c>
      <c r="I21" t="e">
        <f ca="1">WYSZUKIWACZ(Schedule!R20,Lists!$O$1:$P$40)</f>
        <v>#NAME?</v>
      </c>
      <c r="J21" t="e">
        <f ca="1">WYSZUKIWACZ(Schedule!S20,Lists!$O$1:$P$40)</f>
        <v>#NAME?</v>
      </c>
      <c r="K21" t="e">
        <f ca="1">WYSZUKIWACZ(Schedule!T20,Lists!$O$1:$P$40)</f>
        <v>#NAME?</v>
      </c>
      <c r="L21" t="e">
        <f ca="1">WYSZUKIWACZ(Schedule!U20,Lists!$O$1:$P$40)</f>
        <v>#NAME?</v>
      </c>
      <c r="M21" t="e">
        <f ca="1">WYSZUKIWACZ(Schedule!V20,Lists!$O$1:$P$40)</f>
        <v>#NAME?</v>
      </c>
      <c r="N21" t="e">
        <f ca="1">WYSZUKIWACZ(Schedule!W20,Lists!$O$1:$P$40)</f>
        <v>#NAME?</v>
      </c>
      <c r="O21" t="e">
        <f ca="1">WYSZUKIWACZ(Schedule!X20,Lists!$O$1:$P$40)</f>
        <v>#NAME?</v>
      </c>
      <c r="P21" t="e">
        <f ca="1">WYSZUKIWACZ(Schedule!Y20,Lists!$O$1:$P$40)</f>
        <v>#NAME?</v>
      </c>
      <c r="Q21" t="e">
        <f ca="1">WYSZUKIWACZ(Schedule!Z20,Lists!$O$1:$P$40)</f>
        <v>#NAME?</v>
      </c>
      <c r="R21" t="e">
        <f ca="1">WYSZUKIWACZ(Schedule!AA20,Lists!$O$1:$P$40)</f>
        <v>#NAME?</v>
      </c>
      <c r="S21" t="e">
        <f ca="1">WYSZUKIWACZ(Schedule!AB20,Lists!$O$1:$P$40)</f>
        <v>#NAME?</v>
      </c>
      <c r="T21" t="e">
        <f ca="1">WYSZUKIWACZ(Schedule!AC20,Lists!$O$1:$P$40)</f>
        <v>#NAME?</v>
      </c>
      <c r="U21" t="e">
        <f ca="1">WYSZUKIWACZ(Schedule!AD20,Lists!$O$1:$P$40)</f>
        <v>#NAME?</v>
      </c>
      <c r="V21" t="e">
        <f ca="1">WYSZUKIWACZ(Schedule!AE20,Lists!$O$1:$P$40)</f>
        <v>#NAME?</v>
      </c>
      <c r="W21" t="e">
        <f ca="1">WYSZUKIWACZ(Schedule!AF20,Lists!$O$1:$P$40)</f>
        <v>#NAME?</v>
      </c>
      <c r="X21" t="e">
        <f ca="1">WYSZUKIWACZ(Schedule!AG20,Lists!$O$1:$P$40)</f>
        <v>#NAME?</v>
      </c>
      <c r="Y21" t="e">
        <f ca="1">WYSZUKIWACZ(Schedule!AH20,Lists!$O$1:$P$40)</f>
        <v>#NAME?</v>
      </c>
      <c r="Z21" t="e">
        <f ca="1">WYSZUKIWACZ(Schedule!AI20,Lists!$O$1:$P$40)</f>
        <v>#NAME?</v>
      </c>
      <c r="AA21" t="e">
        <f ca="1">WYSZUKIWACZ(Schedule!AJ20,Lists!$O$1:$P$40)</f>
        <v>#NAME?</v>
      </c>
      <c r="AB21" t="e">
        <f ca="1">WYSZUKIWACZ(Schedule!AK20,Lists!$O$1:$P$40)</f>
        <v>#NAME?</v>
      </c>
      <c r="AC21" t="e">
        <f ca="1">WYSZUKIWACZ(Schedule!AL20,Lists!$O$1:$P$40)</f>
        <v>#NAME?</v>
      </c>
      <c r="AD21" t="e">
        <f ca="1">WYSZUKIWACZ(Schedule!AM20,Lists!$O$1:$P$40)</f>
        <v>#NAME?</v>
      </c>
      <c r="AE21" t="e">
        <f ca="1">WYSZUKIWACZ(Schedule!AN20,Lists!$O$1:$P$40)</f>
        <v>#NAME?</v>
      </c>
      <c r="AF21" t="e">
        <f ca="1">WYSZUKIWACZ(Schedule!AO20,Lists!$O$1:$P$40)</f>
        <v>#NAME?</v>
      </c>
      <c r="AG21" t="e">
        <f t="shared" ca="1" si="6"/>
        <v>#NAME?</v>
      </c>
      <c r="AI21">
        <f ca="1">IF(Schedule!A20=Lists!K$1,V!AI$15,IF(Schedule!A20=Lists!K$2,V!AI$15*Lists!L$2,IF(Schedule!A20=Lists!K$3,V!AI$15*Lists!L$3,IF(Schedule!A20=Lists!K$4,V!AI$15*Lists!L$4,IF(Schedule!A20=Lists!K$5,V!AI$15*Lists!L$5,IF(Schedule!A20=Lists!K$6,V!AI$15*Lists!L$6,IF(Schedule!A20=Lists!K$7,V!AI$15*Lists!L$7,0)))))))</f>
        <v>80</v>
      </c>
      <c r="AJ21" t="e">
        <f t="shared" ca="1" si="3"/>
        <v>#VALUE!</v>
      </c>
      <c r="AK21" s="27">
        <f t="shared" ca="1" si="4"/>
        <v>0</v>
      </c>
      <c r="AL21" t="e">
        <f t="shared" ca="1" si="5"/>
        <v>#VALUE!</v>
      </c>
    </row>
    <row r="22" spans="1:38">
      <c r="A22" t="str">
        <f>Schedule!C21</f>
        <v>Aleksandra Płużyńska</v>
      </c>
      <c r="B22" t="e">
        <f ca="1">WYSZUKIWACZ(Schedule!K21,Lists!$O$1:$P$40)</f>
        <v>#NAME?</v>
      </c>
      <c r="C22" t="e">
        <f ca="1">WYSZUKIWACZ(Schedule!L21,Lists!$O$1:$P$40)</f>
        <v>#NAME?</v>
      </c>
      <c r="D22" t="e">
        <f ca="1">WYSZUKIWACZ(Schedule!M21,Lists!$O$1:$P$40)</f>
        <v>#NAME?</v>
      </c>
      <c r="E22" t="e">
        <f ca="1">WYSZUKIWACZ(Schedule!N21,Lists!$O$1:$P$40)</f>
        <v>#NAME?</v>
      </c>
      <c r="F22" t="e">
        <f ca="1">WYSZUKIWACZ(Schedule!O21,Lists!$O$1:$P$40)</f>
        <v>#NAME?</v>
      </c>
      <c r="G22" t="e">
        <f ca="1">WYSZUKIWACZ(Schedule!P21,Lists!$O$1:$P$40)</f>
        <v>#NAME?</v>
      </c>
      <c r="H22" t="e">
        <f ca="1">WYSZUKIWACZ(Schedule!Q21,Lists!$O$1:$P$40)</f>
        <v>#NAME?</v>
      </c>
      <c r="I22" t="e">
        <f ca="1">WYSZUKIWACZ(Schedule!R21,Lists!$O$1:$P$40)</f>
        <v>#NAME?</v>
      </c>
      <c r="J22" t="e">
        <f ca="1">WYSZUKIWACZ(Schedule!S21,Lists!$O$1:$P$40)</f>
        <v>#NAME?</v>
      </c>
      <c r="K22" t="e">
        <f ca="1">WYSZUKIWACZ(Schedule!T21,Lists!$O$1:$P$40)</f>
        <v>#NAME?</v>
      </c>
      <c r="L22" t="e">
        <f ca="1">WYSZUKIWACZ(Schedule!U21,Lists!$O$1:$P$40)</f>
        <v>#NAME?</v>
      </c>
      <c r="M22" t="e">
        <f ca="1">WYSZUKIWACZ(Schedule!V21,Lists!$O$1:$P$40)</f>
        <v>#NAME?</v>
      </c>
      <c r="N22" t="e">
        <f ca="1">WYSZUKIWACZ(Schedule!W21,Lists!$O$1:$P$40)</f>
        <v>#NAME?</v>
      </c>
      <c r="O22" t="e">
        <f ca="1">WYSZUKIWACZ(Schedule!X21,Lists!$O$1:$P$40)</f>
        <v>#NAME?</v>
      </c>
      <c r="P22" t="e">
        <f ca="1">WYSZUKIWACZ(Schedule!Y21,Lists!$O$1:$P$40)</f>
        <v>#NAME?</v>
      </c>
      <c r="Q22" t="e">
        <f ca="1">WYSZUKIWACZ(Schedule!Z21,Lists!$O$1:$P$40)</f>
        <v>#NAME?</v>
      </c>
      <c r="R22" t="e">
        <f ca="1">WYSZUKIWACZ(Schedule!AA21,Lists!$O$1:$P$40)</f>
        <v>#NAME?</v>
      </c>
      <c r="S22" t="e">
        <f ca="1">WYSZUKIWACZ(Schedule!AB21,Lists!$O$1:$P$40)</f>
        <v>#NAME?</v>
      </c>
      <c r="T22" t="e">
        <f ca="1">WYSZUKIWACZ(Schedule!AC21,Lists!$O$1:$P$40)</f>
        <v>#NAME?</v>
      </c>
      <c r="U22" t="e">
        <f ca="1">WYSZUKIWACZ(Schedule!AD21,Lists!$O$1:$P$40)</f>
        <v>#NAME?</v>
      </c>
      <c r="V22" t="e">
        <f ca="1">WYSZUKIWACZ(Schedule!AE21,Lists!$O$1:$P$40)</f>
        <v>#NAME?</v>
      </c>
      <c r="W22" t="e">
        <f ca="1">WYSZUKIWACZ(Schedule!AF21,Lists!$O$1:$P$40)</f>
        <v>#NAME?</v>
      </c>
      <c r="X22" t="e">
        <f ca="1">WYSZUKIWACZ(Schedule!AG21,Lists!$O$1:$P$40)</f>
        <v>#NAME?</v>
      </c>
      <c r="Y22" t="e">
        <f ca="1">WYSZUKIWACZ(Schedule!AH21,Lists!$O$1:$P$40)</f>
        <v>#NAME?</v>
      </c>
      <c r="Z22" t="e">
        <f ca="1">WYSZUKIWACZ(Schedule!AI21,Lists!$O$1:$P$40)</f>
        <v>#NAME?</v>
      </c>
      <c r="AA22" t="e">
        <f ca="1">WYSZUKIWACZ(Schedule!AJ21,Lists!$O$1:$P$40)</f>
        <v>#NAME?</v>
      </c>
      <c r="AB22" t="e">
        <f ca="1">WYSZUKIWACZ(Schedule!AK21,Lists!$O$1:$P$40)</f>
        <v>#NAME?</v>
      </c>
      <c r="AC22" t="e">
        <f ca="1">WYSZUKIWACZ(Schedule!AL21,Lists!$O$1:$P$40)</f>
        <v>#NAME?</v>
      </c>
      <c r="AD22" t="e">
        <f ca="1">WYSZUKIWACZ(Schedule!AM21,Lists!$O$1:$P$40)</f>
        <v>#NAME?</v>
      </c>
      <c r="AE22" t="e">
        <f ca="1">WYSZUKIWACZ(Schedule!AN21,Lists!$O$1:$P$40)</f>
        <v>#NAME?</v>
      </c>
      <c r="AF22" t="e">
        <f ca="1">WYSZUKIWACZ(Schedule!AO21,Lists!$O$1:$P$40)</f>
        <v>#NAME?</v>
      </c>
      <c r="AG22" t="e">
        <f ca="1">TEXT(SUM(B22:AF22,AM9),"[g]:mm")</f>
        <v>#NAME?</v>
      </c>
      <c r="AI22">
        <f ca="1">IF(Schedule!A21=Lists!K$1,V!AI$15,IF(Schedule!A21=Lists!K$2,V!AI$15*Lists!L$2,IF(Schedule!A21=Lists!K$3,V!AI$15*Lists!L$3,IF(Schedule!A21=Lists!K$4,V!AI$15*Lists!L$4,IF(Schedule!A21=Lists!K$5,V!AI$15*Lists!L$5,IF(Schedule!A21=Lists!K$6,V!AI$15*Lists!L$6,IF(Schedule!A21=Lists!K$7,V!AI$15*Lists!L$7,0)))))))</f>
        <v>160</v>
      </c>
      <c r="AJ22" t="e">
        <f t="shared" ca="1" si="3"/>
        <v>#VALUE!</v>
      </c>
      <c r="AK22" s="27">
        <f t="shared" ca="1" si="4"/>
        <v>0</v>
      </c>
      <c r="AL22" t="e">
        <f t="shared" ca="1" si="5"/>
        <v>#VALUE!</v>
      </c>
    </row>
    <row r="23" spans="1:38">
      <c r="A23" t="str">
        <f>Schedule!C22</f>
        <v>Gabi Znojek</v>
      </c>
      <c r="B23" t="e">
        <f ca="1">WYSZUKIWACZ(Schedule!K22,Lists!$O$1:$P$40)</f>
        <v>#NAME?</v>
      </c>
      <c r="C23" t="e">
        <f ca="1">WYSZUKIWACZ(Schedule!L22,Lists!$O$1:$P$40)</f>
        <v>#NAME?</v>
      </c>
      <c r="D23" t="e">
        <f ca="1">WYSZUKIWACZ(Schedule!M22,Lists!$O$1:$P$40)</f>
        <v>#NAME?</v>
      </c>
      <c r="E23" t="e">
        <f ca="1">WYSZUKIWACZ(Schedule!N22,Lists!$O$1:$P$40)</f>
        <v>#NAME?</v>
      </c>
      <c r="F23" t="e">
        <f ca="1">WYSZUKIWACZ(Schedule!O22,Lists!$O$1:$P$40)</f>
        <v>#NAME?</v>
      </c>
      <c r="G23" t="e">
        <f ca="1">WYSZUKIWACZ(Schedule!P22,Lists!$O$1:$P$40)</f>
        <v>#NAME?</v>
      </c>
      <c r="H23" t="e">
        <f ca="1">WYSZUKIWACZ(Schedule!Q22,Lists!$O$1:$P$40)</f>
        <v>#NAME?</v>
      </c>
      <c r="I23" t="e">
        <f ca="1">WYSZUKIWACZ(Schedule!R22,Lists!$O$1:$P$40)</f>
        <v>#NAME?</v>
      </c>
      <c r="J23" t="e">
        <f ca="1">WYSZUKIWACZ(Schedule!S22,Lists!$O$1:$P$40)</f>
        <v>#NAME?</v>
      </c>
      <c r="K23" t="e">
        <f ca="1">WYSZUKIWACZ(Schedule!T22,Lists!$O$1:$P$40)</f>
        <v>#NAME?</v>
      </c>
      <c r="L23" t="e">
        <f ca="1">WYSZUKIWACZ(Schedule!U22,Lists!$O$1:$P$40)</f>
        <v>#NAME?</v>
      </c>
      <c r="M23" t="e">
        <f ca="1">WYSZUKIWACZ(Schedule!V22,Lists!$O$1:$P$40)</f>
        <v>#NAME?</v>
      </c>
      <c r="N23" t="e">
        <f ca="1">WYSZUKIWACZ(Schedule!W22,Lists!$O$1:$P$40)</f>
        <v>#NAME?</v>
      </c>
      <c r="O23" t="e">
        <f ca="1">WYSZUKIWACZ(Schedule!X22,Lists!$O$1:$P$40)</f>
        <v>#NAME?</v>
      </c>
      <c r="P23" t="e">
        <f ca="1">WYSZUKIWACZ(Schedule!Y22,Lists!$O$1:$P$40)</f>
        <v>#NAME?</v>
      </c>
      <c r="Q23" t="e">
        <f ca="1">WYSZUKIWACZ(Schedule!Z22,Lists!$O$1:$P$40)</f>
        <v>#NAME?</v>
      </c>
      <c r="R23" t="e">
        <f ca="1">WYSZUKIWACZ(Schedule!AA22,Lists!$O$1:$P$40)</f>
        <v>#NAME?</v>
      </c>
      <c r="S23" t="e">
        <f ca="1">WYSZUKIWACZ(Schedule!AB22,Lists!$O$1:$P$40)</f>
        <v>#NAME?</v>
      </c>
      <c r="T23" t="e">
        <f ca="1">WYSZUKIWACZ(Schedule!AC22,Lists!$O$1:$P$40)</f>
        <v>#NAME?</v>
      </c>
      <c r="U23" t="e">
        <f ca="1">WYSZUKIWACZ(Schedule!AD22,Lists!$O$1:$P$40)</f>
        <v>#NAME?</v>
      </c>
      <c r="V23" t="e">
        <f ca="1">WYSZUKIWACZ(Schedule!AE22,Lists!$O$1:$P$40)</f>
        <v>#NAME?</v>
      </c>
      <c r="W23" t="e">
        <f ca="1">WYSZUKIWACZ(Schedule!AF22,Lists!$O$1:$P$40)</f>
        <v>#NAME?</v>
      </c>
      <c r="X23" t="e">
        <f ca="1">WYSZUKIWACZ(Schedule!AG22,Lists!$O$1:$P$40)</f>
        <v>#NAME?</v>
      </c>
      <c r="Y23" t="e">
        <f ca="1">WYSZUKIWACZ(Schedule!AH22,Lists!$O$1:$P$40)</f>
        <v>#NAME?</v>
      </c>
      <c r="Z23" t="e">
        <f ca="1">WYSZUKIWACZ(Schedule!AI22,Lists!$O$1:$P$40)</f>
        <v>#NAME?</v>
      </c>
      <c r="AA23" t="e">
        <f ca="1">WYSZUKIWACZ(Schedule!AJ22,Lists!$O$1:$P$40)</f>
        <v>#NAME?</v>
      </c>
      <c r="AB23" t="e">
        <f ca="1">WYSZUKIWACZ(Schedule!AK22,Lists!$O$1:$P$40)</f>
        <v>#NAME?</v>
      </c>
      <c r="AC23" t="e">
        <f ca="1">WYSZUKIWACZ(Schedule!AL22,Lists!$O$1:$P$40)</f>
        <v>#NAME?</v>
      </c>
      <c r="AD23" t="e">
        <f ca="1">WYSZUKIWACZ(Schedule!AM22,Lists!$O$1:$P$40)</f>
        <v>#NAME?</v>
      </c>
      <c r="AE23" t="e">
        <f ca="1">WYSZUKIWACZ(Schedule!AN22,Lists!$O$1:$P$40)</f>
        <v>#NAME?</v>
      </c>
      <c r="AF23" t="e">
        <f ca="1">WYSZUKIWACZ(Schedule!AO22,Lists!$O$1:$P$40)</f>
        <v>#NAME?</v>
      </c>
      <c r="AG23" t="e">
        <f ca="1">TEXT(SUM(B23:AF23,AM10),"[g]:mm")</f>
        <v>#NAME?</v>
      </c>
      <c r="AI23">
        <f ca="1">IF(Schedule!A22=Lists!K$1,V!AI$15,IF(Schedule!A22=Lists!K$2,V!AI$15*Lists!L$2,IF(Schedule!A22=Lists!K$3,V!AI$15*Lists!L$3,IF(Schedule!A22=Lists!K$4,V!AI$15*Lists!L$4,IF(Schedule!A22=Lists!K$5,V!AI$15*Lists!L$5,IF(Schedule!A22=Lists!K$6,V!AI$15*Lists!L$6,IF(Schedule!A22=Lists!K$7,V!AI$15*Lists!L$7,0)))))))</f>
        <v>160</v>
      </c>
      <c r="AJ23" t="e">
        <f t="shared" ca="1" si="3"/>
        <v>#VALUE!</v>
      </c>
      <c r="AK23" s="27">
        <f t="shared" ca="1" si="4"/>
        <v>0</v>
      </c>
      <c r="AL23" t="e">
        <f t="shared" ca="1" si="5"/>
        <v>#VALUE!</v>
      </c>
    </row>
    <row r="24" spans="1:38">
      <c r="A24">
        <f>Schedule!C23</f>
        <v>0</v>
      </c>
      <c r="B24" t="e">
        <f ca="1">WYSZUKIWACZ(Schedule!K23,Lists!$O$1:$P$40)</f>
        <v>#NAME?</v>
      </c>
      <c r="C24" t="e">
        <f ca="1">WYSZUKIWACZ(Schedule!L23,Lists!$O$1:$P$40)</f>
        <v>#NAME?</v>
      </c>
      <c r="D24" t="e">
        <f ca="1">WYSZUKIWACZ(Schedule!M23,Lists!$O$1:$P$40)</f>
        <v>#NAME?</v>
      </c>
      <c r="E24" t="e">
        <f ca="1">WYSZUKIWACZ(Schedule!N23,Lists!$O$1:$P$40)</f>
        <v>#NAME?</v>
      </c>
      <c r="F24" t="e">
        <f ca="1">WYSZUKIWACZ(Schedule!O23,Lists!$O$1:$P$40)</f>
        <v>#NAME?</v>
      </c>
      <c r="G24" t="e">
        <f ca="1">WYSZUKIWACZ(Schedule!P23,Lists!$O$1:$P$40)</f>
        <v>#NAME?</v>
      </c>
      <c r="H24" t="e">
        <f ca="1">WYSZUKIWACZ(Schedule!Q23,Lists!$O$1:$P$40)</f>
        <v>#NAME?</v>
      </c>
      <c r="I24" t="e">
        <f ca="1">WYSZUKIWACZ(Schedule!R23,Lists!$O$1:$P$40)</f>
        <v>#NAME?</v>
      </c>
      <c r="J24" t="e">
        <f ca="1">WYSZUKIWACZ(Schedule!S23,Lists!$O$1:$P$40)</f>
        <v>#NAME?</v>
      </c>
      <c r="K24" t="e">
        <f ca="1">WYSZUKIWACZ(Schedule!T23,Lists!$O$1:$P$40)</f>
        <v>#NAME?</v>
      </c>
      <c r="L24" t="e">
        <f ca="1">WYSZUKIWACZ(Schedule!U23,Lists!$O$1:$P$40)</f>
        <v>#NAME?</v>
      </c>
      <c r="M24" t="e">
        <f ca="1">WYSZUKIWACZ(Schedule!V23,Lists!$O$1:$P$40)</f>
        <v>#NAME?</v>
      </c>
      <c r="N24" t="e">
        <f ca="1">WYSZUKIWACZ(Schedule!W23,Lists!$O$1:$P$40)</f>
        <v>#NAME?</v>
      </c>
      <c r="O24" t="e">
        <f ca="1">WYSZUKIWACZ(Schedule!X23,Lists!$O$1:$P$40)</f>
        <v>#NAME?</v>
      </c>
      <c r="P24" t="e">
        <f ca="1">WYSZUKIWACZ(Schedule!Y23,Lists!$O$1:$P$40)</f>
        <v>#NAME?</v>
      </c>
      <c r="Q24" t="e">
        <f ca="1">WYSZUKIWACZ(Schedule!Z23,Lists!$O$1:$P$40)</f>
        <v>#NAME?</v>
      </c>
      <c r="R24" t="e">
        <f ca="1">WYSZUKIWACZ(Schedule!AA23,Lists!$O$1:$P$40)</f>
        <v>#NAME?</v>
      </c>
      <c r="S24" t="e">
        <f ca="1">WYSZUKIWACZ(Schedule!AB23,Lists!$O$1:$P$40)</f>
        <v>#NAME?</v>
      </c>
      <c r="T24" t="e">
        <f ca="1">WYSZUKIWACZ(Schedule!AC23,Lists!$O$1:$P$40)</f>
        <v>#NAME?</v>
      </c>
      <c r="U24" t="e">
        <f ca="1">WYSZUKIWACZ(Schedule!AD23,Lists!$O$1:$P$40)</f>
        <v>#NAME?</v>
      </c>
      <c r="V24" t="e">
        <f ca="1">WYSZUKIWACZ(Schedule!AE23,Lists!$O$1:$P$40)</f>
        <v>#NAME?</v>
      </c>
      <c r="W24" t="e">
        <f ca="1">WYSZUKIWACZ(Schedule!AF23,Lists!$O$1:$P$40)</f>
        <v>#NAME?</v>
      </c>
      <c r="X24" t="e">
        <f ca="1">WYSZUKIWACZ(Schedule!AG23,Lists!$O$1:$P$40)</f>
        <v>#NAME?</v>
      </c>
      <c r="Y24" t="e">
        <f ca="1">WYSZUKIWACZ(Schedule!AH23,Lists!$O$1:$P$40)</f>
        <v>#NAME?</v>
      </c>
      <c r="Z24" t="e">
        <f ca="1">WYSZUKIWACZ(Schedule!AI23,Lists!$O$1:$P$40)</f>
        <v>#NAME?</v>
      </c>
      <c r="AA24" t="e">
        <f ca="1">WYSZUKIWACZ(Schedule!AJ23,Lists!$O$1:$P$40)</f>
        <v>#NAME?</v>
      </c>
      <c r="AB24" t="e">
        <f ca="1">WYSZUKIWACZ(Schedule!AK23,Lists!$O$1:$P$40)</f>
        <v>#NAME?</v>
      </c>
      <c r="AC24" t="e">
        <f ca="1">WYSZUKIWACZ(Schedule!AL23,Lists!$O$1:$P$40)</f>
        <v>#NAME?</v>
      </c>
      <c r="AD24" t="e">
        <f ca="1">WYSZUKIWACZ(Schedule!AM23,Lists!$O$1:$P$40)</f>
        <v>#NAME?</v>
      </c>
      <c r="AE24" t="e">
        <f ca="1">WYSZUKIWACZ(Schedule!AN23,Lists!$O$1:$P$40)</f>
        <v>#NAME?</v>
      </c>
      <c r="AF24" t="e">
        <f ca="1">WYSZUKIWACZ(Schedule!AO23,Lists!$O$1:$P$40)</f>
        <v>#NAME?</v>
      </c>
      <c r="AG24" t="e">
        <f ca="1">TEXT(SUM(B24:AF24,AM11),"[g]:mm")</f>
        <v>#NAME?</v>
      </c>
      <c r="AI24">
        <f>IF(Schedule!A23=Lists!K$1,V!AI$15,IF(Schedule!A23=Lists!K$2,V!AI$15*Lists!L$2,IF(Schedule!A23=Lists!K$3,V!AI$15*Lists!L$3,IF(Schedule!A23=Lists!K$4,V!AI$15*Lists!L$4,IF(Schedule!A23=Lists!K$5,V!AI$15*Lists!L$5,IF(Schedule!A23=Lists!K$6,V!AI$15*Lists!L$6,IF(Schedule!A23=Lists!K$7,V!AI$15*Lists!L$7,0)))))))</f>
        <v>0</v>
      </c>
      <c r="AJ24" t="e">
        <f t="shared" si="3"/>
        <v>#VALUE!</v>
      </c>
      <c r="AK24" s="27">
        <f t="shared" ca="1" si="4"/>
        <v>0</v>
      </c>
      <c r="AL24" t="e">
        <f t="shared" ca="1" si="5"/>
        <v>#VALUE!</v>
      </c>
    </row>
    <row r="25" spans="1:38">
      <c r="A25">
        <f>Schedule!C24</f>
        <v>0</v>
      </c>
      <c r="B25" t="e">
        <f ca="1">WYSZUKIWACZ(Schedule!K24,Lists!$O$1:$P$40)</f>
        <v>#NAME?</v>
      </c>
      <c r="C25" t="e">
        <f ca="1">WYSZUKIWACZ(Schedule!L24,Lists!$O$1:$P$40)</f>
        <v>#NAME?</v>
      </c>
      <c r="D25" t="e">
        <f ca="1">WYSZUKIWACZ(Schedule!M24,Lists!$O$1:$P$40)</f>
        <v>#NAME?</v>
      </c>
      <c r="E25" t="e">
        <f ca="1">WYSZUKIWACZ(Schedule!N24,Lists!$O$1:$P$40)</f>
        <v>#NAME?</v>
      </c>
      <c r="F25" t="e">
        <f ca="1">WYSZUKIWACZ(Schedule!O24,Lists!$O$1:$P$40)</f>
        <v>#NAME?</v>
      </c>
      <c r="G25" t="e">
        <f ca="1">WYSZUKIWACZ(Schedule!P24,Lists!$O$1:$P$40)</f>
        <v>#NAME?</v>
      </c>
      <c r="H25" t="e">
        <f ca="1">WYSZUKIWACZ(Schedule!Q24,Lists!$O$1:$P$40)</f>
        <v>#NAME?</v>
      </c>
      <c r="I25" t="e">
        <f ca="1">WYSZUKIWACZ(Schedule!R24,Lists!$O$1:$P$40)</f>
        <v>#NAME?</v>
      </c>
      <c r="J25" t="e">
        <f ca="1">WYSZUKIWACZ(Schedule!S24,Lists!$O$1:$P$40)</f>
        <v>#NAME?</v>
      </c>
      <c r="K25" t="e">
        <f ca="1">WYSZUKIWACZ(Schedule!T24,Lists!$O$1:$P$40)</f>
        <v>#NAME?</v>
      </c>
      <c r="L25" t="e">
        <f ca="1">WYSZUKIWACZ(Schedule!U24,Lists!$O$1:$P$40)</f>
        <v>#NAME?</v>
      </c>
      <c r="M25" t="e">
        <f ca="1">WYSZUKIWACZ(Schedule!V24,Lists!$O$1:$P$40)</f>
        <v>#NAME?</v>
      </c>
      <c r="N25" t="e">
        <f ca="1">WYSZUKIWACZ(Schedule!W24,Lists!$O$1:$P$40)</f>
        <v>#NAME?</v>
      </c>
      <c r="O25" t="e">
        <f ca="1">WYSZUKIWACZ(Schedule!X24,Lists!$O$1:$P$40)</f>
        <v>#NAME?</v>
      </c>
      <c r="P25" t="e">
        <f ca="1">WYSZUKIWACZ(Schedule!Y24,Lists!$O$1:$P$40)</f>
        <v>#NAME?</v>
      </c>
      <c r="Q25" t="e">
        <f ca="1">WYSZUKIWACZ(Schedule!Z24,Lists!$O$1:$P$40)</f>
        <v>#NAME?</v>
      </c>
      <c r="R25" t="e">
        <f ca="1">WYSZUKIWACZ(Schedule!AA24,Lists!$O$1:$P$40)</f>
        <v>#NAME?</v>
      </c>
      <c r="S25" t="e">
        <f ca="1">WYSZUKIWACZ(Schedule!AB24,Lists!$O$1:$P$40)</f>
        <v>#NAME?</v>
      </c>
      <c r="T25" t="e">
        <f ca="1">WYSZUKIWACZ(Schedule!AC24,Lists!$O$1:$P$40)</f>
        <v>#NAME?</v>
      </c>
      <c r="U25" t="e">
        <f ca="1">WYSZUKIWACZ(Schedule!AD24,Lists!$O$1:$P$40)</f>
        <v>#NAME?</v>
      </c>
      <c r="V25" t="e">
        <f ca="1">WYSZUKIWACZ(Schedule!AE24,Lists!$O$1:$P$40)</f>
        <v>#NAME?</v>
      </c>
      <c r="W25" t="e">
        <f ca="1">WYSZUKIWACZ(Schedule!AF24,Lists!$O$1:$P$40)</f>
        <v>#NAME?</v>
      </c>
      <c r="X25" t="e">
        <f ca="1">WYSZUKIWACZ(Schedule!AG24,Lists!$O$1:$P$40)</f>
        <v>#NAME?</v>
      </c>
      <c r="Y25" t="e">
        <f ca="1">WYSZUKIWACZ(Schedule!AH24,Lists!$O$1:$P$40)</f>
        <v>#NAME?</v>
      </c>
      <c r="Z25" t="e">
        <f ca="1">WYSZUKIWACZ(Schedule!AI24,Lists!$O$1:$P$40)</f>
        <v>#NAME?</v>
      </c>
      <c r="AA25" t="e">
        <f ca="1">WYSZUKIWACZ(Schedule!AJ24,Lists!$O$1:$P$40)</f>
        <v>#NAME?</v>
      </c>
      <c r="AB25" t="e">
        <f ca="1">WYSZUKIWACZ(Schedule!AK24,Lists!$O$1:$P$40)</f>
        <v>#NAME?</v>
      </c>
      <c r="AC25" t="e">
        <f ca="1">WYSZUKIWACZ(Schedule!AL24,Lists!$O$1:$P$40)</f>
        <v>#NAME?</v>
      </c>
      <c r="AD25" t="e">
        <f ca="1">WYSZUKIWACZ(Schedule!AM24,Lists!$O$1:$P$40)</f>
        <v>#NAME?</v>
      </c>
      <c r="AE25" t="e">
        <f ca="1">WYSZUKIWACZ(Schedule!AN24,Lists!$O$1:$P$40)</f>
        <v>#NAME?</v>
      </c>
      <c r="AF25" t="e">
        <f ca="1">WYSZUKIWACZ(Schedule!AO24,Lists!$O$1:$P$40)</f>
        <v>#NAME?</v>
      </c>
      <c r="AG25" t="e">
        <f t="shared" ca="1" si="6"/>
        <v>#NAME?</v>
      </c>
      <c r="AI25">
        <f>IF(Schedule!A24=Lists!K$1,V!AI$15,IF(Schedule!A24=Lists!K$2,V!AI$15*Lists!L$2,IF(Schedule!A24=Lists!K$3,V!AI$15*Lists!L$3,IF(Schedule!A24=Lists!K$4,V!AI$15*Lists!L$4,IF(Schedule!A24=Lists!K$5,V!AI$15*Lists!L$5,IF(Schedule!A24=Lists!K$6,V!AI$15*Lists!L$6,IF(Schedule!A24=Lists!K$7,V!AI$15*Lists!L$7,0)))))))</f>
        <v>0</v>
      </c>
      <c r="AJ25" t="e">
        <f t="shared" si="3"/>
        <v>#VALUE!</v>
      </c>
      <c r="AK25" s="27">
        <f t="shared" ca="1" si="4"/>
        <v>0</v>
      </c>
      <c r="AL25" t="e">
        <f t="shared" ca="1" si="5"/>
        <v>#VALUE!</v>
      </c>
    </row>
    <row r="38" spans="1:18">
      <c r="J38" s="66"/>
      <c r="L38" s="138"/>
      <c r="R38" s="23" t="s">
        <v>468</v>
      </c>
    </row>
    <row r="39" spans="1:18">
      <c r="A39" s="2"/>
      <c r="C39" s="141"/>
      <c r="E39" s="141"/>
      <c r="I39" s="192"/>
      <c r="J39" s="193"/>
      <c r="L39" s="141"/>
      <c r="R39" s="23" t="s">
        <v>469</v>
      </c>
    </row>
    <row r="40" spans="1:18">
      <c r="A40" s="2"/>
      <c r="C40" s="141"/>
      <c r="E40" s="141"/>
      <c r="I40" s="192"/>
      <c r="J40" s="193"/>
      <c r="L40" s="141"/>
      <c r="R40" s="23" t="s">
        <v>470</v>
      </c>
    </row>
    <row r="41" spans="1:18">
      <c r="A41" s="2"/>
      <c r="C41" s="141"/>
      <c r="E41" s="141"/>
      <c r="I41" s="192"/>
      <c r="J41" s="193"/>
      <c r="L41" s="141"/>
      <c r="R41" s="23" t="s">
        <v>104</v>
      </c>
    </row>
    <row r="42" spans="1:18">
      <c r="A42" s="2"/>
      <c r="C42" s="141"/>
      <c r="E42" s="141"/>
      <c r="I42" s="192"/>
      <c r="J42" s="193"/>
      <c r="L42" s="141"/>
      <c r="R42" s="23" t="s">
        <v>471</v>
      </c>
    </row>
    <row r="43" spans="1:18">
      <c r="A43" s="2"/>
      <c r="C43" s="141"/>
      <c r="E43" s="141"/>
      <c r="I43" s="192"/>
      <c r="J43" s="193"/>
      <c r="L43" s="141"/>
      <c r="R43" s="23" t="s">
        <v>472</v>
      </c>
    </row>
    <row r="44" spans="1:18">
      <c r="A44" s="2"/>
      <c r="C44" s="141"/>
      <c r="E44" s="141"/>
      <c r="I44" s="192"/>
      <c r="J44" s="193"/>
      <c r="L44" s="141"/>
    </row>
    <row r="45" spans="1:18">
      <c r="A45" s="2"/>
      <c r="C45" s="141"/>
      <c r="E45" s="141"/>
      <c r="L45" s="141"/>
    </row>
    <row r="46" spans="1:18">
      <c r="A46" s="2"/>
      <c r="C46" s="141"/>
      <c r="E46" s="141"/>
      <c r="L46" s="141"/>
    </row>
    <row r="47" spans="1:18">
      <c r="A47" s="2"/>
      <c r="C47" s="141"/>
      <c r="E47" s="141"/>
      <c r="L47" s="141"/>
    </row>
    <row r="48" spans="1:18">
      <c r="A48" s="2"/>
      <c r="C48" s="141"/>
      <c r="E48" s="141"/>
      <c r="L48" s="14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Arkusz6">
    <tabColor rgb="FFFF0000"/>
  </sheetPr>
  <dimension ref="A1:W102"/>
  <sheetViews>
    <sheetView workbookViewId="0">
      <selection activeCell="J3" sqref="J3"/>
    </sheetView>
  </sheetViews>
  <sheetFormatPr defaultColWidth="8.85546875" defaultRowHeight="15"/>
  <cols>
    <col min="1" max="1" width="10" bestFit="1" customWidth="1"/>
    <col min="4" max="4" width="4" customWidth="1"/>
    <col min="6" max="6" width="16.42578125" customWidth="1"/>
    <col min="8" max="8" width="6" customWidth="1"/>
    <col min="9" max="9" width="1.7109375" customWidth="1"/>
    <col min="10" max="10" width="38.140625" customWidth="1"/>
    <col min="11" max="11" width="12.28515625" bestFit="1" customWidth="1"/>
    <col min="14" max="14" width="34.7109375" customWidth="1"/>
    <col min="16" max="16" width="9.42578125" customWidth="1"/>
    <col min="18" max="18" width="63.140625" customWidth="1"/>
    <col min="19" max="19" width="5.7109375" style="75" bestFit="1" customWidth="1"/>
    <col min="20" max="20" width="9.140625" style="76"/>
  </cols>
  <sheetData>
    <row r="1" spans="1:23">
      <c r="A1" s="10">
        <v>40909</v>
      </c>
      <c r="C1" t="s">
        <v>473</v>
      </c>
      <c r="D1">
        <v>1</v>
      </c>
      <c r="F1" s="23" t="str">
        <f ca="1">INDIRECT("T!"&amp;T!$A$1&amp;G1)</f>
        <v>Styczeń</v>
      </c>
      <c r="G1" s="23">
        <v>7</v>
      </c>
      <c r="H1">
        <v>1</v>
      </c>
      <c r="J1" s="23" t="s">
        <v>9</v>
      </c>
      <c r="K1" s="24" t="s">
        <v>7</v>
      </c>
      <c r="L1" s="140">
        <v>1</v>
      </c>
      <c r="N1" s="25" t="str">
        <f>Admin!E3</f>
        <v>Opening</v>
      </c>
      <c r="O1" s="25" t="str">
        <f>Admin!F3</f>
        <v>AM</v>
      </c>
      <c r="P1" s="25">
        <f ca="1">Schedule!K33</f>
        <v>0.33333333333333331</v>
      </c>
      <c r="Q1" s="74" t="str">
        <f ca="1">INDIRECT("T!"&amp;T!A1&amp;"40")</f>
        <v>Tak</v>
      </c>
      <c r="S1" s="75">
        <f ca="1">P1*24</f>
        <v>8</v>
      </c>
      <c r="W1">
        <v>28</v>
      </c>
    </row>
    <row r="2" spans="1:23">
      <c r="A2" s="10">
        <v>41275</v>
      </c>
      <c r="C2" t="s">
        <v>474</v>
      </c>
      <c r="D2">
        <v>2</v>
      </c>
      <c r="F2" s="23" t="str">
        <f ca="1">INDIRECT("T!"&amp;T!$A$1&amp;G2)</f>
        <v>Luty</v>
      </c>
      <c r="G2" s="23">
        <v>8</v>
      </c>
      <c r="H2">
        <v>2</v>
      </c>
      <c r="J2" s="23" t="s">
        <v>19</v>
      </c>
      <c r="K2" s="26">
        <v>0.75</v>
      </c>
      <c r="L2" s="140">
        <v>0.75</v>
      </c>
      <c r="N2" s="25" t="str">
        <f>Admin!E4</f>
        <v>Closing</v>
      </c>
      <c r="O2" s="25" t="str">
        <f>Admin!F4</f>
        <v>PM</v>
      </c>
      <c r="P2" s="25">
        <f ca="1">Schedule!K34</f>
        <v>0.33333333333333337</v>
      </c>
      <c r="Q2" s="74" t="str">
        <f ca="1">INDIRECT("T!"&amp;T!A1&amp;"41")</f>
        <v>Nie</v>
      </c>
      <c r="S2" s="75">
        <f t="shared" ref="S2:S20" ca="1" si="0">P2*24</f>
        <v>8</v>
      </c>
      <c r="W2">
        <v>29</v>
      </c>
    </row>
    <row r="3" spans="1:23">
      <c r="A3" s="10">
        <v>41640</v>
      </c>
      <c r="C3" t="s">
        <v>475</v>
      </c>
      <c r="D3">
        <v>3</v>
      </c>
      <c r="F3" s="23" t="str">
        <f ca="1">INDIRECT("T!"&amp;T!$A$1&amp;G3)</f>
        <v>Marzec</v>
      </c>
      <c r="G3" s="23">
        <v>9</v>
      </c>
      <c r="H3">
        <v>3</v>
      </c>
      <c r="J3" s="23" t="s">
        <v>22</v>
      </c>
      <c r="K3" s="26">
        <v>0.5</v>
      </c>
      <c r="L3" s="140">
        <v>0.5</v>
      </c>
      <c r="N3" s="25" t="str">
        <f>Admin!E5</f>
        <v xml:space="preserve">AM Niedziela </v>
      </c>
      <c r="O3" s="25" t="str">
        <f>Admin!F5</f>
        <v>AMN</v>
      </c>
      <c r="P3" s="25">
        <f ca="1">Schedule!K35</f>
        <v>0.25000000000000006</v>
      </c>
      <c r="S3" s="75">
        <f t="shared" ca="1" si="0"/>
        <v>6.0000000000000018</v>
      </c>
    </row>
    <row r="4" spans="1:23">
      <c r="A4" s="10">
        <v>42005</v>
      </c>
      <c r="C4" t="s">
        <v>476</v>
      </c>
      <c r="D4">
        <v>4</v>
      </c>
      <c r="F4" s="23" t="str">
        <f ca="1">INDIRECT("T!"&amp;T!$A$1&amp;G4)</f>
        <v>Kwiecień</v>
      </c>
      <c r="G4" s="23">
        <v>10</v>
      </c>
      <c r="H4">
        <v>4</v>
      </c>
      <c r="J4" s="23" t="s">
        <v>469</v>
      </c>
      <c r="K4" s="26">
        <v>0.25</v>
      </c>
      <c r="L4" s="140">
        <v>0.25</v>
      </c>
      <c r="N4" s="25" t="str">
        <f>Admin!E6</f>
        <v>PM Niedziela</v>
      </c>
      <c r="O4" s="25" t="str">
        <f>Admin!F6</f>
        <v>PMN</v>
      </c>
      <c r="P4" s="25">
        <f ca="1">Schedule!K36</f>
        <v>0.29166666666666663</v>
      </c>
      <c r="S4" s="75">
        <f t="shared" ca="1" si="0"/>
        <v>6.9999999999999991</v>
      </c>
    </row>
    <row r="5" spans="1:23">
      <c r="A5" s="10">
        <v>42370</v>
      </c>
      <c r="D5">
        <v>5</v>
      </c>
      <c r="F5" s="23" t="str">
        <f ca="1">INDIRECT("T!"&amp;T!$A$1&amp;G5)</f>
        <v>Maj</v>
      </c>
      <c r="G5" s="23">
        <v>11</v>
      </c>
      <c r="H5">
        <v>5</v>
      </c>
      <c r="J5" s="23" t="s">
        <v>470</v>
      </c>
      <c r="K5" s="142" t="s">
        <v>477</v>
      </c>
      <c r="L5" s="140">
        <f>9/10*100%</f>
        <v>0.9</v>
      </c>
      <c r="N5" s="25" t="str">
        <f>Admin!E7</f>
        <v>Support AM</v>
      </c>
      <c r="O5" s="25" t="str">
        <f>Admin!F7</f>
        <v>SAM</v>
      </c>
      <c r="P5" s="25">
        <f ca="1">Schedule!K37</f>
        <v>0.33333333333333331</v>
      </c>
      <c r="S5" s="75">
        <f t="shared" ca="1" si="0"/>
        <v>8</v>
      </c>
    </row>
    <row r="6" spans="1:23">
      <c r="A6" s="10">
        <v>42736</v>
      </c>
      <c r="D6">
        <v>6</v>
      </c>
      <c r="F6" s="23" t="str">
        <f ca="1">INDIRECT("T!"&amp;T!$A$1&amp;G6)</f>
        <v>Czerwiec</v>
      </c>
      <c r="G6" s="23">
        <v>12</v>
      </c>
      <c r="H6">
        <v>6</v>
      </c>
      <c r="J6" s="23" t="s">
        <v>104</v>
      </c>
      <c r="K6" s="26">
        <v>0.875</v>
      </c>
      <c r="L6" s="140">
        <f>7/8*100%</f>
        <v>0.875</v>
      </c>
      <c r="N6" s="25" t="str">
        <f>Admin!E8</f>
        <v>Support PM</v>
      </c>
      <c r="O6" s="25" t="str">
        <f>Admin!F8</f>
        <v>SPM</v>
      </c>
      <c r="P6" s="25">
        <f ca="1">Schedule!K38</f>
        <v>0.33333333333333337</v>
      </c>
      <c r="S6" s="75">
        <f t="shared" ca="1" si="0"/>
        <v>8</v>
      </c>
    </row>
    <row r="7" spans="1:23">
      <c r="A7" s="10">
        <v>43101</v>
      </c>
      <c r="F7" s="23" t="str">
        <f ca="1">INDIRECT("T!"&amp;T!$A$1&amp;G7)</f>
        <v>Lipiec</v>
      </c>
      <c r="G7" s="23">
        <v>13</v>
      </c>
      <c r="H7">
        <v>7</v>
      </c>
      <c r="J7" s="23" t="s">
        <v>472</v>
      </c>
      <c r="K7" s="26">
        <v>0.8</v>
      </c>
      <c r="L7" s="140">
        <f>4/5*100%</f>
        <v>0.8</v>
      </c>
      <c r="N7" s="25" t="str">
        <f>Admin!E9</f>
        <v>Support do oddania</v>
      </c>
      <c r="O7" s="25" t="str">
        <f>Admin!F9</f>
        <v>SUP</v>
      </c>
      <c r="P7" s="25">
        <f ca="1">Schedule!K39</f>
        <v>0.33333333333333331</v>
      </c>
      <c r="S7" s="75">
        <f t="shared" ca="1" si="0"/>
        <v>8</v>
      </c>
    </row>
    <row r="8" spans="1:23">
      <c r="A8" s="10">
        <v>43466</v>
      </c>
      <c r="F8" s="23" t="str">
        <f ca="1">INDIRECT("T!"&amp;T!$A$1&amp;G8)</f>
        <v>Sierpień</v>
      </c>
      <c r="G8" s="23">
        <v>14</v>
      </c>
      <c r="H8">
        <v>8</v>
      </c>
      <c r="J8" s="23"/>
      <c r="K8" s="26"/>
      <c r="N8" s="25" t="str">
        <f>Admin!E10</f>
        <v>MID Bar</v>
      </c>
      <c r="O8" s="25" t="str">
        <f>Admin!F10</f>
        <v>MIB</v>
      </c>
      <c r="P8" s="25">
        <f ca="1">Schedule!K40</f>
        <v>0.33333333333333337</v>
      </c>
      <c r="S8" s="75">
        <f t="shared" ca="1" si="0"/>
        <v>8</v>
      </c>
    </row>
    <row r="9" spans="1:23">
      <c r="A9" s="10">
        <v>43831</v>
      </c>
      <c r="F9" s="23" t="str">
        <f ca="1">INDIRECT("T!"&amp;T!$A$1&amp;G9)</f>
        <v>Wrzesień</v>
      </c>
      <c r="G9" s="23">
        <v>15</v>
      </c>
      <c r="H9">
        <v>9</v>
      </c>
      <c r="J9" s="23"/>
      <c r="N9" s="25" t="str">
        <f>Admin!E11</f>
        <v>AM Bar</v>
      </c>
      <c r="O9" s="25" t="str">
        <f>Admin!F11</f>
        <v>AMB</v>
      </c>
      <c r="P9" s="25">
        <f ca="1">Schedule!K41</f>
        <v>0.33333333333333331</v>
      </c>
      <c r="S9" s="75">
        <f t="shared" ca="1" si="0"/>
        <v>8</v>
      </c>
    </row>
    <row r="10" spans="1:23">
      <c r="A10" s="10">
        <v>44197</v>
      </c>
      <c r="F10" s="23" t="str">
        <f ca="1">INDIRECT("T!"&amp;T!$A$1&amp;G10)</f>
        <v>Październik</v>
      </c>
      <c r="G10" s="23">
        <v>16</v>
      </c>
      <c r="H10">
        <v>10</v>
      </c>
      <c r="J10" s="23"/>
      <c r="N10" s="25" t="str">
        <f>Admin!E12</f>
        <v>PM Bar</v>
      </c>
      <c r="O10" s="25" t="str">
        <f>Admin!F12</f>
        <v>PMB</v>
      </c>
      <c r="P10" s="25">
        <f ca="1">Schedule!K42</f>
        <v>0.33333333333333337</v>
      </c>
      <c r="S10" s="75">
        <f t="shared" ca="1" si="0"/>
        <v>8</v>
      </c>
    </row>
    <row r="11" spans="1:23">
      <c r="A11" s="10">
        <v>44562</v>
      </c>
      <c r="F11" s="23" t="str">
        <f ca="1">INDIRECT("T!"&amp;T!$A$1&amp;G11)</f>
        <v>Listopad</v>
      </c>
      <c r="G11" s="23">
        <v>17</v>
      </c>
      <c r="H11">
        <v>11</v>
      </c>
      <c r="J11" s="23"/>
      <c r="N11" s="25" t="str">
        <f>Admin!E13</f>
        <v>MiD 4h</v>
      </c>
      <c r="O11" s="25" t="str">
        <f>Admin!F13</f>
        <v>MI4</v>
      </c>
      <c r="P11" s="25">
        <f ca="1">Schedule!K43</f>
        <v>0.16666666666666669</v>
      </c>
      <c r="S11" s="75">
        <f t="shared" ca="1" si="0"/>
        <v>4</v>
      </c>
    </row>
    <row r="12" spans="1:23">
      <c r="A12" s="10">
        <v>44927</v>
      </c>
      <c r="F12" s="23" t="str">
        <f ca="1">INDIRECT("T!"&amp;T!$A$1&amp;G12)</f>
        <v>Grudzień</v>
      </c>
      <c r="G12" s="23">
        <v>18</v>
      </c>
      <c r="H12">
        <v>12</v>
      </c>
      <c r="J12" s="23"/>
      <c r="N12" s="25" t="str">
        <f>Admin!E14</f>
        <v>Business Trip</v>
      </c>
      <c r="O12" s="25" t="str">
        <f>Admin!F14</f>
        <v>BT</v>
      </c>
      <c r="P12" s="25">
        <f ca="1">Schedule!K44</f>
        <v>0.33333333333333331</v>
      </c>
      <c r="S12" s="75">
        <f t="shared" ca="1" si="0"/>
        <v>8</v>
      </c>
    </row>
    <row r="13" spans="1:23">
      <c r="A13" s="10">
        <v>45292</v>
      </c>
      <c r="N13" s="25">
        <f>Admin!E15</f>
        <v>0</v>
      </c>
      <c r="O13" s="25">
        <f>Admin!F15</f>
        <v>0</v>
      </c>
      <c r="P13" s="25">
        <f ca="1">Schedule!K45</f>
        <v>0</v>
      </c>
      <c r="S13" s="75">
        <f t="shared" ca="1" si="0"/>
        <v>0</v>
      </c>
    </row>
    <row r="14" spans="1:23">
      <c r="A14" s="10">
        <v>45658</v>
      </c>
      <c r="N14" s="25">
        <f>Admin!E16</f>
        <v>0</v>
      </c>
      <c r="O14" s="25">
        <f>Admin!F16</f>
        <v>0</v>
      </c>
      <c r="P14" s="25">
        <f ca="1">Schedule!K46</f>
        <v>0</v>
      </c>
      <c r="S14" s="75">
        <f t="shared" ca="1" si="0"/>
        <v>0</v>
      </c>
    </row>
    <row r="15" spans="1:23">
      <c r="A15" s="10">
        <v>46023</v>
      </c>
      <c r="N15" s="25">
        <f>Admin!E17</f>
        <v>0</v>
      </c>
      <c r="O15" s="25">
        <f>Admin!F17</f>
        <v>0</v>
      </c>
      <c r="P15" s="25">
        <f ca="1">Schedule!K47</f>
        <v>0</v>
      </c>
      <c r="S15" s="75">
        <f t="shared" ca="1" si="0"/>
        <v>0</v>
      </c>
    </row>
    <row r="16" spans="1:23">
      <c r="A16" s="10">
        <v>46388</v>
      </c>
      <c r="N16" s="25">
        <f>Admin!E18</f>
        <v>0</v>
      </c>
      <c r="O16" s="25">
        <f>Admin!F18</f>
        <v>0</v>
      </c>
      <c r="P16" s="25">
        <f ca="1">Schedule!K48</f>
        <v>0</v>
      </c>
      <c r="S16" s="75">
        <f t="shared" ca="1" si="0"/>
        <v>0</v>
      </c>
    </row>
    <row r="17" spans="1:19">
      <c r="A17" s="10">
        <v>46753</v>
      </c>
      <c r="L17" s="141"/>
      <c r="N17" s="25">
        <f>Admin!E19</f>
        <v>0</v>
      </c>
      <c r="O17" s="25">
        <f>Admin!F19</f>
        <v>0</v>
      </c>
      <c r="P17" s="25">
        <f ca="1">Schedule!K49</f>
        <v>0</v>
      </c>
      <c r="S17" s="75">
        <f t="shared" ca="1" si="0"/>
        <v>0</v>
      </c>
    </row>
    <row r="18" spans="1:19">
      <c r="A18" s="10">
        <v>47119</v>
      </c>
      <c r="N18" s="25">
        <f>Admin!E20</f>
        <v>0</v>
      </c>
      <c r="O18" s="25">
        <f>Admin!F20</f>
        <v>0</v>
      </c>
      <c r="P18" s="25">
        <f ca="1">Schedule!K50</f>
        <v>0</v>
      </c>
      <c r="S18" s="75">
        <f t="shared" ca="1" si="0"/>
        <v>0</v>
      </c>
    </row>
    <row r="19" spans="1:19">
      <c r="A19" s="10">
        <v>47484</v>
      </c>
      <c r="N19" s="25">
        <f>Admin!E21</f>
        <v>0</v>
      </c>
      <c r="O19" s="25">
        <f>Admin!F21</f>
        <v>0</v>
      </c>
      <c r="P19" s="25">
        <f ca="1">Schedule!K51</f>
        <v>0</v>
      </c>
      <c r="S19" s="75">
        <f t="shared" ca="1" si="0"/>
        <v>0</v>
      </c>
    </row>
    <row r="20" spans="1:19">
      <c r="A20" s="10">
        <v>47849</v>
      </c>
      <c r="N20" s="25">
        <f>Admin!E22</f>
        <v>0</v>
      </c>
      <c r="O20" s="25">
        <f>Admin!F22</f>
        <v>0</v>
      </c>
      <c r="P20" s="25">
        <f ca="1">Schedule!K52</f>
        <v>0</v>
      </c>
      <c r="S20" s="75">
        <f t="shared" ca="1" si="0"/>
        <v>0</v>
      </c>
    </row>
    <row r="21" spans="1:19">
      <c r="A21" s="10">
        <v>48214</v>
      </c>
      <c r="N21" s="25" t="str">
        <f>Admin!E23</f>
        <v xml:space="preserve">NC </v>
      </c>
      <c r="O21" s="25" t="str">
        <f>Admin!F23</f>
        <v>NC</v>
      </c>
      <c r="P21" s="25">
        <f>Schedule!T33</f>
        <v>0.33333333333333331</v>
      </c>
      <c r="S21" s="75">
        <f t="shared" ref="S21:S35" si="1">P21*24</f>
        <v>8</v>
      </c>
    </row>
    <row r="22" spans="1:19">
      <c r="A22" s="10">
        <v>48580</v>
      </c>
      <c r="N22" s="25" t="str">
        <f>Admin!E24</f>
        <v>Szkolenie AM</v>
      </c>
      <c r="O22" s="25" t="str">
        <f>Admin!F24</f>
        <v>TAM</v>
      </c>
      <c r="P22" s="25">
        <f>Schedule!T34</f>
        <v>0.33333333333333331</v>
      </c>
      <c r="S22" s="75">
        <f t="shared" si="1"/>
        <v>8</v>
      </c>
    </row>
    <row r="23" spans="1:19">
      <c r="A23" s="10">
        <v>48945</v>
      </c>
      <c r="N23" s="25" t="str">
        <f>Admin!E25</f>
        <v>Szkolenie PM</v>
      </c>
      <c r="O23" s="25" t="str">
        <f>Admin!F25</f>
        <v>TPM</v>
      </c>
      <c r="P23" s="25">
        <f>Schedule!T35</f>
        <v>0.33333333333333337</v>
      </c>
      <c r="S23" s="75">
        <f t="shared" si="1"/>
        <v>8</v>
      </c>
    </row>
    <row r="24" spans="1:19">
      <c r="A24" s="10">
        <v>49310</v>
      </c>
      <c r="N24" s="25" t="str">
        <f>Admin!E26</f>
        <v>Odbiór nadgodziny</v>
      </c>
      <c r="O24" s="25" t="str">
        <f>Admin!F26</f>
        <v>RET</v>
      </c>
      <c r="P24" s="25">
        <f>Schedule!T36</f>
        <v>0.33333333333333331</v>
      </c>
      <c r="S24" s="75">
        <f t="shared" si="1"/>
        <v>8</v>
      </c>
    </row>
    <row r="25" spans="1:19">
      <c r="A25" s="10">
        <v>49675</v>
      </c>
      <c r="N25" s="25" t="str">
        <f>Admin!E27</f>
        <v>Training</v>
      </c>
      <c r="O25" s="25" t="str">
        <f>Admin!F27</f>
        <v>T</v>
      </c>
      <c r="P25" s="25">
        <f>Schedule!T37</f>
        <v>0.33333333333333331</v>
      </c>
      <c r="S25" s="75">
        <f t="shared" si="1"/>
        <v>8</v>
      </c>
    </row>
    <row r="26" spans="1:19">
      <c r="A26" s="10">
        <v>50041</v>
      </c>
      <c r="N26" s="25" t="str">
        <f>Admin!E28</f>
        <v>Praktyki dział PR</v>
      </c>
      <c r="O26" s="25" t="str">
        <f>Admin!F28</f>
        <v>PR</v>
      </c>
      <c r="P26" s="25">
        <f>Schedule!T38</f>
        <v>0.33333333333333331</v>
      </c>
      <c r="S26" s="75">
        <f t="shared" si="1"/>
        <v>8</v>
      </c>
    </row>
    <row r="27" spans="1:19">
      <c r="A27" s="10">
        <v>50406</v>
      </c>
      <c r="N27" s="25">
        <f>Admin!E29</f>
        <v>0</v>
      </c>
      <c r="O27" s="25">
        <f>Admin!F29</f>
        <v>0</v>
      </c>
      <c r="P27" s="25">
        <f>Schedule!T39</f>
        <v>0</v>
      </c>
      <c r="S27" s="75">
        <f t="shared" si="1"/>
        <v>0</v>
      </c>
    </row>
    <row r="28" spans="1:19">
      <c r="A28" s="10">
        <v>50771</v>
      </c>
      <c r="N28" s="25">
        <f>Admin!E30</f>
        <v>0</v>
      </c>
      <c r="O28" s="25">
        <f>Admin!F30</f>
        <v>0</v>
      </c>
      <c r="P28" s="25">
        <f>Schedule!T40</f>
        <v>0</v>
      </c>
      <c r="S28" s="75">
        <f t="shared" si="1"/>
        <v>0</v>
      </c>
    </row>
    <row r="29" spans="1:19">
      <c r="A29" s="10">
        <v>51136</v>
      </c>
      <c r="N29" s="25">
        <f>Admin!E31</f>
        <v>0</v>
      </c>
      <c r="O29" s="25">
        <f>Admin!F31</f>
        <v>0</v>
      </c>
      <c r="P29" s="25">
        <f>Schedule!T41</f>
        <v>0</v>
      </c>
      <c r="S29" s="75">
        <f t="shared" si="1"/>
        <v>0</v>
      </c>
    </row>
    <row r="30" spans="1:19">
      <c r="A30" s="10">
        <v>51502</v>
      </c>
      <c r="N30" s="25">
        <f>Admin!E32</f>
        <v>0</v>
      </c>
      <c r="O30" s="25">
        <f>Admin!F32</f>
        <v>0</v>
      </c>
      <c r="P30" s="25">
        <f>Schedule!T42</f>
        <v>0</v>
      </c>
      <c r="S30" s="75">
        <f t="shared" si="1"/>
        <v>0</v>
      </c>
    </row>
    <row r="31" spans="1:19">
      <c r="A31" s="10">
        <v>51867</v>
      </c>
      <c r="N31" s="25">
        <f>Admin!E33</f>
        <v>0</v>
      </c>
      <c r="O31" s="25">
        <f>Admin!F33</f>
        <v>0</v>
      </c>
      <c r="P31" s="25">
        <f>Schedule!T43</f>
        <v>0</v>
      </c>
      <c r="S31" s="75">
        <f t="shared" si="1"/>
        <v>0</v>
      </c>
    </row>
    <row r="32" spans="1:19">
      <c r="A32" s="10">
        <v>52232</v>
      </c>
      <c r="N32" s="25">
        <f>Admin!E34</f>
        <v>0</v>
      </c>
      <c r="O32" s="25">
        <f>Admin!F34</f>
        <v>0</v>
      </c>
      <c r="P32" s="25">
        <f>Schedule!T44</f>
        <v>0</v>
      </c>
      <c r="S32" s="75">
        <f t="shared" si="1"/>
        <v>0</v>
      </c>
    </row>
    <row r="33" spans="1:19">
      <c r="A33" s="10">
        <v>52597</v>
      </c>
      <c r="N33" s="25">
        <f>Admin!E35</f>
        <v>0</v>
      </c>
      <c r="O33" s="25">
        <f>Admin!F35</f>
        <v>0</v>
      </c>
      <c r="P33" s="194">
        <f>Schedule!T45</f>
        <v>0</v>
      </c>
      <c r="S33" s="75">
        <f t="shared" si="1"/>
        <v>0</v>
      </c>
    </row>
    <row r="34" spans="1:19">
      <c r="A34" s="10">
        <v>52963</v>
      </c>
      <c r="N34" s="25">
        <f>Admin!E36</f>
        <v>0</v>
      </c>
      <c r="O34" s="25">
        <f>Admin!F36</f>
        <v>0</v>
      </c>
      <c r="P34" s="194">
        <f>Schedule!T46</f>
        <v>0</v>
      </c>
      <c r="S34" s="75">
        <f t="shared" si="1"/>
        <v>0</v>
      </c>
    </row>
    <row r="35" spans="1:19">
      <c r="A35" s="10">
        <v>53328</v>
      </c>
      <c r="N35" s="25">
        <f>Admin!E37</f>
        <v>0</v>
      </c>
      <c r="O35" s="25">
        <f>Admin!F37</f>
        <v>0</v>
      </c>
      <c r="P35" s="194">
        <f>Schedule!T47</f>
        <v>0</v>
      </c>
      <c r="S35" s="75">
        <f t="shared" si="1"/>
        <v>0</v>
      </c>
    </row>
    <row r="36" spans="1:19">
      <c r="A36" s="10">
        <v>53693</v>
      </c>
      <c r="N36" s="25">
        <f>Admin!E38</f>
        <v>0</v>
      </c>
      <c r="O36" s="25">
        <f>Admin!F38</f>
        <v>0</v>
      </c>
      <c r="P36" s="194">
        <f>Schedule!T48</f>
        <v>0</v>
      </c>
      <c r="S36" s="75">
        <f t="shared" ref="S36:S40" si="2">P36*24</f>
        <v>0</v>
      </c>
    </row>
    <row r="37" spans="1:19">
      <c r="A37" s="10">
        <v>54058</v>
      </c>
      <c r="N37" s="25">
        <f>Admin!E39</f>
        <v>0</v>
      </c>
      <c r="O37" s="25">
        <f>Admin!F39</f>
        <v>0</v>
      </c>
      <c r="P37" s="194">
        <f>Schedule!T49</f>
        <v>0</v>
      </c>
      <c r="S37" s="75">
        <f t="shared" si="2"/>
        <v>0</v>
      </c>
    </row>
    <row r="38" spans="1:19">
      <c r="A38" s="10">
        <v>54424</v>
      </c>
      <c r="N38" s="25">
        <f>Admin!E40</f>
        <v>0</v>
      </c>
      <c r="O38" s="25">
        <f>Admin!F40</f>
        <v>0</v>
      </c>
      <c r="P38" s="194">
        <f>Schedule!T50</f>
        <v>0</v>
      </c>
      <c r="S38" s="75">
        <f t="shared" si="2"/>
        <v>0</v>
      </c>
    </row>
    <row r="39" spans="1:19">
      <c r="A39" s="10">
        <v>54789</v>
      </c>
      <c r="N39" s="25">
        <f>Admin!E41</f>
        <v>0</v>
      </c>
      <c r="O39" s="25">
        <f>Admin!F41</f>
        <v>0</v>
      </c>
      <c r="P39" s="194">
        <f>Schedule!T51</f>
        <v>0</v>
      </c>
      <c r="S39" s="75">
        <f t="shared" si="2"/>
        <v>0</v>
      </c>
    </row>
    <row r="40" spans="1:19">
      <c r="A40" s="10">
        <v>55154</v>
      </c>
      <c r="N40" s="25">
        <f>Admin!E42</f>
        <v>0</v>
      </c>
      <c r="O40" s="25">
        <f>Admin!F42</f>
        <v>0</v>
      </c>
      <c r="P40" s="194">
        <f>Schedule!T52</f>
        <v>0</v>
      </c>
      <c r="S40" s="75">
        <f t="shared" si="2"/>
        <v>0</v>
      </c>
    </row>
    <row r="41" spans="1:19">
      <c r="A41" s="10">
        <v>55519</v>
      </c>
      <c r="N41" s="25" t="str">
        <f>Admin!E43</f>
        <v>Day Off</v>
      </c>
      <c r="O41" s="25" t="str">
        <f>Admin!F43</f>
        <v>OFF</v>
      </c>
      <c r="P41" s="194">
        <f>Schedule!T53</f>
        <v>0</v>
      </c>
      <c r="S41" s="75">
        <f>P41*24</f>
        <v>0</v>
      </c>
    </row>
    <row r="42" spans="1:19">
      <c r="A42" s="10">
        <v>55885</v>
      </c>
      <c r="N42" s="25" t="str">
        <f>Admin!E44</f>
        <v>Holiday</v>
      </c>
      <c r="O42" s="25" t="str">
        <f>Admin!F44</f>
        <v>H</v>
      </c>
      <c r="P42" s="194">
        <f>Schedule!T73</f>
        <v>0</v>
      </c>
      <c r="S42" s="75">
        <f>P42*24</f>
        <v>0</v>
      </c>
    </row>
    <row r="43" spans="1:19">
      <c r="A43" s="10">
        <v>56250</v>
      </c>
      <c r="N43" s="25" t="str">
        <f>Admin!E45</f>
        <v>Sick Leave</v>
      </c>
      <c r="O43" s="25" t="str">
        <f>Admin!F45</f>
        <v>L4</v>
      </c>
      <c r="P43" s="25">
        <f>Schedule!T74</f>
        <v>0</v>
      </c>
      <c r="R43" s="73"/>
      <c r="S43" s="75">
        <f>P43*24</f>
        <v>0</v>
      </c>
    </row>
    <row r="44" spans="1:19">
      <c r="A44" s="10">
        <v>56615</v>
      </c>
      <c r="N44" s="195"/>
      <c r="O44" s="75"/>
      <c r="P44" s="76"/>
      <c r="R44" s="73"/>
    </row>
    <row r="45" spans="1:19">
      <c r="A45" s="10">
        <v>56980</v>
      </c>
      <c r="N45" s="195"/>
      <c r="O45" s="75"/>
      <c r="P45" s="76"/>
      <c r="R45" s="73"/>
    </row>
    <row r="46" spans="1:19">
      <c r="A46" s="10">
        <v>57346</v>
      </c>
      <c r="N46" s="195"/>
      <c r="O46" s="75"/>
      <c r="P46" s="76"/>
      <c r="R46" s="73"/>
    </row>
    <row r="47" spans="1:19">
      <c r="A47" s="10">
        <v>57711</v>
      </c>
      <c r="N47" s="195"/>
      <c r="O47" s="75"/>
      <c r="P47" s="76"/>
      <c r="R47" s="73"/>
    </row>
    <row r="48" spans="1:19">
      <c r="A48" s="10">
        <v>58076</v>
      </c>
      <c r="N48" s="195"/>
      <c r="O48" s="75"/>
      <c r="P48" s="76"/>
      <c r="R48" s="73"/>
    </row>
    <row r="49" spans="1:18">
      <c r="A49" s="10">
        <v>58441</v>
      </c>
      <c r="N49" s="195"/>
      <c r="O49" s="75"/>
      <c r="P49" s="76"/>
      <c r="R49" s="73"/>
    </row>
    <row r="50" spans="1:18">
      <c r="A50" s="10">
        <v>58807</v>
      </c>
      <c r="N50" s="195"/>
      <c r="O50" s="75"/>
      <c r="P50" s="76"/>
      <c r="R50" s="73"/>
    </row>
    <row r="51" spans="1:18">
      <c r="A51" s="10">
        <v>59172</v>
      </c>
      <c r="N51" s="195"/>
      <c r="O51" s="75"/>
      <c r="P51" s="76"/>
      <c r="R51" s="73"/>
    </row>
    <row r="52" spans="1:18">
      <c r="A52" s="10">
        <v>59537</v>
      </c>
      <c r="N52" s="195"/>
      <c r="O52" s="75"/>
      <c r="P52" s="76"/>
      <c r="R52" s="73"/>
    </row>
    <row r="53" spans="1:18">
      <c r="A53" s="10">
        <v>59902</v>
      </c>
      <c r="N53" s="195"/>
      <c r="O53" s="75"/>
      <c r="P53" s="76"/>
    </row>
    <row r="54" spans="1:18">
      <c r="A54" s="10">
        <v>60268</v>
      </c>
      <c r="N54" s="195"/>
      <c r="O54" s="75"/>
      <c r="P54" s="76"/>
    </row>
    <row r="55" spans="1:18">
      <c r="A55" s="10">
        <v>60633</v>
      </c>
      <c r="N55" s="195"/>
      <c r="O55" s="75"/>
      <c r="P55" s="76"/>
    </row>
    <row r="56" spans="1:18">
      <c r="A56" s="10">
        <v>60998</v>
      </c>
      <c r="N56" s="195"/>
      <c r="O56" s="75"/>
      <c r="P56" s="76"/>
    </row>
    <row r="57" spans="1:18">
      <c r="A57" s="10">
        <v>61363</v>
      </c>
      <c r="N57" s="195"/>
      <c r="O57" s="75"/>
      <c r="P57" s="76"/>
    </row>
    <row r="58" spans="1:18">
      <c r="A58" s="10">
        <v>61729</v>
      </c>
      <c r="N58" s="195"/>
      <c r="O58" s="75"/>
      <c r="P58" s="76"/>
    </row>
    <row r="59" spans="1:18">
      <c r="A59" s="10">
        <v>62094</v>
      </c>
      <c r="N59" s="195"/>
      <c r="O59" s="75"/>
      <c r="P59" s="76"/>
    </row>
    <row r="60" spans="1:18">
      <c r="A60" s="10">
        <v>62459</v>
      </c>
      <c r="N60" s="195"/>
      <c r="O60" s="75"/>
      <c r="P60" s="76"/>
    </row>
    <row r="61" spans="1:18">
      <c r="A61" s="10">
        <v>62824</v>
      </c>
      <c r="N61" s="195"/>
      <c r="O61" s="75"/>
      <c r="P61" s="76"/>
    </row>
    <row r="62" spans="1:18">
      <c r="A62" s="10">
        <v>63190</v>
      </c>
      <c r="N62" s="195"/>
      <c r="O62" s="75"/>
      <c r="P62" s="76"/>
    </row>
    <row r="63" spans="1:18">
      <c r="A63" s="10">
        <v>63555</v>
      </c>
      <c r="N63" s="195"/>
      <c r="O63" s="75"/>
      <c r="P63" s="76"/>
    </row>
    <row r="64" spans="1:18">
      <c r="A64" s="10">
        <v>63920</v>
      </c>
      <c r="N64" s="195"/>
      <c r="O64" s="75"/>
      <c r="P64" s="76"/>
    </row>
    <row r="65" spans="1:16">
      <c r="A65" s="10">
        <v>64285</v>
      </c>
      <c r="N65" s="195"/>
      <c r="O65" s="75"/>
      <c r="P65" s="76"/>
    </row>
    <row r="66" spans="1:16">
      <c r="A66" s="10">
        <v>64651</v>
      </c>
      <c r="N66" s="195"/>
      <c r="O66" s="75"/>
      <c r="P66" s="76"/>
    </row>
    <row r="67" spans="1:16">
      <c r="A67" s="10">
        <v>65016</v>
      </c>
      <c r="N67" s="195"/>
      <c r="O67" s="75"/>
      <c r="P67" s="76"/>
    </row>
    <row r="68" spans="1:16">
      <c r="A68" s="10">
        <v>65381</v>
      </c>
      <c r="N68" s="195"/>
      <c r="O68" s="75"/>
      <c r="P68" s="76"/>
    </row>
    <row r="69" spans="1:16">
      <c r="A69" s="10">
        <v>65746</v>
      </c>
      <c r="N69" s="195"/>
      <c r="O69" s="75"/>
      <c r="P69" s="76"/>
    </row>
    <row r="70" spans="1:16">
      <c r="A70" s="10">
        <v>66112</v>
      </c>
      <c r="N70" s="195"/>
      <c r="O70" s="75"/>
      <c r="P70" s="76"/>
    </row>
    <row r="71" spans="1:16">
      <c r="A71" s="10">
        <v>66477</v>
      </c>
      <c r="N71" s="195"/>
      <c r="O71" s="75"/>
      <c r="P71" s="76"/>
    </row>
    <row r="72" spans="1:16">
      <c r="A72" s="10">
        <v>66842</v>
      </c>
      <c r="N72" s="195"/>
      <c r="O72" s="75"/>
      <c r="P72" s="76"/>
    </row>
    <row r="73" spans="1:16">
      <c r="A73" s="10">
        <v>67207</v>
      </c>
      <c r="N73" s="195"/>
      <c r="O73" s="75"/>
      <c r="P73" s="76"/>
    </row>
    <row r="74" spans="1:16">
      <c r="A74" s="10">
        <v>67573</v>
      </c>
      <c r="N74" s="195"/>
      <c r="O74" s="75"/>
      <c r="P74" s="76"/>
    </row>
    <row r="75" spans="1:16">
      <c r="A75" s="10">
        <v>67938</v>
      </c>
      <c r="P75" s="76"/>
    </row>
    <row r="76" spans="1:16">
      <c r="A76" s="10">
        <v>68303</v>
      </c>
    </row>
    <row r="77" spans="1:16">
      <c r="A77" s="10">
        <v>68668</v>
      </c>
    </row>
    <row r="78" spans="1:16">
      <c r="A78" s="10">
        <v>69034</v>
      </c>
    </row>
    <row r="79" spans="1:16">
      <c r="A79" s="10">
        <v>69399</v>
      </c>
    </row>
    <row r="80" spans="1:16">
      <c r="A80" s="10">
        <v>69764</v>
      </c>
    </row>
    <row r="81" spans="1:1">
      <c r="A81" s="10">
        <v>70129</v>
      </c>
    </row>
    <row r="82" spans="1:1">
      <c r="A82" s="10">
        <v>70495</v>
      </c>
    </row>
    <row r="83" spans="1:1">
      <c r="A83" s="10">
        <v>70860</v>
      </c>
    </row>
    <row r="84" spans="1:1">
      <c r="A84" s="10">
        <v>71225</v>
      </c>
    </row>
    <row r="85" spans="1:1">
      <c r="A85" s="10">
        <v>71590</v>
      </c>
    </row>
    <row r="86" spans="1:1">
      <c r="A86" s="10">
        <v>71956</v>
      </c>
    </row>
    <row r="87" spans="1:1">
      <c r="A87" s="10">
        <v>72321</v>
      </c>
    </row>
    <row r="88" spans="1:1">
      <c r="A88" s="10">
        <v>72686</v>
      </c>
    </row>
    <row r="89" spans="1:1">
      <c r="A89" s="10">
        <v>73051</v>
      </c>
    </row>
    <row r="90" spans="1:1">
      <c r="A90" s="10">
        <v>73416</v>
      </c>
    </row>
    <row r="91" spans="1:1">
      <c r="A91" s="10">
        <v>73781</v>
      </c>
    </row>
    <row r="92" spans="1:1">
      <c r="A92" s="10">
        <v>74146</v>
      </c>
    </row>
    <row r="93" spans="1:1">
      <c r="A93" s="10">
        <v>74511</v>
      </c>
    </row>
    <row r="94" spans="1:1">
      <c r="A94" s="10">
        <v>74877</v>
      </c>
    </row>
    <row r="95" spans="1:1">
      <c r="A95" s="10">
        <v>75242</v>
      </c>
    </row>
    <row r="96" spans="1:1">
      <c r="A96" s="10">
        <v>75607</v>
      </c>
    </row>
    <row r="97" spans="1:1">
      <c r="A97" s="10">
        <v>75972</v>
      </c>
    </row>
    <row r="98" spans="1:1">
      <c r="A98" s="10">
        <v>76338</v>
      </c>
    </row>
    <row r="99" spans="1:1">
      <c r="A99" s="10">
        <v>76703</v>
      </c>
    </row>
    <row r="100" spans="1:1">
      <c r="A100" s="10">
        <v>77068</v>
      </c>
    </row>
    <row r="101" spans="1:1">
      <c r="A101" s="10">
        <v>77433</v>
      </c>
    </row>
    <row r="102" spans="1:1">
      <c r="A102" s="10">
        <v>77799</v>
      </c>
    </row>
  </sheetData>
  <sortState xmlns:xlrd2="http://schemas.microsoft.com/office/spreadsheetml/2017/richdata2" ref="K5:L7">
    <sortCondition descending="1" ref="L5:L7"/>
  </sortState>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Arkusz4">
    <tabColor rgb="FFFF0000"/>
  </sheetPr>
  <dimension ref="A1:AP118"/>
  <sheetViews>
    <sheetView zoomScale="85" zoomScaleNormal="85" workbookViewId="0">
      <selection activeCell="B18" sqref="B18"/>
    </sheetView>
  </sheetViews>
  <sheetFormatPr defaultColWidth="8.85546875" defaultRowHeight="15"/>
  <cols>
    <col min="1" max="1" width="10.28515625" bestFit="1" customWidth="1"/>
    <col min="4" max="4" width="24" customWidth="1"/>
    <col min="5" max="5" width="10.28515625" bestFit="1" customWidth="1"/>
    <col min="7" max="7" width="13.42578125" bestFit="1" customWidth="1"/>
    <col min="9" max="9" width="12.42578125" customWidth="1"/>
    <col min="10" max="10" width="13.28515625" customWidth="1"/>
    <col min="11" max="11" width="2.28515625" customWidth="1"/>
    <col min="12" max="12" width="6.140625" bestFit="1" customWidth="1"/>
    <col min="13" max="41" width="4.28515625" bestFit="1" customWidth="1"/>
    <col min="42" max="42" width="6.42578125" bestFit="1" customWidth="1"/>
  </cols>
  <sheetData>
    <row r="1" spans="1:42" ht="28.5">
      <c r="A1" t="s">
        <v>478</v>
      </c>
      <c r="D1" t="str">
        <f>Schedule!A4</f>
        <v>Sierpień</v>
      </c>
      <c r="G1" s="11"/>
      <c r="L1" s="139">
        <f ca="1">Schedule!K9</f>
        <v>46235</v>
      </c>
      <c r="M1" s="139">
        <f ca="1">L1+1</f>
        <v>46236</v>
      </c>
      <c r="N1" s="139">
        <f t="shared" ref="N1:AM1" ca="1" si="0">M1+1</f>
        <v>46237</v>
      </c>
      <c r="O1" s="139">
        <f t="shared" ca="1" si="0"/>
        <v>46238</v>
      </c>
      <c r="P1" s="139">
        <f t="shared" ca="1" si="0"/>
        <v>46239</v>
      </c>
      <c r="Q1" s="139">
        <f t="shared" ca="1" si="0"/>
        <v>46240</v>
      </c>
      <c r="R1" s="139">
        <f t="shared" ca="1" si="0"/>
        <v>46241</v>
      </c>
      <c r="S1" s="139">
        <f t="shared" ca="1" si="0"/>
        <v>46242</v>
      </c>
      <c r="T1" s="139">
        <f t="shared" ca="1" si="0"/>
        <v>46243</v>
      </c>
      <c r="U1" s="139">
        <f t="shared" ca="1" si="0"/>
        <v>46244</v>
      </c>
      <c r="V1" s="139">
        <f t="shared" ca="1" si="0"/>
        <v>46245</v>
      </c>
      <c r="W1" s="139">
        <f t="shared" ca="1" si="0"/>
        <v>46246</v>
      </c>
      <c r="X1" s="139">
        <f t="shared" ca="1" si="0"/>
        <v>46247</v>
      </c>
      <c r="Y1" s="139">
        <f t="shared" ca="1" si="0"/>
        <v>46248</v>
      </c>
      <c r="Z1" s="139">
        <f t="shared" ca="1" si="0"/>
        <v>46249</v>
      </c>
      <c r="AA1" s="139">
        <f t="shared" ca="1" si="0"/>
        <v>46250</v>
      </c>
      <c r="AB1" s="139">
        <f t="shared" ca="1" si="0"/>
        <v>46251</v>
      </c>
      <c r="AC1" s="139">
        <f t="shared" ca="1" si="0"/>
        <v>46252</v>
      </c>
      <c r="AD1" s="139">
        <f t="shared" ca="1" si="0"/>
        <v>46253</v>
      </c>
      <c r="AE1" s="139">
        <f t="shared" ca="1" si="0"/>
        <v>46254</v>
      </c>
      <c r="AF1" s="139">
        <f t="shared" ca="1" si="0"/>
        <v>46255</v>
      </c>
      <c r="AG1" s="139">
        <f t="shared" ca="1" si="0"/>
        <v>46256</v>
      </c>
      <c r="AH1" s="139">
        <f t="shared" ca="1" si="0"/>
        <v>46257</v>
      </c>
      <c r="AI1" s="139">
        <f t="shared" ca="1" si="0"/>
        <v>46258</v>
      </c>
      <c r="AJ1" s="139">
        <f t="shared" ca="1" si="0"/>
        <v>46259</v>
      </c>
      <c r="AK1" s="139">
        <f t="shared" ca="1" si="0"/>
        <v>46260</v>
      </c>
      <c r="AL1" s="139">
        <f t="shared" ca="1" si="0"/>
        <v>46261</v>
      </c>
      <c r="AM1" s="139">
        <f t="shared" ca="1" si="0"/>
        <v>46262</v>
      </c>
      <c r="AN1" s="139">
        <f ca="1">IF(AM1+1&gt;E5,"",AM1+1)</f>
        <v>46263</v>
      </c>
      <c r="AO1" s="139">
        <f ca="1">IF(AN1+1&gt;E5,"",AN1+1)</f>
        <v>46264</v>
      </c>
      <c r="AP1" s="139">
        <f ca="1">IF(AO1+1&gt;E5,"",AO1+1)</f>
        <v>46265</v>
      </c>
    </row>
    <row r="2" spans="1:42" s="2" customFormat="1" ht="14.25">
      <c r="A2" s="1"/>
      <c r="B2" s="8">
        <v>1</v>
      </c>
      <c r="C2" s="8">
        <v>0</v>
      </c>
      <c r="D2" s="1"/>
      <c r="E2" s="33">
        <v>7</v>
      </c>
      <c r="F2" s="1"/>
      <c r="G2" s="12">
        <f>Admin!B3</f>
        <v>46023</v>
      </c>
      <c r="H2" s="1"/>
      <c r="I2" s="1" t="s">
        <v>363</v>
      </c>
      <c r="J2" s="1"/>
      <c r="K2" s="1"/>
      <c r="L2" s="9">
        <f ca="1">WEEKDAY(L1,2)</f>
        <v>6</v>
      </c>
      <c r="M2" s="9">
        <f t="shared" ref="M2:AM2" ca="1" si="1">WEEKDAY(M1,2)</f>
        <v>7</v>
      </c>
      <c r="N2" s="9">
        <f t="shared" ca="1" si="1"/>
        <v>1</v>
      </c>
      <c r="O2" s="9">
        <f t="shared" ca="1" si="1"/>
        <v>2</v>
      </c>
      <c r="P2" s="9">
        <f t="shared" ca="1" si="1"/>
        <v>3</v>
      </c>
      <c r="Q2" s="9">
        <f t="shared" ca="1" si="1"/>
        <v>4</v>
      </c>
      <c r="R2" s="9">
        <f t="shared" ca="1" si="1"/>
        <v>5</v>
      </c>
      <c r="S2" s="9">
        <f t="shared" ca="1" si="1"/>
        <v>6</v>
      </c>
      <c r="T2" s="9">
        <f t="shared" ca="1" si="1"/>
        <v>7</v>
      </c>
      <c r="U2" s="9">
        <f t="shared" ca="1" si="1"/>
        <v>1</v>
      </c>
      <c r="V2" s="9">
        <f t="shared" ca="1" si="1"/>
        <v>2</v>
      </c>
      <c r="W2" s="9">
        <f t="shared" ca="1" si="1"/>
        <v>3</v>
      </c>
      <c r="X2" s="9">
        <f t="shared" ca="1" si="1"/>
        <v>4</v>
      </c>
      <c r="Y2" s="9">
        <f t="shared" ca="1" si="1"/>
        <v>5</v>
      </c>
      <c r="Z2" s="9">
        <f t="shared" ca="1" si="1"/>
        <v>6</v>
      </c>
      <c r="AA2" s="9">
        <f t="shared" ca="1" si="1"/>
        <v>7</v>
      </c>
      <c r="AB2" s="9">
        <f t="shared" ca="1" si="1"/>
        <v>1</v>
      </c>
      <c r="AC2" s="9">
        <f t="shared" ca="1" si="1"/>
        <v>2</v>
      </c>
      <c r="AD2" s="9">
        <f t="shared" ca="1" si="1"/>
        <v>3</v>
      </c>
      <c r="AE2" s="9">
        <f t="shared" ca="1" si="1"/>
        <v>4</v>
      </c>
      <c r="AF2" s="9">
        <f t="shared" ca="1" si="1"/>
        <v>5</v>
      </c>
      <c r="AG2" s="9">
        <f t="shared" ca="1" si="1"/>
        <v>6</v>
      </c>
      <c r="AH2" s="9">
        <f t="shared" ca="1" si="1"/>
        <v>7</v>
      </c>
      <c r="AI2" s="9">
        <f t="shared" ca="1" si="1"/>
        <v>1</v>
      </c>
      <c r="AJ2" s="9">
        <f t="shared" ca="1" si="1"/>
        <v>2</v>
      </c>
      <c r="AK2" s="9">
        <f t="shared" ca="1" si="1"/>
        <v>3</v>
      </c>
      <c r="AL2" s="9">
        <f t="shared" ca="1" si="1"/>
        <v>4</v>
      </c>
      <c r="AM2" s="9">
        <f t="shared" ca="1" si="1"/>
        <v>5</v>
      </c>
      <c r="AN2" s="9">
        <f ca="1">IFERROR(WEEKDAY(AN1,2),"")</f>
        <v>6</v>
      </c>
      <c r="AO2" s="9">
        <f ca="1">IFERROR(WEEKDAY(AO1,2),"")</f>
        <v>7</v>
      </c>
      <c r="AP2" s="9">
        <f ca="1">IFERROR(WEEKDAY(AP1,2),"")</f>
        <v>1</v>
      </c>
    </row>
    <row r="3" spans="1:42" ht="15.75" thickBot="1">
      <c r="A3">
        <v>1</v>
      </c>
      <c r="B3">
        <v>31</v>
      </c>
      <c r="C3">
        <v>31</v>
      </c>
      <c r="D3" s="16">
        <f>G3</f>
        <v>46023</v>
      </c>
      <c r="E3" s="3">
        <f ca="1">Schedule!A6</f>
        <v>8</v>
      </c>
      <c r="F3" s="20">
        <v>2.0833333333333332E-2</v>
      </c>
      <c r="G3" s="14">
        <f>G2</f>
        <v>46023</v>
      </c>
      <c r="I3" s="17">
        <f>Calendar!B19</f>
        <v>46023</v>
      </c>
      <c r="J3" s="15">
        <f>I3</f>
        <v>46023</v>
      </c>
      <c r="L3" s="98" t="str">
        <f ca="1">IF(L2=1,INDIRECT("T!"&amp;T!$A$1&amp;"26"),IF(L2=2,INDIRECT("T!"&amp;T!$A$1&amp;"27"),IF(L2=3,INDIRECT("T!"&amp;T!$A$1&amp;"28"),IF(L2=4,INDIRECT("T!"&amp;T!$A$1&amp;"29"),IF(L2=5,INDIRECT("T!"&amp;T!$A$1&amp;"30"),IF(L2=6,INDIRECT("T!"&amp;T!$A$1&amp;"31"),IF(L2=7,INDIRECT("T!"&amp;T!$A$1&amp;"32"),0)))))))</f>
        <v>So</v>
      </c>
      <c r="M3" s="98" t="str">
        <f ca="1">IF(M2=1,INDIRECT("T!"&amp;T!$A$1&amp;"26"),IF(M2=2,INDIRECT("T!"&amp;T!$A$1&amp;"27"),IF(M2=3,INDIRECT("T!"&amp;T!$A$1&amp;"28"),IF(M2=4,INDIRECT("T!"&amp;T!$A$1&amp;"29"),IF(M2=5,INDIRECT("T!"&amp;T!$A$1&amp;"30"),IF(M2=6,INDIRECT("T!"&amp;T!$A$1&amp;"31"),IF(M2=7,INDIRECT("T!"&amp;T!$A$1&amp;"32"),0)))))))</f>
        <v>Nd</v>
      </c>
      <c r="N3" s="98" t="str">
        <f ca="1">IF(N2=1,INDIRECT("T!"&amp;T!$A$1&amp;"26"),IF(N2=2,INDIRECT("T!"&amp;T!$A$1&amp;"27"),IF(N2=3,INDIRECT("T!"&amp;T!$A$1&amp;"28"),IF(N2=4,INDIRECT("T!"&amp;T!$A$1&amp;"29"),IF(N2=5,INDIRECT("T!"&amp;T!$A$1&amp;"30"),IF(N2=6,INDIRECT("T!"&amp;T!$A$1&amp;"31"),IF(N2=7,INDIRECT("T!"&amp;T!$A$1&amp;"32"),0)))))))</f>
        <v>Pn</v>
      </c>
      <c r="O3" s="98" t="str">
        <f ca="1">IF(O2=1,INDIRECT("T!"&amp;T!$A$1&amp;"26"),IF(O2=2,INDIRECT("T!"&amp;T!$A$1&amp;"27"),IF(O2=3,INDIRECT("T!"&amp;T!$A$1&amp;"28"),IF(O2=4,INDIRECT("T!"&amp;T!$A$1&amp;"29"),IF(O2=5,INDIRECT("T!"&amp;T!$A$1&amp;"30"),IF(O2=6,INDIRECT("T!"&amp;T!$A$1&amp;"31"),IF(O2=7,INDIRECT("T!"&amp;T!$A$1&amp;"32"),0)))))))</f>
        <v>Wt</v>
      </c>
      <c r="P3" s="98" t="str">
        <f ca="1">IF(P2=1,INDIRECT("T!"&amp;T!$A$1&amp;"26"),IF(P2=2,INDIRECT("T!"&amp;T!$A$1&amp;"27"),IF(P2=3,INDIRECT("T!"&amp;T!$A$1&amp;"28"),IF(P2=4,INDIRECT("T!"&amp;T!$A$1&amp;"29"),IF(P2=5,INDIRECT("T!"&amp;T!$A$1&amp;"30"),IF(P2=6,INDIRECT("T!"&amp;T!$A$1&amp;"31"),IF(P2=7,INDIRECT("T!"&amp;T!$A$1&amp;"32"),0)))))))</f>
        <v>Śr</v>
      </c>
      <c r="Q3" s="98" t="str">
        <f ca="1">IF(Q2=1,INDIRECT("T!"&amp;T!$A$1&amp;"26"),IF(Q2=2,INDIRECT("T!"&amp;T!$A$1&amp;"27"),IF(Q2=3,INDIRECT("T!"&amp;T!$A$1&amp;"28"),IF(Q2=4,INDIRECT("T!"&amp;T!$A$1&amp;"29"),IF(Q2=5,INDIRECT("T!"&amp;T!$A$1&amp;"30"),IF(Q2=6,INDIRECT("T!"&amp;T!$A$1&amp;"31"),IF(Q2=7,INDIRECT("T!"&amp;T!$A$1&amp;"32"),0)))))))</f>
        <v>Cz</v>
      </c>
      <c r="R3" s="98" t="str">
        <f ca="1">IF(R2=1,INDIRECT("T!"&amp;T!$A$1&amp;"26"),IF(R2=2,INDIRECT("T!"&amp;T!$A$1&amp;"27"),IF(R2=3,INDIRECT("T!"&amp;T!$A$1&amp;"28"),IF(R2=4,INDIRECT("T!"&amp;T!$A$1&amp;"29"),IF(R2=5,INDIRECT("T!"&amp;T!$A$1&amp;"30"),IF(R2=6,INDIRECT("T!"&amp;T!$A$1&amp;"31"),IF(R2=7,INDIRECT("T!"&amp;T!$A$1&amp;"32"),0)))))))</f>
        <v>Pt</v>
      </c>
      <c r="S3" s="98" t="str">
        <f ca="1">IF(S2=1,INDIRECT("T!"&amp;T!$A$1&amp;"26"),IF(S2=2,INDIRECT("T!"&amp;T!$A$1&amp;"27"),IF(S2=3,INDIRECT("T!"&amp;T!$A$1&amp;"28"),IF(S2=4,INDIRECT("T!"&amp;T!$A$1&amp;"29"),IF(S2=5,INDIRECT("T!"&amp;T!$A$1&amp;"30"),IF(S2=6,INDIRECT("T!"&amp;T!$A$1&amp;"31"),IF(S2=7,INDIRECT("T!"&amp;T!$A$1&amp;"32"),0)))))))</f>
        <v>So</v>
      </c>
      <c r="T3" s="98" t="str">
        <f ca="1">IF(T2=1,INDIRECT("T!"&amp;T!$A$1&amp;"26"),IF(T2=2,INDIRECT("T!"&amp;T!$A$1&amp;"27"),IF(T2=3,INDIRECT("T!"&amp;T!$A$1&amp;"28"),IF(T2=4,INDIRECT("T!"&amp;T!$A$1&amp;"29"),IF(T2=5,INDIRECT("T!"&amp;T!$A$1&amp;"30"),IF(T2=6,INDIRECT("T!"&amp;T!$A$1&amp;"31"),IF(T2=7,INDIRECT("T!"&amp;T!$A$1&amp;"32"),0)))))))</f>
        <v>Nd</v>
      </c>
      <c r="U3" s="98" t="str">
        <f ca="1">IF(U2=1,INDIRECT("T!"&amp;T!$A$1&amp;"26"),IF(U2=2,INDIRECT("T!"&amp;T!$A$1&amp;"27"),IF(U2=3,INDIRECT("T!"&amp;T!$A$1&amp;"28"),IF(U2=4,INDIRECT("T!"&amp;T!$A$1&amp;"29"),IF(U2=5,INDIRECT("T!"&amp;T!$A$1&amp;"30"),IF(U2=6,INDIRECT("T!"&amp;T!$A$1&amp;"31"),IF(U2=7,INDIRECT("T!"&amp;T!$A$1&amp;"32"),0)))))))</f>
        <v>Pn</v>
      </c>
      <c r="V3" s="98" t="str">
        <f ca="1">IF(V2=1,INDIRECT("T!"&amp;T!$A$1&amp;"26"),IF(V2=2,INDIRECT("T!"&amp;T!$A$1&amp;"27"),IF(V2=3,INDIRECT("T!"&amp;T!$A$1&amp;"28"),IF(V2=4,INDIRECT("T!"&amp;T!$A$1&amp;"29"),IF(V2=5,INDIRECT("T!"&amp;T!$A$1&amp;"30"),IF(V2=6,INDIRECT("T!"&amp;T!$A$1&amp;"31"),IF(V2=7,INDIRECT("T!"&amp;T!$A$1&amp;"32"),0)))))))</f>
        <v>Wt</v>
      </c>
      <c r="W3" s="98" t="str">
        <f ca="1">IF(W2=1,INDIRECT("T!"&amp;T!$A$1&amp;"26"),IF(W2=2,INDIRECT("T!"&amp;T!$A$1&amp;"27"),IF(W2=3,INDIRECT("T!"&amp;T!$A$1&amp;"28"),IF(W2=4,INDIRECT("T!"&amp;T!$A$1&amp;"29"),IF(W2=5,INDIRECT("T!"&amp;T!$A$1&amp;"30"),IF(W2=6,INDIRECT("T!"&amp;T!$A$1&amp;"31"),IF(W2=7,INDIRECT("T!"&amp;T!$A$1&amp;"32"),0)))))))</f>
        <v>Śr</v>
      </c>
      <c r="X3" s="98" t="str">
        <f ca="1">IF(X2=1,INDIRECT("T!"&amp;T!$A$1&amp;"26"),IF(X2=2,INDIRECT("T!"&amp;T!$A$1&amp;"27"),IF(X2=3,INDIRECT("T!"&amp;T!$A$1&amp;"28"),IF(X2=4,INDIRECT("T!"&amp;T!$A$1&amp;"29"),IF(X2=5,INDIRECT("T!"&amp;T!$A$1&amp;"30"),IF(X2=6,INDIRECT("T!"&amp;T!$A$1&amp;"31"),IF(X2=7,INDIRECT("T!"&amp;T!$A$1&amp;"32"),0)))))))</f>
        <v>Cz</v>
      </c>
      <c r="Y3" s="98" t="str">
        <f ca="1">IF(Y2=1,INDIRECT("T!"&amp;T!$A$1&amp;"26"),IF(Y2=2,INDIRECT("T!"&amp;T!$A$1&amp;"27"),IF(Y2=3,INDIRECT("T!"&amp;T!$A$1&amp;"28"),IF(Y2=4,INDIRECT("T!"&amp;T!$A$1&amp;"29"),IF(Y2=5,INDIRECT("T!"&amp;T!$A$1&amp;"30"),IF(Y2=6,INDIRECT("T!"&amp;T!$A$1&amp;"31"),IF(Y2=7,INDIRECT("T!"&amp;T!$A$1&amp;"32"),0)))))))</f>
        <v>Pt</v>
      </c>
      <c r="Z3" s="98" t="str">
        <f ca="1">IF(Z2=1,INDIRECT("T!"&amp;T!$A$1&amp;"26"),IF(Z2=2,INDIRECT("T!"&amp;T!$A$1&amp;"27"),IF(Z2=3,INDIRECT("T!"&amp;T!$A$1&amp;"28"),IF(Z2=4,INDIRECT("T!"&amp;T!$A$1&amp;"29"),IF(Z2=5,INDIRECT("T!"&amp;T!$A$1&amp;"30"),IF(Z2=6,INDIRECT("T!"&amp;T!$A$1&amp;"31"),IF(Z2=7,INDIRECT("T!"&amp;T!$A$1&amp;"32"),0)))))))</f>
        <v>So</v>
      </c>
      <c r="AA3" s="98" t="str">
        <f ca="1">IF(AA2=1,INDIRECT("T!"&amp;T!$A$1&amp;"26"),IF(AA2=2,INDIRECT("T!"&amp;T!$A$1&amp;"27"),IF(AA2=3,INDIRECT("T!"&amp;T!$A$1&amp;"28"),IF(AA2=4,INDIRECT("T!"&amp;T!$A$1&amp;"29"),IF(AA2=5,INDIRECT("T!"&amp;T!$A$1&amp;"30"),IF(AA2=6,INDIRECT("T!"&amp;T!$A$1&amp;"31"),IF(AA2=7,INDIRECT("T!"&amp;T!$A$1&amp;"32"),0)))))))</f>
        <v>Nd</v>
      </c>
      <c r="AB3" s="98" t="str">
        <f ca="1">IF(AB2=1,INDIRECT("T!"&amp;T!$A$1&amp;"26"),IF(AB2=2,INDIRECT("T!"&amp;T!$A$1&amp;"27"),IF(AB2=3,INDIRECT("T!"&amp;T!$A$1&amp;"28"),IF(AB2=4,INDIRECT("T!"&amp;T!$A$1&amp;"29"),IF(AB2=5,INDIRECT("T!"&amp;T!$A$1&amp;"30"),IF(AB2=6,INDIRECT("T!"&amp;T!$A$1&amp;"31"),IF(AB2=7,INDIRECT("T!"&amp;T!$A$1&amp;"32"),0)))))))</f>
        <v>Pn</v>
      </c>
      <c r="AC3" s="98" t="str">
        <f ca="1">IF(AC2=1,INDIRECT("T!"&amp;T!$A$1&amp;"26"),IF(AC2=2,INDIRECT("T!"&amp;T!$A$1&amp;"27"),IF(AC2=3,INDIRECT("T!"&amp;T!$A$1&amp;"28"),IF(AC2=4,INDIRECT("T!"&amp;T!$A$1&amp;"29"),IF(AC2=5,INDIRECT("T!"&amp;T!$A$1&amp;"30"),IF(AC2=6,INDIRECT("T!"&amp;T!$A$1&amp;"31"),IF(AC2=7,INDIRECT("T!"&amp;T!$A$1&amp;"32"),0)))))))</f>
        <v>Wt</v>
      </c>
      <c r="AD3" s="98" t="str">
        <f ca="1">IF(AD2=1,INDIRECT("T!"&amp;T!$A$1&amp;"26"),IF(AD2=2,INDIRECT("T!"&amp;T!$A$1&amp;"27"),IF(AD2=3,INDIRECT("T!"&amp;T!$A$1&amp;"28"),IF(AD2=4,INDIRECT("T!"&amp;T!$A$1&amp;"29"),IF(AD2=5,INDIRECT("T!"&amp;T!$A$1&amp;"30"),IF(AD2=6,INDIRECT("T!"&amp;T!$A$1&amp;"31"),IF(AD2=7,INDIRECT("T!"&amp;T!$A$1&amp;"32"),0)))))))</f>
        <v>Śr</v>
      </c>
      <c r="AE3" s="98" t="str">
        <f ca="1">IF(AE2=1,INDIRECT("T!"&amp;T!$A$1&amp;"26"),IF(AE2=2,INDIRECT("T!"&amp;T!$A$1&amp;"27"),IF(AE2=3,INDIRECT("T!"&amp;T!$A$1&amp;"28"),IF(AE2=4,INDIRECT("T!"&amp;T!$A$1&amp;"29"),IF(AE2=5,INDIRECT("T!"&amp;T!$A$1&amp;"30"),IF(AE2=6,INDIRECT("T!"&amp;T!$A$1&amp;"31"),IF(AE2=7,INDIRECT("T!"&amp;T!$A$1&amp;"32"),0)))))))</f>
        <v>Cz</v>
      </c>
      <c r="AF3" s="98" t="str">
        <f ca="1">IF(AF2=1,INDIRECT("T!"&amp;T!$A$1&amp;"26"),IF(AF2=2,INDIRECT("T!"&amp;T!$A$1&amp;"27"),IF(AF2=3,INDIRECT("T!"&amp;T!$A$1&amp;"28"),IF(AF2=4,INDIRECT("T!"&amp;T!$A$1&amp;"29"),IF(AF2=5,INDIRECT("T!"&amp;T!$A$1&amp;"30"),IF(AF2=6,INDIRECT("T!"&amp;T!$A$1&amp;"31"),IF(AF2=7,INDIRECT("T!"&amp;T!$A$1&amp;"32"),0)))))))</f>
        <v>Pt</v>
      </c>
      <c r="AG3" s="98" t="str">
        <f ca="1">IF(AG2=1,INDIRECT("T!"&amp;T!$A$1&amp;"26"),IF(AG2=2,INDIRECT("T!"&amp;T!$A$1&amp;"27"),IF(AG2=3,INDIRECT("T!"&amp;T!$A$1&amp;"28"),IF(AG2=4,INDIRECT("T!"&amp;T!$A$1&amp;"29"),IF(AG2=5,INDIRECT("T!"&amp;T!$A$1&amp;"30"),IF(AG2=6,INDIRECT("T!"&amp;T!$A$1&amp;"31"),IF(AG2=7,INDIRECT("T!"&amp;T!$A$1&amp;"32"),0)))))))</f>
        <v>So</v>
      </c>
      <c r="AH3" s="98" t="str">
        <f ca="1">IF(AH2=1,INDIRECT("T!"&amp;T!$A$1&amp;"26"),IF(AH2=2,INDIRECT("T!"&amp;T!$A$1&amp;"27"),IF(AH2=3,INDIRECT("T!"&amp;T!$A$1&amp;"28"),IF(AH2=4,INDIRECT("T!"&amp;T!$A$1&amp;"29"),IF(AH2=5,INDIRECT("T!"&amp;T!$A$1&amp;"30"),IF(AH2=6,INDIRECT("T!"&amp;T!$A$1&amp;"31"),IF(AH2=7,INDIRECT("T!"&amp;T!$A$1&amp;"32"),0)))))))</f>
        <v>Nd</v>
      </c>
      <c r="AI3" s="98" t="str">
        <f ca="1">IF(AI2=1,INDIRECT("T!"&amp;T!$A$1&amp;"26"),IF(AI2=2,INDIRECT("T!"&amp;T!$A$1&amp;"27"),IF(AI2=3,INDIRECT("T!"&amp;T!$A$1&amp;"28"),IF(AI2=4,INDIRECT("T!"&amp;T!$A$1&amp;"29"),IF(AI2=5,INDIRECT("T!"&amp;T!$A$1&amp;"30"),IF(AI2=6,INDIRECT("T!"&amp;T!$A$1&amp;"31"),IF(AI2=7,INDIRECT("T!"&amp;T!$A$1&amp;"32"),0)))))))</f>
        <v>Pn</v>
      </c>
      <c r="AJ3" s="98" t="str">
        <f ca="1">IF(AJ2=1,INDIRECT("T!"&amp;T!$A$1&amp;"26"),IF(AJ2=2,INDIRECT("T!"&amp;T!$A$1&amp;"27"),IF(AJ2=3,INDIRECT("T!"&amp;T!$A$1&amp;"28"),IF(AJ2=4,INDIRECT("T!"&amp;T!$A$1&amp;"29"),IF(AJ2=5,INDIRECT("T!"&amp;T!$A$1&amp;"30"),IF(AJ2=6,INDIRECT("T!"&amp;T!$A$1&amp;"31"),IF(AJ2=7,INDIRECT("T!"&amp;T!$A$1&amp;"32"),0)))))))</f>
        <v>Wt</v>
      </c>
      <c r="AK3" s="98" t="str">
        <f ca="1">IF(AK2=1,INDIRECT("T!"&amp;T!$A$1&amp;"26"),IF(AK2=2,INDIRECT("T!"&amp;T!$A$1&amp;"27"),IF(AK2=3,INDIRECT("T!"&amp;T!$A$1&amp;"28"),IF(AK2=4,INDIRECT("T!"&amp;T!$A$1&amp;"29"),IF(AK2=5,INDIRECT("T!"&amp;T!$A$1&amp;"30"),IF(AK2=6,INDIRECT("T!"&amp;T!$A$1&amp;"31"),IF(AK2=7,INDIRECT("T!"&amp;T!$A$1&amp;"32"),0)))))))</f>
        <v>Śr</v>
      </c>
      <c r="AL3" s="98" t="str">
        <f ca="1">IF(AL2=1,INDIRECT("T!"&amp;T!$A$1&amp;"26"),IF(AL2=2,INDIRECT("T!"&amp;T!$A$1&amp;"27"),IF(AL2=3,INDIRECT("T!"&amp;T!$A$1&amp;"28"),IF(AL2=4,INDIRECT("T!"&amp;T!$A$1&amp;"29"),IF(AL2=5,INDIRECT("T!"&amp;T!$A$1&amp;"30"),IF(AL2=6,INDIRECT("T!"&amp;T!$A$1&amp;"31"),IF(AL2=7,INDIRECT("T!"&amp;T!$A$1&amp;"32"),0)))))))</f>
        <v>Cz</v>
      </c>
      <c r="AM3" s="98" t="str">
        <f ca="1">IF(AM2=1,INDIRECT("T!"&amp;T!$A$1&amp;"26"),IF(AM2=2,INDIRECT("T!"&amp;T!$A$1&amp;"27"),IF(AM2=3,INDIRECT("T!"&amp;T!$A$1&amp;"28"),IF(AM2=4,INDIRECT("T!"&amp;T!$A$1&amp;"29"),IF(AM2=5,INDIRECT("T!"&amp;T!$A$1&amp;"30"),IF(AM2=6,INDIRECT("T!"&amp;T!$A$1&amp;"31"),IF(AM2=7,INDIRECT("T!"&amp;T!$A$1&amp;"32"),0)))))))</f>
        <v>Pt</v>
      </c>
      <c r="AN3" s="98" t="str">
        <f ca="1">IF(AN2=1,INDIRECT("T!"&amp;T!$A$1&amp;"26"),IF(AN2=2,INDIRECT("T!"&amp;T!$A$1&amp;"27"),IF(AN2=3,INDIRECT("T!"&amp;T!$A$1&amp;"28"),IF(AN2=4,INDIRECT("T!"&amp;T!$A$1&amp;"29"),IF(AN2=5,INDIRECT("T!"&amp;T!$A$1&amp;"30"),IF(AN2=6,INDIRECT("T!"&amp;T!$A$1&amp;"31"),IF(AN2=7,INDIRECT("T!"&amp;T!$A$1&amp;"32"),0)))))))</f>
        <v>So</v>
      </c>
      <c r="AO3" s="98" t="str">
        <f ca="1">IF(AO2=1,INDIRECT("T!"&amp;T!$A$1&amp;"26"),IF(AO2=2,INDIRECT("T!"&amp;T!$A$1&amp;"27"),IF(AO2=3,INDIRECT("T!"&amp;T!$A$1&amp;"28"),IF(AO2=4,INDIRECT("T!"&amp;T!$A$1&amp;"29"),IF(AO2=5,INDIRECT("T!"&amp;T!$A$1&amp;"30"),IF(AO2=6,INDIRECT("T!"&amp;T!$A$1&amp;"31"),IF(AO2=7,INDIRECT("T!"&amp;T!$A$1&amp;"32"),0)))))))</f>
        <v>Nd</v>
      </c>
      <c r="AP3" s="98" t="str">
        <f ca="1">IF(AP2=1,INDIRECT("T!"&amp;T!$A$1&amp;"26"),IF(AP2=2,INDIRECT("T!"&amp;T!$A$1&amp;"27"),IF(AP2=3,INDIRECT("T!"&amp;T!$A$1&amp;"28"),IF(AP2=4,INDIRECT("T!"&amp;T!$A$1&amp;"29"),IF(AP2=5,INDIRECT("T!"&amp;T!$A$1&amp;"30"),IF(AP2=6,INDIRECT("T!"&amp;T!$A$1&amp;"31"),IF(AP2=7,INDIRECT("T!"&amp;T!$A$1&amp;"32"),0)))))))</f>
        <v>Pn</v>
      </c>
    </row>
    <row r="4" spans="1:42">
      <c r="A4">
        <v>2</v>
      </c>
      <c r="B4">
        <v>29</v>
      </c>
      <c r="C4">
        <v>28</v>
      </c>
      <c r="D4" s="16">
        <f>G2+31</f>
        <v>46054</v>
      </c>
      <c r="E4" s="10">
        <f>IF(D1="STYCZEŃ",D3,IF(D1="LUTY",D4,IF(D1="MARZEC",D5,IF(D1="KWIECIEŃ",D6,IF(D1="MAJ",D7,IF(D1="CZERWIEC",D8,IF(D1="LIPIEC",D9,IF(D1="SIERPIEŃ",D10,IF(D1="WRZESIEŃ",D11,IF(D1="PAŹDZIERNIK",D12,IF(D1="LISTOPAD",D13,IF(D1="GRUDZIEŃ",D14))))))))))))</f>
        <v>46235</v>
      </c>
      <c r="F4">
        <f>DAY(DATE(YEAR(E4),MONTH(E4)+1,1)-1)</f>
        <v>31</v>
      </c>
      <c r="G4" s="15"/>
      <c r="I4" s="17">
        <f>Calendar!B20</f>
        <v>46028</v>
      </c>
      <c r="J4" s="15">
        <f t="shared" ref="J4:J17" si="2">I4</f>
        <v>46028</v>
      </c>
      <c r="L4" s="15"/>
    </row>
    <row r="5" spans="1:42">
      <c r="A5">
        <v>3</v>
      </c>
      <c r="B5">
        <v>31</v>
      </c>
      <c r="C5">
        <v>31</v>
      </c>
      <c r="D5" s="16">
        <f>IF(H17=1,D4+29,D4+28)</f>
        <v>46082</v>
      </c>
      <c r="E5" s="10">
        <f>E4+F4-1</f>
        <v>46265</v>
      </c>
      <c r="G5" s="15"/>
      <c r="I5" s="17">
        <f>Calendar!B21</f>
        <v>46117</v>
      </c>
      <c r="J5" s="15">
        <f t="shared" si="2"/>
        <v>46117</v>
      </c>
      <c r="L5" s="15"/>
    </row>
    <row r="6" spans="1:42">
      <c r="A6">
        <v>4</v>
      </c>
      <c r="B6">
        <v>30</v>
      </c>
      <c r="C6">
        <v>30</v>
      </c>
      <c r="D6" s="16">
        <f>D5+31</f>
        <v>46113</v>
      </c>
      <c r="I6" s="17">
        <f>Calendar!B22</f>
        <v>46118</v>
      </c>
      <c r="J6" s="15">
        <f t="shared" si="2"/>
        <v>46118</v>
      </c>
      <c r="L6" s="15"/>
    </row>
    <row r="7" spans="1:42">
      <c r="A7">
        <v>5</v>
      </c>
      <c r="B7">
        <v>31</v>
      </c>
      <c r="C7">
        <v>31</v>
      </c>
      <c r="D7" s="16">
        <f>D6+30</f>
        <v>46143</v>
      </c>
      <c r="I7" s="17">
        <f>Calendar!B23</f>
        <v>46143</v>
      </c>
      <c r="J7" s="15">
        <f t="shared" si="2"/>
        <v>46143</v>
      </c>
    </row>
    <row r="8" spans="1:42">
      <c r="A8">
        <v>6</v>
      </c>
      <c r="B8">
        <v>30</v>
      </c>
      <c r="C8">
        <v>30</v>
      </c>
      <c r="D8" s="16">
        <f>D7+31</f>
        <v>46174</v>
      </c>
      <c r="I8" s="17">
        <f>Calendar!B24</f>
        <v>46145</v>
      </c>
      <c r="J8" s="15">
        <f t="shared" si="2"/>
        <v>46145</v>
      </c>
    </row>
    <row r="9" spans="1:42">
      <c r="A9">
        <v>7</v>
      </c>
      <c r="B9">
        <v>31</v>
      </c>
      <c r="C9">
        <v>31</v>
      </c>
      <c r="D9" s="16">
        <f>D8+30</f>
        <v>46204</v>
      </c>
      <c r="I9" s="17">
        <f>Calendar!B25</f>
        <v>46166</v>
      </c>
      <c r="J9" s="15">
        <f t="shared" si="2"/>
        <v>46166</v>
      </c>
    </row>
    <row r="10" spans="1:42">
      <c r="A10">
        <v>8</v>
      </c>
      <c r="B10">
        <v>31</v>
      </c>
      <c r="C10">
        <v>31</v>
      </c>
      <c r="D10" s="16">
        <f>D9+31</f>
        <v>46235</v>
      </c>
      <c r="I10" s="17">
        <f>Calendar!B26</f>
        <v>46177</v>
      </c>
      <c r="J10" s="15">
        <f t="shared" si="2"/>
        <v>46177</v>
      </c>
    </row>
    <row r="11" spans="1:42">
      <c r="A11">
        <v>9</v>
      </c>
      <c r="B11">
        <v>30</v>
      </c>
      <c r="C11">
        <v>30</v>
      </c>
      <c r="D11" s="16">
        <f>D10+31</f>
        <v>46266</v>
      </c>
      <c r="I11" s="17">
        <f>Calendar!B27</f>
        <v>46249</v>
      </c>
      <c r="J11" s="15">
        <f t="shared" si="2"/>
        <v>46249</v>
      </c>
    </row>
    <row r="12" spans="1:42">
      <c r="A12">
        <v>10</v>
      </c>
      <c r="B12">
        <v>31</v>
      </c>
      <c r="C12">
        <v>31</v>
      </c>
      <c r="D12" s="16">
        <f>D11+30</f>
        <v>46296</v>
      </c>
      <c r="I12" s="17">
        <f>Calendar!B28</f>
        <v>46327</v>
      </c>
      <c r="J12" s="15">
        <f t="shared" si="2"/>
        <v>46327</v>
      </c>
    </row>
    <row r="13" spans="1:42">
      <c r="A13">
        <v>11</v>
      </c>
      <c r="B13">
        <v>30</v>
      </c>
      <c r="C13">
        <v>30</v>
      </c>
      <c r="D13" s="16">
        <f>D12+31</f>
        <v>46327</v>
      </c>
      <c r="I13" s="17">
        <f>Calendar!B29</f>
        <v>46337</v>
      </c>
      <c r="J13" s="15">
        <f t="shared" si="2"/>
        <v>46337</v>
      </c>
    </row>
    <row r="14" spans="1:42">
      <c r="A14">
        <v>12</v>
      </c>
      <c r="B14">
        <v>31</v>
      </c>
      <c r="C14">
        <v>31</v>
      </c>
      <c r="D14" s="16">
        <f>D13+30</f>
        <v>46357</v>
      </c>
      <c r="I14" s="17">
        <f>Calendar!B30</f>
        <v>46380</v>
      </c>
      <c r="J14" s="15">
        <f t="shared" si="2"/>
        <v>46380</v>
      </c>
    </row>
    <row r="15" spans="1:42">
      <c r="A15" s="34">
        <v>0</v>
      </c>
      <c r="I15" s="17">
        <f>Calendar!B31</f>
        <v>46381</v>
      </c>
      <c r="J15" s="15">
        <f t="shared" si="2"/>
        <v>46381</v>
      </c>
    </row>
    <row r="16" spans="1:42" ht="15.75" thickBot="1">
      <c r="F16" t="s">
        <v>479</v>
      </c>
      <c r="I16" s="17">
        <f>Calendar!B32</f>
        <v>0</v>
      </c>
      <c r="J16" s="15">
        <f t="shared" si="2"/>
        <v>0</v>
      </c>
    </row>
    <row r="17" spans="1:10" ht="15.75" thickBot="1">
      <c r="A17">
        <v>2012</v>
      </c>
      <c r="B17">
        <f>A17/4</f>
        <v>503</v>
      </c>
      <c r="C17">
        <f>IF(B17=TRUNC(B17),1,0)</f>
        <v>1</v>
      </c>
      <c r="D17">
        <f>A17/100</f>
        <v>20.12</v>
      </c>
      <c r="E17">
        <f>IF(D17=TRUNC(D17),1,0)</f>
        <v>0</v>
      </c>
      <c r="F17">
        <f>IF(E17=0,IF(C17=1,1,0),0)</f>
        <v>1</v>
      </c>
      <c r="H17" s="4">
        <f>LOOKUP(YEAR(Admin!B3),A17:A118,F17:F118)</f>
        <v>0</v>
      </c>
      <c r="I17" s="17">
        <f>Calendar!B33</f>
        <v>0</v>
      </c>
      <c r="J17" s="15">
        <f t="shared" si="2"/>
        <v>0</v>
      </c>
    </row>
    <row r="18" spans="1:10">
      <c r="A18">
        <v>2013</v>
      </c>
      <c r="B18">
        <f t="shared" ref="B18:B81" si="3">A18/4</f>
        <v>503.25</v>
      </c>
      <c r="C18">
        <f t="shared" ref="C18:C81" si="4">IF(B18=TRUNC(B18),1,0)</f>
        <v>0</v>
      </c>
      <c r="D18">
        <f t="shared" ref="D18:D81" si="5">A18/100</f>
        <v>20.13</v>
      </c>
      <c r="E18">
        <f t="shared" ref="E18:E81" si="6">IF(D18=TRUNC(D18),1,0)</f>
        <v>0</v>
      </c>
      <c r="F18">
        <f t="shared" ref="F18:F81" si="7">IF(E18=0,IF(C18=1,1,0),0)</f>
        <v>0</v>
      </c>
      <c r="I18" s="17"/>
      <c r="J18" s="15"/>
    </row>
    <row r="19" spans="1:10">
      <c r="A19">
        <v>2014</v>
      </c>
      <c r="B19">
        <f t="shared" si="3"/>
        <v>503.5</v>
      </c>
      <c r="C19">
        <f t="shared" si="4"/>
        <v>0</v>
      </c>
      <c r="D19">
        <f t="shared" si="5"/>
        <v>20.14</v>
      </c>
      <c r="E19">
        <f t="shared" si="6"/>
        <v>0</v>
      </c>
      <c r="F19">
        <f t="shared" si="7"/>
        <v>0</v>
      </c>
      <c r="I19" s="17">
        <f>Calendar!B35</f>
        <v>46043</v>
      </c>
      <c r="J19" s="15">
        <f t="shared" ref="J19:J53" si="8">I19</f>
        <v>46043</v>
      </c>
    </row>
    <row r="20" spans="1:10">
      <c r="A20">
        <v>2015</v>
      </c>
      <c r="B20">
        <f t="shared" si="3"/>
        <v>503.75</v>
      </c>
      <c r="C20">
        <f t="shared" si="4"/>
        <v>0</v>
      </c>
      <c r="D20">
        <f t="shared" si="5"/>
        <v>20.149999999999999</v>
      </c>
      <c r="E20">
        <f t="shared" si="6"/>
        <v>0</v>
      </c>
      <c r="F20">
        <f t="shared" si="7"/>
        <v>0</v>
      </c>
      <c r="I20" s="17">
        <f>Calendar!B36</f>
        <v>46044</v>
      </c>
      <c r="J20" s="15">
        <f t="shared" si="8"/>
        <v>46044</v>
      </c>
    </row>
    <row r="21" spans="1:10">
      <c r="A21">
        <v>2016</v>
      </c>
      <c r="B21">
        <f t="shared" si="3"/>
        <v>504</v>
      </c>
      <c r="C21">
        <f t="shared" si="4"/>
        <v>1</v>
      </c>
      <c r="D21">
        <f t="shared" si="5"/>
        <v>20.16</v>
      </c>
      <c r="E21">
        <f t="shared" si="6"/>
        <v>0</v>
      </c>
      <c r="F21">
        <f t="shared" si="7"/>
        <v>1</v>
      </c>
      <c r="I21" s="17">
        <f>Calendar!B37</f>
        <v>46055</v>
      </c>
      <c r="J21" s="15">
        <f t="shared" si="8"/>
        <v>46055</v>
      </c>
    </row>
    <row r="22" spans="1:10">
      <c r="A22">
        <v>2017</v>
      </c>
      <c r="B22">
        <f t="shared" si="3"/>
        <v>504.25</v>
      </c>
      <c r="C22">
        <f t="shared" si="4"/>
        <v>0</v>
      </c>
      <c r="D22">
        <f t="shared" si="5"/>
        <v>20.170000000000002</v>
      </c>
      <c r="E22">
        <f t="shared" si="6"/>
        <v>0</v>
      </c>
      <c r="F22">
        <f t="shared" si="7"/>
        <v>0</v>
      </c>
      <c r="I22" s="17">
        <f>Calendar!B38</f>
        <v>46065</v>
      </c>
      <c r="J22" s="15">
        <f t="shared" si="8"/>
        <v>46065</v>
      </c>
    </row>
    <row r="23" spans="1:10">
      <c r="A23">
        <v>2018</v>
      </c>
      <c r="B23">
        <f t="shared" si="3"/>
        <v>504.5</v>
      </c>
      <c r="C23">
        <f t="shared" si="4"/>
        <v>0</v>
      </c>
      <c r="D23">
        <f t="shared" si="5"/>
        <v>20.18</v>
      </c>
      <c r="E23">
        <f t="shared" si="6"/>
        <v>0</v>
      </c>
      <c r="F23">
        <f t="shared" si="7"/>
        <v>0</v>
      </c>
      <c r="I23" s="17">
        <f>Calendar!B39</f>
        <v>46067</v>
      </c>
      <c r="J23" s="15">
        <f t="shared" si="8"/>
        <v>46067</v>
      </c>
    </row>
    <row r="24" spans="1:10">
      <c r="A24">
        <v>2019</v>
      </c>
      <c r="B24">
        <f t="shared" si="3"/>
        <v>504.75</v>
      </c>
      <c r="C24">
        <f t="shared" si="4"/>
        <v>0</v>
      </c>
      <c r="D24">
        <f t="shared" si="5"/>
        <v>20.190000000000001</v>
      </c>
      <c r="E24">
        <f t="shared" si="6"/>
        <v>0</v>
      </c>
      <c r="F24">
        <f t="shared" si="7"/>
        <v>0</v>
      </c>
      <c r="I24" s="17">
        <f>Calendar!B40</f>
        <v>46070</v>
      </c>
      <c r="J24" s="15">
        <f t="shared" si="8"/>
        <v>46070</v>
      </c>
    </row>
    <row r="25" spans="1:10">
      <c r="A25">
        <v>2020</v>
      </c>
      <c r="B25">
        <f t="shared" si="3"/>
        <v>505</v>
      </c>
      <c r="C25">
        <f t="shared" si="4"/>
        <v>1</v>
      </c>
      <c r="D25">
        <f t="shared" si="5"/>
        <v>20.2</v>
      </c>
      <c r="E25">
        <f t="shared" si="6"/>
        <v>0</v>
      </c>
      <c r="F25">
        <f t="shared" si="7"/>
        <v>1</v>
      </c>
      <c r="I25" s="17">
        <f>Calendar!B41</f>
        <v>46082</v>
      </c>
      <c r="J25" s="15">
        <f t="shared" si="8"/>
        <v>46082</v>
      </c>
    </row>
    <row r="26" spans="1:10">
      <c r="A26">
        <v>2021</v>
      </c>
      <c r="B26">
        <f t="shared" si="3"/>
        <v>505.25</v>
      </c>
      <c r="C26">
        <f t="shared" si="4"/>
        <v>0</v>
      </c>
      <c r="D26">
        <f t="shared" si="5"/>
        <v>20.21</v>
      </c>
      <c r="E26">
        <f t="shared" si="6"/>
        <v>0</v>
      </c>
      <c r="F26">
        <f t="shared" si="7"/>
        <v>0</v>
      </c>
      <c r="I26" s="17">
        <f>Calendar!B42</f>
        <v>46089</v>
      </c>
      <c r="J26" s="15">
        <f t="shared" si="8"/>
        <v>46089</v>
      </c>
    </row>
    <row r="27" spans="1:10">
      <c r="A27">
        <v>2022</v>
      </c>
      <c r="B27">
        <f t="shared" si="3"/>
        <v>505.5</v>
      </c>
      <c r="C27">
        <f t="shared" si="4"/>
        <v>0</v>
      </c>
      <c r="D27">
        <f t="shared" si="5"/>
        <v>20.22</v>
      </c>
      <c r="E27">
        <f t="shared" si="6"/>
        <v>0</v>
      </c>
      <c r="F27">
        <f t="shared" si="7"/>
        <v>0</v>
      </c>
      <c r="I27" s="17">
        <f>Calendar!B43</f>
        <v>46091</v>
      </c>
      <c r="J27" s="15">
        <f t="shared" si="8"/>
        <v>46091</v>
      </c>
    </row>
    <row r="28" spans="1:10">
      <c r="A28">
        <v>2023</v>
      </c>
      <c r="B28">
        <f t="shared" si="3"/>
        <v>505.75</v>
      </c>
      <c r="C28">
        <f t="shared" si="4"/>
        <v>0</v>
      </c>
      <c r="D28">
        <f t="shared" si="5"/>
        <v>20.23</v>
      </c>
      <c r="E28">
        <f t="shared" si="6"/>
        <v>0</v>
      </c>
      <c r="F28">
        <f t="shared" si="7"/>
        <v>0</v>
      </c>
      <c r="I28" s="17">
        <f>Calendar!B44</f>
        <v>46101</v>
      </c>
      <c r="J28" s="15">
        <f t="shared" si="8"/>
        <v>46101</v>
      </c>
    </row>
    <row r="29" spans="1:10">
      <c r="A29">
        <v>2024</v>
      </c>
      <c r="B29">
        <f t="shared" si="3"/>
        <v>506</v>
      </c>
      <c r="C29">
        <f t="shared" si="4"/>
        <v>1</v>
      </c>
      <c r="D29">
        <f t="shared" si="5"/>
        <v>20.239999999999998</v>
      </c>
      <c r="E29">
        <f t="shared" si="6"/>
        <v>0</v>
      </c>
      <c r="F29">
        <f t="shared" si="7"/>
        <v>1</v>
      </c>
      <c r="I29" s="17">
        <f>Calendar!B45</f>
        <v>46110</v>
      </c>
      <c r="J29" s="15">
        <f t="shared" si="8"/>
        <v>46110</v>
      </c>
    </row>
    <row r="30" spans="1:10">
      <c r="A30">
        <v>2025</v>
      </c>
      <c r="B30">
        <f t="shared" si="3"/>
        <v>506.25</v>
      </c>
      <c r="C30">
        <f t="shared" si="4"/>
        <v>0</v>
      </c>
      <c r="D30">
        <f t="shared" si="5"/>
        <v>20.25</v>
      </c>
      <c r="E30">
        <f t="shared" si="6"/>
        <v>0</v>
      </c>
      <c r="F30">
        <f t="shared" si="7"/>
        <v>0</v>
      </c>
      <c r="I30" s="17">
        <f>Calendar!B46</f>
        <v>46113</v>
      </c>
      <c r="J30" s="15">
        <f t="shared" si="8"/>
        <v>46113</v>
      </c>
    </row>
    <row r="31" spans="1:10">
      <c r="A31">
        <v>2026</v>
      </c>
      <c r="B31">
        <f t="shared" si="3"/>
        <v>506.5</v>
      </c>
      <c r="C31">
        <f t="shared" si="4"/>
        <v>0</v>
      </c>
      <c r="D31">
        <f t="shared" si="5"/>
        <v>20.260000000000002</v>
      </c>
      <c r="E31">
        <f t="shared" si="6"/>
        <v>0</v>
      </c>
      <c r="F31">
        <f t="shared" si="7"/>
        <v>0</v>
      </c>
      <c r="I31" s="17">
        <f>Calendar!B47</f>
        <v>46116</v>
      </c>
      <c r="J31" s="15">
        <f t="shared" si="8"/>
        <v>46116</v>
      </c>
    </row>
    <row r="32" spans="1:10">
      <c r="A32">
        <v>2027</v>
      </c>
      <c r="B32">
        <f t="shared" si="3"/>
        <v>506.75</v>
      </c>
      <c r="C32">
        <f t="shared" si="4"/>
        <v>0</v>
      </c>
      <c r="D32">
        <f t="shared" si="5"/>
        <v>20.27</v>
      </c>
      <c r="E32">
        <f t="shared" si="6"/>
        <v>0</v>
      </c>
      <c r="F32">
        <f t="shared" si="7"/>
        <v>0</v>
      </c>
      <c r="I32" s="17">
        <f>Calendar!B48</f>
        <v>46124</v>
      </c>
      <c r="J32" s="15">
        <f t="shared" si="8"/>
        <v>46124</v>
      </c>
    </row>
    <row r="33" spans="1:10">
      <c r="A33">
        <v>2028</v>
      </c>
      <c r="B33">
        <f t="shared" si="3"/>
        <v>507</v>
      </c>
      <c r="C33">
        <f t="shared" si="4"/>
        <v>1</v>
      </c>
      <c r="D33">
        <f t="shared" si="5"/>
        <v>20.28</v>
      </c>
      <c r="E33">
        <f t="shared" si="6"/>
        <v>0</v>
      </c>
      <c r="F33">
        <f t="shared" si="7"/>
        <v>1</v>
      </c>
      <c r="I33" s="17">
        <f>Calendar!B49</f>
        <v>46134</v>
      </c>
      <c r="J33" s="15">
        <f t="shared" si="8"/>
        <v>46134</v>
      </c>
    </row>
    <row r="34" spans="1:10">
      <c r="A34">
        <v>2029</v>
      </c>
      <c r="B34">
        <f t="shared" si="3"/>
        <v>507.25</v>
      </c>
      <c r="C34">
        <f t="shared" si="4"/>
        <v>0</v>
      </c>
      <c r="D34">
        <f t="shared" si="5"/>
        <v>20.29</v>
      </c>
      <c r="E34">
        <f t="shared" si="6"/>
        <v>0</v>
      </c>
      <c r="F34">
        <f t="shared" si="7"/>
        <v>0</v>
      </c>
      <c r="I34" s="17">
        <f>Calendar!B50</f>
        <v>46144</v>
      </c>
      <c r="J34" s="15">
        <f t="shared" si="8"/>
        <v>46144</v>
      </c>
    </row>
    <row r="35" spans="1:10">
      <c r="A35">
        <v>2030</v>
      </c>
      <c r="B35">
        <f t="shared" si="3"/>
        <v>507.5</v>
      </c>
      <c r="C35">
        <f t="shared" si="4"/>
        <v>0</v>
      </c>
      <c r="D35">
        <f t="shared" si="5"/>
        <v>20.3</v>
      </c>
      <c r="E35">
        <f t="shared" si="6"/>
        <v>0</v>
      </c>
      <c r="F35">
        <f t="shared" si="7"/>
        <v>0</v>
      </c>
      <c r="I35" s="17">
        <f>Calendar!B51</f>
        <v>46159</v>
      </c>
      <c r="J35" s="15">
        <f t="shared" si="8"/>
        <v>46159</v>
      </c>
    </row>
    <row r="36" spans="1:10">
      <c r="A36">
        <v>2031</v>
      </c>
      <c r="B36">
        <f t="shared" si="3"/>
        <v>507.75</v>
      </c>
      <c r="C36">
        <f t="shared" si="4"/>
        <v>0</v>
      </c>
      <c r="D36">
        <f t="shared" si="5"/>
        <v>20.309999999999999</v>
      </c>
      <c r="E36">
        <f t="shared" si="6"/>
        <v>0</v>
      </c>
      <c r="F36">
        <f t="shared" si="7"/>
        <v>0</v>
      </c>
      <c r="I36" s="17">
        <f>Calendar!B52</f>
        <v>46168</v>
      </c>
      <c r="J36" s="15">
        <f t="shared" si="8"/>
        <v>46168</v>
      </c>
    </row>
    <row r="37" spans="1:10">
      <c r="A37">
        <v>2032</v>
      </c>
      <c r="B37">
        <f t="shared" si="3"/>
        <v>508</v>
      </c>
      <c r="C37">
        <f t="shared" si="4"/>
        <v>1</v>
      </c>
      <c r="D37">
        <f t="shared" si="5"/>
        <v>20.32</v>
      </c>
      <c r="E37">
        <f t="shared" si="6"/>
        <v>0</v>
      </c>
      <c r="F37">
        <f t="shared" si="7"/>
        <v>1</v>
      </c>
      <c r="I37" s="17">
        <f>Calendar!B53</f>
        <v>46174</v>
      </c>
      <c r="J37" s="15">
        <f t="shared" si="8"/>
        <v>46174</v>
      </c>
    </row>
    <row r="38" spans="1:10">
      <c r="A38">
        <v>2033</v>
      </c>
      <c r="B38">
        <f t="shared" si="3"/>
        <v>508.25</v>
      </c>
      <c r="C38">
        <f t="shared" si="4"/>
        <v>0</v>
      </c>
      <c r="D38">
        <f t="shared" si="5"/>
        <v>20.329999999999998</v>
      </c>
      <c r="E38">
        <f t="shared" si="6"/>
        <v>0</v>
      </c>
      <c r="F38">
        <f t="shared" si="7"/>
        <v>0</v>
      </c>
      <c r="I38" s="17">
        <f>Calendar!B54</f>
        <v>46194</v>
      </c>
      <c r="J38" s="15">
        <f t="shared" si="8"/>
        <v>46194</v>
      </c>
    </row>
    <row r="39" spans="1:10">
      <c r="A39">
        <v>2034</v>
      </c>
      <c r="B39">
        <f t="shared" si="3"/>
        <v>508.5</v>
      </c>
      <c r="C39">
        <f t="shared" si="4"/>
        <v>0</v>
      </c>
      <c r="D39">
        <f t="shared" si="5"/>
        <v>20.34</v>
      </c>
      <c r="E39">
        <f t="shared" si="6"/>
        <v>0</v>
      </c>
      <c r="F39">
        <f t="shared" si="7"/>
        <v>0</v>
      </c>
      <c r="I39" s="17">
        <f>Calendar!B55</f>
        <v>46196</v>
      </c>
      <c r="J39" s="15">
        <f t="shared" si="8"/>
        <v>46196</v>
      </c>
    </row>
    <row r="40" spans="1:10">
      <c r="A40">
        <v>2035</v>
      </c>
      <c r="B40">
        <f t="shared" si="3"/>
        <v>508.75</v>
      </c>
      <c r="C40">
        <f t="shared" si="4"/>
        <v>0</v>
      </c>
      <c r="D40">
        <f t="shared" si="5"/>
        <v>20.350000000000001</v>
      </c>
      <c r="E40">
        <f t="shared" si="6"/>
        <v>0</v>
      </c>
      <c r="F40">
        <f t="shared" si="7"/>
        <v>0</v>
      </c>
      <c r="I40" s="17">
        <f>Calendar!B56</f>
        <v>46235</v>
      </c>
      <c r="J40" s="15">
        <f t="shared" si="8"/>
        <v>46235</v>
      </c>
    </row>
    <row r="41" spans="1:10">
      <c r="A41">
        <v>2036</v>
      </c>
      <c r="B41">
        <f t="shared" si="3"/>
        <v>509</v>
      </c>
      <c r="C41">
        <f t="shared" si="4"/>
        <v>1</v>
      </c>
      <c r="D41">
        <f t="shared" si="5"/>
        <v>20.36</v>
      </c>
      <c r="E41">
        <f t="shared" si="6"/>
        <v>0</v>
      </c>
      <c r="F41">
        <f t="shared" si="7"/>
        <v>1</v>
      </c>
      <c r="I41" s="17">
        <f>Calendar!B57</f>
        <v>46265</v>
      </c>
      <c r="J41" s="15">
        <f t="shared" si="8"/>
        <v>46265</v>
      </c>
    </row>
    <row r="42" spans="1:10">
      <c r="A42">
        <v>2037</v>
      </c>
      <c r="B42">
        <f t="shared" si="3"/>
        <v>509.25</v>
      </c>
      <c r="C42">
        <f t="shared" si="4"/>
        <v>0</v>
      </c>
      <c r="D42">
        <f t="shared" si="5"/>
        <v>20.37</v>
      </c>
      <c r="E42">
        <f t="shared" si="6"/>
        <v>0</v>
      </c>
      <c r="F42">
        <f t="shared" si="7"/>
        <v>0</v>
      </c>
      <c r="I42" s="17">
        <f>Calendar!B58</f>
        <v>46288</v>
      </c>
      <c r="J42" s="15">
        <f t="shared" si="8"/>
        <v>46288</v>
      </c>
    </row>
    <row r="43" spans="1:10">
      <c r="A43">
        <v>2038</v>
      </c>
      <c r="B43">
        <f t="shared" si="3"/>
        <v>509.5</v>
      </c>
      <c r="C43">
        <f t="shared" si="4"/>
        <v>0</v>
      </c>
      <c r="D43">
        <f t="shared" si="5"/>
        <v>20.38</v>
      </c>
      <c r="E43">
        <f t="shared" si="6"/>
        <v>0</v>
      </c>
      <c r="F43">
        <f t="shared" si="7"/>
        <v>0</v>
      </c>
      <c r="I43" s="17">
        <f>Calendar!B59</f>
        <v>46295</v>
      </c>
      <c r="J43" s="15">
        <f t="shared" si="8"/>
        <v>46295</v>
      </c>
    </row>
    <row r="44" spans="1:10">
      <c r="A44">
        <v>2039</v>
      </c>
      <c r="B44">
        <f t="shared" si="3"/>
        <v>509.75</v>
      </c>
      <c r="C44">
        <f t="shared" si="4"/>
        <v>0</v>
      </c>
      <c r="D44">
        <f t="shared" si="5"/>
        <v>20.39</v>
      </c>
      <c r="E44">
        <f t="shared" si="6"/>
        <v>0</v>
      </c>
      <c r="F44">
        <f t="shared" si="7"/>
        <v>0</v>
      </c>
      <c r="I44" s="17">
        <f>Calendar!B60</f>
        <v>46309</v>
      </c>
      <c r="J44" s="15">
        <f t="shared" si="8"/>
        <v>46309</v>
      </c>
    </row>
    <row r="45" spans="1:10">
      <c r="A45">
        <v>2040</v>
      </c>
      <c r="B45">
        <f t="shared" si="3"/>
        <v>510</v>
      </c>
      <c r="C45">
        <f t="shared" si="4"/>
        <v>1</v>
      </c>
      <c r="D45">
        <f t="shared" si="5"/>
        <v>20.399999999999999</v>
      </c>
      <c r="E45">
        <f t="shared" si="6"/>
        <v>0</v>
      </c>
      <c r="F45">
        <f t="shared" si="7"/>
        <v>1</v>
      </c>
      <c r="I45" s="17">
        <f>Calendar!B61</f>
        <v>46320</v>
      </c>
      <c r="J45" s="15">
        <f t="shared" si="8"/>
        <v>46320</v>
      </c>
    </row>
    <row r="46" spans="1:10">
      <c r="A46">
        <v>2041</v>
      </c>
      <c r="B46">
        <f t="shared" si="3"/>
        <v>510.25</v>
      </c>
      <c r="C46">
        <f t="shared" si="4"/>
        <v>0</v>
      </c>
      <c r="D46">
        <f t="shared" si="5"/>
        <v>20.41</v>
      </c>
      <c r="E46">
        <f t="shared" si="6"/>
        <v>0</v>
      </c>
      <c r="F46">
        <f t="shared" si="7"/>
        <v>0</v>
      </c>
      <c r="I46" s="17">
        <f>Calendar!B62</f>
        <v>46328</v>
      </c>
      <c r="J46" s="15">
        <f t="shared" si="8"/>
        <v>46328</v>
      </c>
    </row>
    <row r="47" spans="1:10">
      <c r="A47">
        <v>2042</v>
      </c>
      <c r="B47">
        <f t="shared" si="3"/>
        <v>510.5</v>
      </c>
      <c r="C47">
        <f t="shared" si="4"/>
        <v>0</v>
      </c>
      <c r="D47">
        <f t="shared" si="5"/>
        <v>20.420000000000002</v>
      </c>
      <c r="E47">
        <f t="shared" si="6"/>
        <v>0</v>
      </c>
      <c r="F47">
        <f t="shared" si="7"/>
        <v>0</v>
      </c>
      <c r="I47" s="17">
        <f>Calendar!B63</f>
        <v>46355</v>
      </c>
      <c r="J47" s="15">
        <f t="shared" si="8"/>
        <v>46355</v>
      </c>
    </row>
    <row r="48" spans="1:10">
      <c r="A48">
        <v>2043</v>
      </c>
      <c r="B48">
        <f t="shared" si="3"/>
        <v>510.75</v>
      </c>
      <c r="C48">
        <f t="shared" si="4"/>
        <v>0</v>
      </c>
      <c r="D48">
        <f t="shared" si="5"/>
        <v>20.43</v>
      </c>
      <c r="E48">
        <f t="shared" si="6"/>
        <v>0</v>
      </c>
      <c r="F48">
        <f t="shared" si="7"/>
        <v>0</v>
      </c>
      <c r="I48" s="17">
        <f>Calendar!B64</f>
        <v>46360</v>
      </c>
      <c r="J48" s="15">
        <f t="shared" si="8"/>
        <v>46360</v>
      </c>
    </row>
    <row r="49" spans="1:10">
      <c r="A49">
        <v>2044</v>
      </c>
      <c r="B49">
        <f t="shared" si="3"/>
        <v>511</v>
      </c>
      <c r="C49">
        <f t="shared" si="4"/>
        <v>1</v>
      </c>
      <c r="D49">
        <f t="shared" si="5"/>
        <v>20.440000000000001</v>
      </c>
      <c r="E49">
        <f t="shared" si="6"/>
        <v>0</v>
      </c>
      <c r="F49">
        <f t="shared" si="7"/>
        <v>1</v>
      </c>
      <c r="I49" s="17">
        <f>Calendar!B65</f>
        <v>46362</v>
      </c>
      <c r="J49" s="15">
        <f t="shared" si="8"/>
        <v>46362</v>
      </c>
    </row>
    <row r="50" spans="1:10">
      <c r="A50">
        <v>2045</v>
      </c>
      <c r="B50">
        <f t="shared" si="3"/>
        <v>511.25</v>
      </c>
      <c r="C50">
        <f t="shared" si="4"/>
        <v>0</v>
      </c>
      <c r="D50">
        <f t="shared" si="5"/>
        <v>20.45</v>
      </c>
      <c r="E50">
        <f t="shared" si="6"/>
        <v>0</v>
      </c>
      <c r="F50">
        <f t="shared" si="7"/>
        <v>0</v>
      </c>
      <c r="I50" s="17">
        <f>Calendar!B66</f>
        <v>46377</v>
      </c>
      <c r="J50" s="15">
        <f t="shared" si="8"/>
        <v>46377</v>
      </c>
    </row>
    <row r="51" spans="1:10">
      <c r="A51">
        <v>2046</v>
      </c>
      <c r="B51">
        <f t="shared" si="3"/>
        <v>511.5</v>
      </c>
      <c r="C51">
        <f t="shared" si="4"/>
        <v>0</v>
      </c>
      <c r="D51">
        <f t="shared" si="5"/>
        <v>20.46</v>
      </c>
      <c r="E51">
        <f t="shared" si="6"/>
        <v>0</v>
      </c>
      <c r="F51">
        <f t="shared" si="7"/>
        <v>0</v>
      </c>
      <c r="I51" s="17">
        <f>Calendar!B67</f>
        <v>46380</v>
      </c>
      <c r="J51" s="15">
        <f t="shared" si="8"/>
        <v>46380</v>
      </c>
    </row>
    <row r="52" spans="1:10">
      <c r="A52">
        <v>2047</v>
      </c>
      <c r="B52">
        <f t="shared" si="3"/>
        <v>511.75</v>
      </c>
      <c r="C52">
        <f t="shared" si="4"/>
        <v>0</v>
      </c>
      <c r="D52">
        <f t="shared" si="5"/>
        <v>20.47</v>
      </c>
      <c r="E52">
        <f t="shared" si="6"/>
        <v>0</v>
      </c>
      <c r="F52">
        <f t="shared" si="7"/>
        <v>0</v>
      </c>
      <c r="I52" s="17">
        <f>Calendar!B68</f>
        <v>46383</v>
      </c>
      <c r="J52" s="15">
        <f t="shared" si="8"/>
        <v>46383</v>
      </c>
    </row>
    <row r="53" spans="1:10">
      <c r="A53">
        <v>2048</v>
      </c>
      <c r="B53">
        <f t="shared" si="3"/>
        <v>512</v>
      </c>
      <c r="C53">
        <f t="shared" si="4"/>
        <v>1</v>
      </c>
      <c r="D53">
        <f t="shared" si="5"/>
        <v>20.48</v>
      </c>
      <c r="E53">
        <f t="shared" si="6"/>
        <v>0</v>
      </c>
      <c r="F53">
        <f t="shared" si="7"/>
        <v>1</v>
      </c>
      <c r="I53" s="17">
        <f>Calendar!B69</f>
        <v>46387</v>
      </c>
      <c r="J53" s="15">
        <f t="shared" si="8"/>
        <v>46387</v>
      </c>
    </row>
    <row r="54" spans="1:10">
      <c r="A54">
        <v>2049</v>
      </c>
      <c r="B54">
        <f t="shared" si="3"/>
        <v>512.25</v>
      </c>
      <c r="C54">
        <f t="shared" si="4"/>
        <v>0</v>
      </c>
      <c r="D54">
        <f t="shared" si="5"/>
        <v>20.49</v>
      </c>
      <c r="E54">
        <f t="shared" si="6"/>
        <v>0</v>
      </c>
      <c r="F54">
        <f t="shared" si="7"/>
        <v>0</v>
      </c>
      <c r="I54" s="17"/>
    </row>
    <row r="55" spans="1:10">
      <c r="A55">
        <v>2050</v>
      </c>
      <c r="B55">
        <f t="shared" si="3"/>
        <v>512.5</v>
      </c>
      <c r="C55">
        <f t="shared" si="4"/>
        <v>0</v>
      </c>
      <c r="D55">
        <f t="shared" si="5"/>
        <v>20.5</v>
      </c>
      <c r="E55">
        <f t="shared" si="6"/>
        <v>0</v>
      </c>
      <c r="F55">
        <f t="shared" si="7"/>
        <v>0</v>
      </c>
      <c r="I55" s="17"/>
    </row>
    <row r="56" spans="1:10">
      <c r="A56">
        <v>2051</v>
      </c>
      <c r="B56">
        <f t="shared" si="3"/>
        <v>512.75</v>
      </c>
      <c r="C56">
        <f t="shared" si="4"/>
        <v>0</v>
      </c>
      <c r="D56">
        <f t="shared" si="5"/>
        <v>20.51</v>
      </c>
      <c r="E56">
        <f t="shared" si="6"/>
        <v>0</v>
      </c>
      <c r="F56">
        <f t="shared" si="7"/>
        <v>0</v>
      </c>
      <c r="I56" s="17"/>
    </row>
    <row r="57" spans="1:10">
      <c r="A57">
        <v>2052</v>
      </c>
      <c r="B57">
        <f t="shared" si="3"/>
        <v>513</v>
      </c>
      <c r="C57">
        <f t="shared" si="4"/>
        <v>1</v>
      </c>
      <c r="D57">
        <f t="shared" si="5"/>
        <v>20.52</v>
      </c>
      <c r="E57">
        <f t="shared" si="6"/>
        <v>0</v>
      </c>
      <c r="F57">
        <f t="shared" si="7"/>
        <v>1</v>
      </c>
      <c r="I57" s="17"/>
    </row>
    <row r="58" spans="1:10">
      <c r="A58">
        <v>2053</v>
      </c>
      <c r="B58">
        <f t="shared" si="3"/>
        <v>513.25</v>
      </c>
      <c r="C58">
        <f t="shared" si="4"/>
        <v>0</v>
      </c>
      <c r="D58">
        <f t="shared" si="5"/>
        <v>20.53</v>
      </c>
      <c r="E58">
        <f t="shared" si="6"/>
        <v>0</v>
      </c>
      <c r="F58">
        <f t="shared" si="7"/>
        <v>0</v>
      </c>
      <c r="I58" s="17"/>
    </row>
    <row r="59" spans="1:10">
      <c r="A59">
        <v>2054</v>
      </c>
      <c r="B59">
        <f t="shared" si="3"/>
        <v>513.5</v>
      </c>
      <c r="C59">
        <f t="shared" si="4"/>
        <v>0</v>
      </c>
      <c r="D59">
        <f t="shared" si="5"/>
        <v>20.54</v>
      </c>
      <c r="E59">
        <f t="shared" si="6"/>
        <v>0</v>
      </c>
      <c r="F59">
        <f t="shared" si="7"/>
        <v>0</v>
      </c>
      <c r="I59" s="17"/>
    </row>
    <row r="60" spans="1:10">
      <c r="A60">
        <v>2055</v>
      </c>
      <c r="B60">
        <f t="shared" si="3"/>
        <v>513.75</v>
      </c>
      <c r="C60">
        <f t="shared" si="4"/>
        <v>0</v>
      </c>
      <c r="D60">
        <f t="shared" si="5"/>
        <v>20.55</v>
      </c>
      <c r="E60">
        <f t="shared" si="6"/>
        <v>0</v>
      </c>
      <c r="F60">
        <f t="shared" si="7"/>
        <v>0</v>
      </c>
      <c r="I60" s="17"/>
    </row>
    <row r="61" spans="1:10">
      <c r="A61">
        <v>2056</v>
      </c>
      <c r="B61">
        <f t="shared" si="3"/>
        <v>514</v>
      </c>
      <c r="C61">
        <f t="shared" si="4"/>
        <v>1</v>
      </c>
      <c r="D61">
        <f t="shared" si="5"/>
        <v>20.56</v>
      </c>
      <c r="E61">
        <f t="shared" si="6"/>
        <v>0</v>
      </c>
      <c r="F61">
        <f t="shared" si="7"/>
        <v>1</v>
      </c>
      <c r="I61" s="17"/>
    </row>
    <row r="62" spans="1:10">
      <c r="A62">
        <v>2057</v>
      </c>
      <c r="B62">
        <f t="shared" si="3"/>
        <v>514.25</v>
      </c>
      <c r="C62">
        <f t="shared" si="4"/>
        <v>0</v>
      </c>
      <c r="D62">
        <f t="shared" si="5"/>
        <v>20.57</v>
      </c>
      <c r="E62">
        <f t="shared" si="6"/>
        <v>0</v>
      </c>
      <c r="F62">
        <f t="shared" si="7"/>
        <v>0</v>
      </c>
      <c r="I62" s="17"/>
    </row>
    <row r="63" spans="1:10">
      <c r="A63">
        <v>2058</v>
      </c>
      <c r="B63">
        <f t="shared" si="3"/>
        <v>514.5</v>
      </c>
      <c r="C63">
        <f t="shared" si="4"/>
        <v>0</v>
      </c>
      <c r="D63">
        <f t="shared" si="5"/>
        <v>20.58</v>
      </c>
      <c r="E63">
        <f t="shared" si="6"/>
        <v>0</v>
      </c>
      <c r="F63">
        <f t="shared" si="7"/>
        <v>0</v>
      </c>
      <c r="I63" s="17"/>
    </row>
    <row r="64" spans="1:10">
      <c r="A64">
        <v>2059</v>
      </c>
      <c r="B64">
        <f t="shared" si="3"/>
        <v>514.75</v>
      </c>
      <c r="C64">
        <f t="shared" si="4"/>
        <v>0</v>
      </c>
      <c r="D64">
        <f t="shared" si="5"/>
        <v>20.59</v>
      </c>
      <c r="E64">
        <f t="shared" si="6"/>
        <v>0</v>
      </c>
      <c r="F64">
        <f t="shared" si="7"/>
        <v>0</v>
      </c>
      <c r="I64" s="17"/>
    </row>
    <row r="65" spans="1:9">
      <c r="A65">
        <v>2060</v>
      </c>
      <c r="B65">
        <f t="shared" si="3"/>
        <v>515</v>
      </c>
      <c r="C65">
        <f t="shared" si="4"/>
        <v>1</v>
      </c>
      <c r="D65">
        <f t="shared" si="5"/>
        <v>20.6</v>
      </c>
      <c r="E65">
        <f t="shared" si="6"/>
        <v>0</v>
      </c>
      <c r="F65">
        <f t="shared" si="7"/>
        <v>1</v>
      </c>
      <c r="I65" s="17"/>
    </row>
    <row r="66" spans="1:9">
      <c r="A66">
        <v>2061</v>
      </c>
      <c r="B66">
        <f t="shared" si="3"/>
        <v>515.25</v>
      </c>
      <c r="C66">
        <f t="shared" si="4"/>
        <v>0</v>
      </c>
      <c r="D66">
        <f t="shared" si="5"/>
        <v>20.61</v>
      </c>
      <c r="E66">
        <f t="shared" si="6"/>
        <v>0</v>
      </c>
      <c r="F66">
        <f t="shared" si="7"/>
        <v>0</v>
      </c>
      <c r="I66" s="17"/>
    </row>
    <row r="67" spans="1:9">
      <c r="A67">
        <v>2062</v>
      </c>
      <c r="B67">
        <f t="shared" si="3"/>
        <v>515.5</v>
      </c>
      <c r="C67">
        <f t="shared" si="4"/>
        <v>0</v>
      </c>
      <c r="D67">
        <f t="shared" si="5"/>
        <v>20.62</v>
      </c>
      <c r="E67">
        <f t="shared" si="6"/>
        <v>0</v>
      </c>
      <c r="F67">
        <f t="shared" si="7"/>
        <v>0</v>
      </c>
    </row>
    <row r="68" spans="1:9">
      <c r="A68">
        <v>2063</v>
      </c>
      <c r="B68">
        <f t="shared" si="3"/>
        <v>515.75</v>
      </c>
      <c r="C68">
        <f t="shared" si="4"/>
        <v>0</v>
      </c>
      <c r="D68">
        <f t="shared" si="5"/>
        <v>20.63</v>
      </c>
      <c r="E68">
        <f t="shared" si="6"/>
        <v>0</v>
      </c>
      <c r="F68">
        <f t="shared" si="7"/>
        <v>0</v>
      </c>
    </row>
    <row r="69" spans="1:9">
      <c r="A69">
        <v>2064</v>
      </c>
      <c r="B69">
        <f t="shared" si="3"/>
        <v>516</v>
      </c>
      <c r="C69">
        <f t="shared" si="4"/>
        <v>1</v>
      </c>
      <c r="D69">
        <f t="shared" si="5"/>
        <v>20.64</v>
      </c>
      <c r="E69">
        <f t="shared" si="6"/>
        <v>0</v>
      </c>
      <c r="F69">
        <f t="shared" si="7"/>
        <v>1</v>
      </c>
    </row>
    <row r="70" spans="1:9">
      <c r="A70">
        <v>2065</v>
      </c>
      <c r="B70">
        <f t="shared" si="3"/>
        <v>516.25</v>
      </c>
      <c r="C70">
        <f t="shared" si="4"/>
        <v>0</v>
      </c>
      <c r="D70">
        <f t="shared" si="5"/>
        <v>20.65</v>
      </c>
      <c r="E70">
        <f t="shared" si="6"/>
        <v>0</v>
      </c>
      <c r="F70">
        <f t="shared" si="7"/>
        <v>0</v>
      </c>
    </row>
    <row r="71" spans="1:9">
      <c r="A71">
        <v>2066</v>
      </c>
      <c r="B71">
        <f t="shared" si="3"/>
        <v>516.5</v>
      </c>
      <c r="C71">
        <f t="shared" si="4"/>
        <v>0</v>
      </c>
      <c r="D71">
        <f t="shared" si="5"/>
        <v>20.66</v>
      </c>
      <c r="E71">
        <f t="shared" si="6"/>
        <v>0</v>
      </c>
      <c r="F71">
        <f t="shared" si="7"/>
        <v>0</v>
      </c>
    </row>
    <row r="72" spans="1:9">
      <c r="A72">
        <v>2067</v>
      </c>
      <c r="B72">
        <f t="shared" si="3"/>
        <v>516.75</v>
      </c>
      <c r="C72">
        <f t="shared" si="4"/>
        <v>0</v>
      </c>
      <c r="D72">
        <f t="shared" si="5"/>
        <v>20.67</v>
      </c>
      <c r="E72">
        <f t="shared" si="6"/>
        <v>0</v>
      </c>
      <c r="F72">
        <f t="shared" si="7"/>
        <v>0</v>
      </c>
    </row>
    <row r="73" spans="1:9">
      <c r="A73">
        <v>2068</v>
      </c>
      <c r="B73">
        <f t="shared" si="3"/>
        <v>517</v>
      </c>
      <c r="C73">
        <f t="shared" si="4"/>
        <v>1</v>
      </c>
      <c r="D73">
        <f t="shared" si="5"/>
        <v>20.68</v>
      </c>
      <c r="E73">
        <f t="shared" si="6"/>
        <v>0</v>
      </c>
      <c r="F73">
        <f t="shared" si="7"/>
        <v>1</v>
      </c>
    </row>
    <row r="74" spans="1:9">
      <c r="A74">
        <v>2069</v>
      </c>
      <c r="B74">
        <f t="shared" si="3"/>
        <v>517.25</v>
      </c>
      <c r="C74">
        <f t="shared" si="4"/>
        <v>0</v>
      </c>
      <c r="D74">
        <f t="shared" si="5"/>
        <v>20.69</v>
      </c>
      <c r="E74">
        <f t="shared" si="6"/>
        <v>0</v>
      </c>
      <c r="F74">
        <f t="shared" si="7"/>
        <v>0</v>
      </c>
    </row>
    <row r="75" spans="1:9">
      <c r="A75">
        <v>2070</v>
      </c>
      <c r="B75">
        <f t="shared" si="3"/>
        <v>517.5</v>
      </c>
      <c r="C75">
        <f t="shared" si="4"/>
        <v>0</v>
      </c>
      <c r="D75">
        <f t="shared" si="5"/>
        <v>20.7</v>
      </c>
      <c r="E75">
        <f t="shared" si="6"/>
        <v>0</v>
      </c>
      <c r="F75">
        <f t="shared" si="7"/>
        <v>0</v>
      </c>
    </row>
    <row r="76" spans="1:9">
      <c r="A76">
        <v>2071</v>
      </c>
      <c r="B76">
        <f t="shared" si="3"/>
        <v>517.75</v>
      </c>
      <c r="C76">
        <f t="shared" si="4"/>
        <v>0</v>
      </c>
      <c r="D76">
        <f t="shared" si="5"/>
        <v>20.71</v>
      </c>
      <c r="E76">
        <f t="shared" si="6"/>
        <v>0</v>
      </c>
      <c r="F76">
        <f t="shared" si="7"/>
        <v>0</v>
      </c>
    </row>
    <row r="77" spans="1:9">
      <c r="A77">
        <v>2072</v>
      </c>
      <c r="B77">
        <f t="shared" si="3"/>
        <v>518</v>
      </c>
      <c r="C77">
        <f t="shared" si="4"/>
        <v>1</v>
      </c>
      <c r="D77">
        <f t="shared" si="5"/>
        <v>20.72</v>
      </c>
      <c r="E77">
        <f t="shared" si="6"/>
        <v>0</v>
      </c>
      <c r="F77">
        <f t="shared" si="7"/>
        <v>1</v>
      </c>
    </row>
    <row r="78" spans="1:9">
      <c r="A78">
        <v>2073</v>
      </c>
      <c r="B78">
        <f t="shared" si="3"/>
        <v>518.25</v>
      </c>
      <c r="C78">
        <f t="shared" si="4"/>
        <v>0</v>
      </c>
      <c r="D78">
        <f t="shared" si="5"/>
        <v>20.73</v>
      </c>
      <c r="E78">
        <f t="shared" si="6"/>
        <v>0</v>
      </c>
      <c r="F78">
        <f t="shared" si="7"/>
        <v>0</v>
      </c>
    </row>
    <row r="79" spans="1:9">
      <c r="A79">
        <v>2074</v>
      </c>
      <c r="B79">
        <f t="shared" si="3"/>
        <v>518.5</v>
      </c>
      <c r="C79">
        <f t="shared" si="4"/>
        <v>0</v>
      </c>
      <c r="D79">
        <f t="shared" si="5"/>
        <v>20.74</v>
      </c>
      <c r="E79">
        <f t="shared" si="6"/>
        <v>0</v>
      </c>
      <c r="F79">
        <f t="shared" si="7"/>
        <v>0</v>
      </c>
    </row>
    <row r="80" spans="1:9">
      <c r="A80">
        <v>2075</v>
      </c>
      <c r="B80">
        <f t="shared" si="3"/>
        <v>518.75</v>
      </c>
      <c r="C80">
        <f t="shared" si="4"/>
        <v>0</v>
      </c>
      <c r="D80">
        <f t="shared" si="5"/>
        <v>20.75</v>
      </c>
      <c r="E80">
        <f t="shared" si="6"/>
        <v>0</v>
      </c>
      <c r="F80">
        <f t="shared" si="7"/>
        <v>0</v>
      </c>
    </row>
    <row r="81" spans="1:6">
      <c r="A81">
        <v>2076</v>
      </c>
      <c r="B81">
        <f t="shared" si="3"/>
        <v>519</v>
      </c>
      <c r="C81">
        <f t="shared" si="4"/>
        <v>1</v>
      </c>
      <c r="D81">
        <f t="shared" si="5"/>
        <v>20.76</v>
      </c>
      <c r="E81">
        <f t="shared" si="6"/>
        <v>0</v>
      </c>
      <c r="F81">
        <f t="shared" si="7"/>
        <v>1</v>
      </c>
    </row>
    <row r="82" spans="1:6">
      <c r="A82">
        <v>2077</v>
      </c>
      <c r="B82">
        <f t="shared" ref="B82:B118" si="9">A82/4</f>
        <v>519.25</v>
      </c>
      <c r="C82">
        <f t="shared" ref="C82:C118" si="10">IF(B82=TRUNC(B82),1,0)</f>
        <v>0</v>
      </c>
      <c r="D82">
        <f t="shared" ref="D82:D118" si="11">A82/100</f>
        <v>20.77</v>
      </c>
      <c r="E82">
        <f t="shared" ref="E82:E118" si="12">IF(D82=TRUNC(D82),1,0)</f>
        <v>0</v>
      </c>
      <c r="F82">
        <f t="shared" ref="F82:F118" si="13">IF(E82=0,IF(C82=1,1,0),0)</f>
        <v>0</v>
      </c>
    </row>
    <row r="83" spans="1:6">
      <c r="A83">
        <v>2078</v>
      </c>
      <c r="B83">
        <f t="shared" si="9"/>
        <v>519.5</v>
      </c>
      <c r="C83">
        <f t="shared" si="10"/>
        <v>0</v>
      </c>
      <c r="D83">
        <f t="shared" si="11"/>
        <v>20.78</v>
      </c>
      <c r="E83">
        <f t="shared" si="12"/>
        <v>0</v>
      </c>
      <c r="F83">
        <f t="shared" si="13"/>
        <v>0</v>
      </c>
    </row>
    <row r="84" spans="1:6">
      <c r="A84">
        <v>2079</v>
      </c>
      <c r="B84">
        <f t="shared" si="9"/>
        <v>519.75</v>
      </c>
      <c r="C84">
        <f t="shared" si="10"/>
        <v>0</v>
      </c>
      <c r="D84">
        <f t="shared" si="11"/>
        <v>20.79</v>
      </c>
      <c r="E84">
        <f t="shared" si="12"/>
        <v>0</v>
      </c>
      <c r="F84">
        <f t="shared" si="13"/>
        <v>0</v>
      </c>
    </row>
    <row r="85" spans="1:6">
      <c r="A85">
        <v>2080</v>
      </c>
      <c r="B85">
        <f t="shared" si="9"/>
        <v>520</v>
      </c>
      <c r="C85">
        <f t="shared" si="10"/>
        <v>1</v>
      </c>
      <c r="D85">
        <f t="shared" si="11"/>
        <v>20.8</v>
      </c>
      <c r="E85">
        <f t="shared" si="12"/>
        <v>0</v>
      </c>
      <c r="F85">
        <f t="shared" si="13"/>
        <v>1</v>
      </c>
    </row>
    <row r="86" spans="1:6">
      <c r="A86">
        <v>2081</v>
      </c>
      <c r="B86">
        <f t="shared" si="9"/>
        <v>520.25</v>
      </c>
      <c r="C86">
        <f t="shared" si="10"/>
        <v>0</v>
      </c>
      <c r="D86">
        <f t="shared" si="11"/>
        <v>20.81</v>
      </c>
      <c r="E86">
        <f t="shared" si="12"/>
        <v>0</v>
      </c>
      <c r="F86">
        <f t="shared" si="13"/>
        <v>0</v>
      </c>
    </row>
    <row r="87" spans="1:6">
      <c r="A87">
        <v>2082</v>
      </c>
      <c r="B87">
        <f t="shared" si="9"/>
        <v>520.5</v>
      </c>
      <c r="C87">
        <f t="shared" si="10"/>
        <v>0</v>
      </c>
      <c r="D87">
        <f t="shared" si="11"/>
        <v>20.82</v>
      </c>
      <c r="E87">
        <f t="shared" si="12"/>
        <v>0</v>
      </c>
      <c r="F87">
        <f t="shared" si="13"/>
        <v>0</v>
      </c>
    </row>
    <row r="88" spans="1:6">
      <c r="A88">
        <v>2083</v>
      </c>
      <c r="B88">
        <f t="shared" si="9"/>
        <v>520.75</v>
      </c>
      <c r="C88">
        <f t="shared" si="10"/>
        <v>0</v>
      </c>
      <c r="D88">
        <f t="shared" si="11"/>
        <v>20.83</v>
      </c>
      <c r="E88">
        <f t="shared" si="12"/>
        <v>0</v>
      </c>
      <c r="F88">
        <f t="shared" si="13"/>
        <v>0</v>
      </c>
    </row>
    <row r="89" spans="1:6">
      <c r="A89">
        <v>2084</v>
      </c>
      <c r="B89">
        <f t="shared" si="9"/>
        <v>521</v>
      </c>
      <c r="C89">
        <f t="shared" si="10"/>
        <v>1</v>
      </c>
      <c r="D89">
        <f t="shared" si="11"/>
        <v>20.84</v>
      </c>
      <c r="E89">
        <f t="shared" si="12"/>
        <v>0</v>
      </c>
      <c r="F89">
        <f t="shared" si="13"/>
        <v>1</v>
      </c>
    </row>
    <row r="90" spans="1:6">
      <c r="A90">
        <v>2085</v>
      </c>
      <c r="B90">
        <f t="shared" si="9"/>
        <v>521.25</v>
      </c>
      <c r="C90">
        <f t="shared" si="10"/>
        <v>0</v>
      </c>
      <c r="D90">
        <f t="shared" si="11"/>
        <v>20.85</v>
      </c>
      <c r="E90">
        <f t="shared" si="12"/>
        <v>0</v>
      </c>
      <c r="F90">
        <f t="shared" si="13"/>
        <v>0</v>
      </c>
    </row>
    <row r="91" spans="1:6">
      <c r="A91">
        <v>2086</v>
      </c>
      <c r="B91">
        <f t="shared" si="9"/>
        <v>521.5</v>
      </c>
      <c r="C91">
        <f t="shared" si="10"/>
        <v>0</v>
      </c>
      <c r="D91">
        <f t="shared" si="11"/>
        <v>20.86</v>
      </c>
      <c r="E91">
        <f t="shared" si="12"/>
        <v>0</v>
      </c>
      <c r="F91">
        <f t="shared" si="13"/>
        <v>0</v>
      </c>
    </row>
    <row r="92" spans="1:6">
      <c r="A92">
        <v>2087</v>
      </c>
      <c r="B92">
        <f t="shared" si="9"/>
        <v>521.75</v>
      </c>
      <c r="C92">
        <f t="shared" si="10"/>
        <v>0</v>
      </c>
      <c r="D92">
        <f t="shared" si="11"/>
        <v>20.87</v>
      </c>
      <c r="E92">
        <f t="shared" si="12"/>
        <v>0</v>
      </c>
      <c r="F92">
        <f t="shared" si="13"/>
        <v>0</v>
      </c>
    </row>
    <row r="93" spans="1:6">
      <c r="A93">
        <v>2088</v>
      </c>
      <c r="B93">
        <f t="shared" si="9"/>
        <v>522</v>
      </c>
      <c r="C93">
        <f t="shared" si="10"/>
        <v>1</v>
      </c>
      <c r="D93">
        <f t="shared" si="11"/>
        <v>20.88</v>
      </c>
      <c r="E93">
        <f t="shared" si="12"/>
        <v>0</v>
      </c>
      <c r="F93">
        <f t="shared" si="13"/>
        <v>1</v>
      </c>
    </row>
    <row r="94" spans="1:6">
      <c r="A94">
        <v>2089</v>
      </c>
      <c r="B94">
        <f t="shared" si="9"/>
        <v>522.25</v>
      </c>
      <c r="C94">
        <f t="shared" si="10"/>
        <v>0</v>
      </c>
      <c r="D94">
        <f t="shared" si="11"/>
        <v>20.89</v>
      </c>
      <c r="E94">
        <f t="shared" si="12"/>
        <v>0</v>
      </c>
      <c r="F94">
        <f t="shared" si="13"/>
        <v>0</v>
      </c>
    </row>
    <row r="95" spans="1:6">
      <c r="A95">
        <v>2090</v>
      </c>
      <c r="B95">
        <f t="shared" si="9"/>
        <v>522.5</v>
      </c>
      <c r="C95">
        <f t="shared" si="10"/>
        <v>0</v>
      </c>
      <c r="D95">
        <f t="shared" si="11"/>
        <v>20.9</v>
      </c>
      <c r="E95">
        <f t="shared" si="12"/>
        <v>0</v>
      </c>
      <c r="F95">
        <f t="shared" si="13"/>
        <v>0</v>
      </c>
    </row>
    <row r="96" spans="1:6">
      <c r="A96">
        <v>2091</v>
      </c>
      <c r="B96">
        <f t="shared" si="9"/>
        <v>522.75</v>
      </c>
      <c r="C96">
        <f t="shared" si="10"/>
        <v>0</v>
      </c>
      <c r="D96">
        <f t="shared" si="11"/>
        <v>20.91</v>
      </c>
      <c r="E96">
        <f t="shared" si="12"/>
        <v>0</v>
      </c>
      <c r="F96">
        <f t="shared" si="13"/>
        <v>0</v>
      </c>
    </row>
    <row r="97" spans="1:6">
      <c r="A97">
        <v>2092</v>
      </c>
      <c r="B97">
        <f t="shared" si="9"/>
        <v>523</v>
      </c>
      <c r="C97">
        <f t="shared" si="10"/>
        <v>1</v>
      </c>
      <c r="D97">
        <f t="shared" si="11"/>
        <v>20.92</v>
      </c>
      <c r="E97">
        <f t="shared" si="12"/>
        <v>0</v>
      </c>
      <c r="F97">
        <f t="shared" si="13"/>
        <v>1</v>
      </c>
    </row>
    <row r="98" spans="1:6">
      <c r="A98">
        <v>2093</v>
      </c>
      <c r="B98">
        <f t="shared" si="9"/>
        <v>523.25</v>
      </c>
      <c r="C98">
        <f t="shared" si="10"/>
        <v>0</v>
      </c>
      <c r="D98">
        <f t="shared" si="11"/>
        <v>20.93</v>
      </c>
      <c r="E98">
        <f t="shared" si="12"/>
        <v>0</v>
      </c>
      <c r="F98">
        <f t="shared" si="13"/>
        <v>0</v>
      </c>
    </row>
    <row r="99" spans="1:6">
      <c r="A99">
        <v>2094</v>
      </c>
      <c r="B99">
        <f t="shared" si="9"/>
        <v>523.5</v>
      </c>
      <c r="C99">
        <f t="shared" si="10"/>
        <v>0</v>
      </c>
      <c r="D99">
        <f t="shared" si="11"/>
        <v>20.94</v>
      </c>
      <c r="E99">
        <f t="shared" si="12"/>
        <v>0</v>
      </c>
      <c r="F99">
        <f t="shared" si="13"/>
        <v>0</v>
      </c>
    </row>
    <row r="100" spans="1:6">
      <c r="A100">
        <v>2095</v>
      </c>
      <c r="B100">
        <f t="shared" si="9"/>
        <v>523.75</v>
      </c>
      <c r="C100">
        <f t="shared" si="10"/>
        <v>0</v>
      </c>
      <c r="D100">
        <f t="shared" si="11"/>
        <v>20.95</v>
      </c>
      <c r="E100">
        <f t="shared" si="12"/>
        <v>0</v>
      </c>
      <c r="F100">
        <f t="shared" si="13"/>
        <v>0</v>
      </c>
    </row>
    <row r="101" spans="1:6">
      <c r="A101">
        <v>2096</v>
      </c>
      <c r="B101">
        <f t="shared" si="9"/>
        <v>524</v>
      </c>
      <c r="C101">
        <f t="shared" si="10"/>
        <v>1</v>
      </c>
      <c r="D101">
        <f t="shared" si="11"/>
        <v>20.96</v>
      </c>
      <c r="E101">
        <f t="shared" si="12"/>
        <v>0</v>
      </c>
      <c r="F101">
        <f t="shared" si="13"/>
        <v>1</v>
      </c>
    </row>
    <row r="102" spans="1:6">
      <c r="A102">
        <v>2097</v>
      </c>
      <c r="B102">
        <f t="shared" si="9"/>
        <v>524.25</v>
      </c>
      <c r="C102">
        <f t="shared" si="10"/>
        <v>0</v>
      </c>
      <c r="D102">
        <f t="shared" si="11"/>
        <v>20.97</v>
      </c>
      <c r="E102">
        <f t="shared" si="12"/>
        <v>0</v>
      </c>
      <c r="F102">
        <f t="shared" si="13"/>
        <v>0</v>
      </c>
    </row>
    <row r="103" spans="1:6">
      <c r="A103">
        <v>2098</v>
      </c>
      <c r="B103">
        <f t="shared" si="9"/>
        <v>524.5</v>
      </c>
      <c r="C103">
        <f t="shared" si="10"/>
        <v>0</v>
      </c>
      <c r="D103">
        <f t="shared" si="11"/>
        <v>20.98</v>
      </c>
      <c r="E103">
        <f t="shared" si="12"/>
        <v>0</v>
      </c>
      <c r="F103">
        <f t="shared" si="13"/>
        <v>0</v>
      </c>
    </row>
    <row r="104" spans="1:6">
      <c r="A104">
        <v>2099</v>
      </c>
      <c r="B104">
        <f t="shared" si="9"/>
        <v>524.75</v>
      </c>
      <c r="C104">
        <f t="shared" si="10"/>
        <v>0</v>
      </c>
      <c r="D104">
        <f t="shared" si="11"/>
        <v>20.99</v>
      </c>
      <c r="E104">
        <f t="shared" si="12"/>
        <v>0</v>
      </c>
      <c r="F104">
        <f t="shared" si="13"/>
        <v>0</v>
      </c>
    </row>
    <row r="105" spans="1:6">
      <c r="A105">
        <v>2100</v>
      </c>
      <c r="B105">
        <f t="shared" si="9"/>
        <v>525</v>
      </c>
      <c r="C105">
        <f t="shared" si="10"/>
        <v>1</v>
      </c>
      <c r="D105">
        <f t="shared" si="11"/>
        <v>21</v>
      </c>
      <c r="E105">
        <f t="shared" si="12"/>
        <v>1</v>
      </c>
      <c r="F105">
        <f t="shared" si="13"/>
        <v>0</v>
      </c>
    </row>
    <row r="106" spans="1:6">
      <c r="A106">
        <v>2101</v>
      </c>
      <c r="B106">
        <f t="shared" si="9"/>
        <v>525.25</v>
      </c>
      <c r="C106">
        <f t="shared" si="10"/>
        <v>0</v>
      </c>
      <c r="D106">
        <f t="shared" si="11"/>
        <v>21.01</v>
      </c>
      <c r="E106">
        <f t="shared" si="12"/>
        <v>0</v>
      </c>
      <c r="F106">
        <f t="shared" si="13"/>
        <v>0</v>
      </c>
    </row>
    <row r="107" spans="1:6">
      <c r="A107">
        <v>2102</v>
      </c>
      <c r="B107">
        <f t="shared" si="9"/>
        <v>525.5</v>
      </c>
      <c r="C107">
        <f t="shared" si="10"/>
        <v>0</v>
      </c>
      <c r="D107">
        <f t="shared" si="11"/>
        <v>21.02</v>
      </c>
      <c r="E107">
        <f t="shared" si="12"/>
        <v>0</v>
      </c>
      <c r="F107">
        <f t="shared" si="13"/>
        <v>0</v>
      </c>
    </row>
    <row r="108" spans="1:6">
      <c r="A108">
        <v>2103</v>
      </c>
      <c r="B108">
        <f t="shared" si="9"/>
        <v>525.75</v>
      </c>
      <c r="C108">
        <f t="shared" si="10"/>
        <v>0</v>
      </c>
      <c r="D108">
        <f t="shared" si="11"/>
        <v>21.03</v>
      </c>
      <c r="E108">
        <f t="shared" si="12"/>
        <v>0</v>
      </c>
      <c r="F108">
        <f t="shared" si="13"/>
        <v>0</v>
      </c>
    </row>
    <row r="109" spans="1:6">
      <c r="A109">
        <v>2104</v>
      </c>
      <c r="B109">
        <f t="shared" si="9"/>
        <v>526</v>
      </c>
      <c r="C109">
        <f t="shared" si="10"/>
        <v>1</v>
      </c>
      <c r="D109">
        <f t="shared" si="11"/>
        <v>21.04</v>
      </c>
      <c r="E109">
        <f t="shared" si="12"/>
        <v>0</v>
      </c>
      <c r="F109">
        <f t="shared" si="13"/>
        <v>1</v>
      </c>
    </row>
    <row r="110" spans="1:6">
      <c r="A110">
        <v>2105</v>
      </c>
      <c r="B110">
        <f t="shared" si="9"/>
        <v>526.25</v>
      </c>
      <c r="C110">
        <f t="shared" si="10"/>
        <v>0</v>
      </c>
      <c r="D110">
        <f t="shared" si="11"/>
        <v>21.05</v>
      </c>
      <c r="E110">
        <f t="shared" si="12"/>
        <v>0</v>
      </c>
      <c r="F110">
        <f t="shared" si="13"/>
        <v>0</v>
      </c>
    </row>
    <row r="111" spans="1:6">
      <c r="A111">
        <v>2106</v>
      </c>
      <c r="B111">
        <f t="shared" si="9"/>
        <v>526.5</v>
      </c>
      <c r="C111">
        <f t="shared" si="10"/>
        <v>0</v>
      </c>
      <c r="D111">
        <f t="shared" si="11"/>
        <v>21.06</v>
      </c>
      <c r="E111">
        <f t="shared" si="12"/>
        <v>0</v>
      </c>
      <c r="F111">
        <f t="shared" si="13"/>
        <v>0</v>
      </c>
    </row>
    <row r="112" spans="1:6">
      <c r="A112">
        <v>2107</v>
      </c>
      <c r="B112">
        <f t="shared" si="9"/>
        <v>526.75</v>
      </c>
      <c r="C112">
        <f t="shared" si="10"/>
        <v>0</v>
      </c>
      <c r="D112">
        <f t="shared" si="11"/>
        <v>21.07</v>
      </c>
      <c r="E112">
        <f t="shared" si="12"/>
        <v>0</v>
      </c>
      <c r="F112">
        <f t="shared" si="13"/>
        <v>0</v>
      </c>
    </row>
    <row r="113" spans="1:6">
      <c r="A113">
        <v>2108</v>
      </c>
      <c r="B113">
        <f t="shared" si="9"/>
        <v>527</v>
      </c>
      <c r="C113">
        <f t="shared" si="10"/>
        <v>1</v>
      </c>
      <c r="D113">
        <f t="shared" si="11"/>
        <v>21.08</v>
      </c>
      <c r="E113">
        <f t="shared" si="12"/>
        <v>0</v>
      </c>
      <c r="F113">
        <f t="shared" si="13"/>
        <v>1</v>
      </c>
    </row>
    <row r="114" spans="1:6">
      <c r="A114">
        <v>2109</v>
      </c>
      <c r="B114">
        <f t="shared" si="9"/>
        <v>527.25</v>
      </c>
      <c r="C114">
        <f t="shared" si="10"/>
        <v>0</v>
      </c>
      <c r="D114">
        <f t="shared" si="11"/>
        <v>21.09</v>
      </c>
      <c r="E114">
        <f t="shared" si="12"/>
        <v>0</v>
      </c>
      <c r="F114">
        <f t="shared" si="13"/>
        <v>0</v>
      </c>
    </row>
    <row r="115" spans="1:6">
      <c r="A115">
        <v>2110</v>
      </c>
      <c r="B115">
        <f t="shared" si="9"/>
        <v>527.5</v>
      </c>
      <c r="C115">
        <f t="shared" si="10"/>
        <v>0</v>
      </c>
      <c r="D115">
        <f t="shared" si="11"/>
        <v>21.1</v>
      </c>
      <c r="E115">
        <f t="shared" si="12"/>
        <v>0</v>
      </c>
      <c r="F115">
        <f t="shared" si="13"/>
        <v>0</v>
      </c>
    </row>
    <row r="116" spans="1:6">
      <c r="A116">
        <v>2111</v>
      </c>
      <c r="B116">
        <f t="shared" si="9"/>
        <v>527.75</v>
      </c>
      <c r="C116">
        <f t="shared" si="10"/>
        <v>0</v>
      </c>
      <c r="D116">
        <f t="shared" si="11"/>
        <v>21.11</v>
      </c>
      <c r="E116">
        <f t="shared" si="12"/>
        <v>0</v>
      </c>
      <c r="F116">
        <f t="shared" si="13"/>
        <v>0</v>
      </c>
    </row>
    <row r="117" spans="1:6">
      <c r="A117">
        <v>2112</v>
      </c>
      <c r="B117">
        <f t="shared" si="9"/>
        <v>528</v>
      </c>
      <c r="C117">
        <f t="shared" si="10"/>
        <v>1</v>
      </c>
      <c r="D117">
        <f t="shared" si="11"/>
        <v>21.12</v>
      </c>
      <c r="E117">
        <f t="shared" si="12"/>
        <v>0</v>
      </c>
      <c r="F117">
        <f t="shared" si="13"/>
        <v>1</v>
      </c>
    </row>
    <row r="118" spans="1:6">
      <c r="A118">
        <v>2113</v>
      </c>
      <c r="B118">
        <f t="shared" si="9"/>
        <v>528.25</v>
      </c>
      <c r="C118">
        <f t="shared" si="10"/>
        <v>0</v>
      </c>
      <c r="D118">
        <f t="shared" si="11"/>
        <v>21.13</v>
      </c>
      <c r="E118">
        <f t="shared" si="12"/>
        <v>0</v>
      </c>
      <c r="F118">
        <f t="shared" si="13"/>
        <v>0</v>
      </c>
    </row>
  </sheetData>
  <conditionalFormatting sqref="L3:AP3">
    <cfRule type="expression" dxfId="7" priority="1">
      <formula>$K$10=2</formula>
    </cfRule>
  </conditionalFormatting>
  <pageMargins left="0.7" right="0.7" top="0.75" bottom="0.75" header="0.3" footer="0.3"/>
  <pageSetup paperSize="9"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kusz14">
    <tabColor rgb="FFC00000"/>
  </sheetPr>
  <dimension ref="A1:AG61"/>
  <sheetViews>
    <sheetView showGridLines="0" showRowColHeaders="0" workbookViewId="0">
      <selection activeCell="K49" sqref="K49:K50"/>
    </sheetView>
  </sheetViews>
  <sheetFormatPr defaultColWidth="0" defaultRowHeight="11.25" zeroHeight="1"/>
  <cols>
    <col min="1" max="1" width="1.42578125" style="106" customWidth="1"/>
    <col min="2" max="2" width="14.7109375" style="106" customWidth="1"/>
    <col min="3" max="3" width="6.42578125" style="107" customWidth="1"/>
    <col min="4" max="4" width="7.85546875" style="107" customWidth="1"/>
    <col min="5" max="5" width="5.7109375" style="107" customWidth="1"/>
    <col min="6" max="6" width="3.7109375" style="107" hidden="1" customWidth="1"/>
    <col min="7" max="7" width="5.7109375" style="107" customWidth="1"/>
    <col min="8" max="8" width="3.7109375" style="107" hidden="1" customWidth="1"/>
    <col min="9" max="9" width="7.85546875" style="107" customWidth="1"/>
    <col min="10" max="10" width="6.42578125" style="107" customWidth="1"/>
    <col min="11" max="11" width="7.85546875" style="107" customWidth="1"/>
    <col min="12" max="12" width="5.7109375" style="107" customWidth="1"/>
    <col min="13" max="13" width="3.7109375" style="150" hidden="1" customWidth="1"/>
    <col min="14" max="14" width="5.7109375" style="107" customWidth="1"/>
    <col min="15" max="15" width="3.7109375" style="150" hidden="1" customWidth="1"/>
    <col min="16" max="16" width="7.85546875" style="107" customWidth="1"/>
    <col min="17" max="17" width="6.42578125" style="107" customWidth="1"/>
    <col min="18" max="18" width="7.85546875" style="107" customWidth="1"/>
    <col min="19" max="19" width="5.7109375" style="107" customWidth="1"/>
    <col min="20" max="20" width="3.7109375" style="150" hidden="1" customWidth="1"/>
    <col min="21" max="21" width="5.7109375" style="107" customWidth="1"/>
    <col min="22" max="22" width="3.7109375" style="150" hidden="1" customWidth="1"/>
    <col min="23" max="23" width="7.85546875" style="107" customWidth="1"/>
    <col min="24" max="24" width="1.42578125" style="107" customWidth="1"/>
    <col min="25" max="27" width="5.28515625" style="106" customWidth="1"/>
    <col min="28" max="28" width="5.28515625" style="106" bestFit="1" customWidth="1"/>
    <col min="29" max="29" width="9.85546875" style="106" customWidth="1"/>
    <col min="30" max="30" width="1.7109375" style="106" customWidth="1"/>
    <col min="31" max="31" width="9.140625" style="106" hidden="1" customWidth="1"/>
    <col min="32" max="33" width="5.28515625" style="106" hidden="1" customWidth="1"/>
    <col min="34" max="16384" width="9.140625" style="106" hidden="1"/>
  </cols>
  <sheetData>
    <row r="1" spans="2:33" ht="22.5" customHeight="1">
      <c r="B1" s="656" t="s">
        <v>480</v>
      </c>
      <c r="C1" s="656"/>
      <c r="D1" s="656"/>
      <c r="E1" s="656"/>
      <c r="F1" s="656"/>
      <c r="G1" s="656"/>
      <c r="H1" s="656"/>
      <c r="I1" s="656"/>
      <c r="J1" s="656"/>
      <c r="K1" s="656"/>
      <c r="L1" s="656"/>
      <c r="M1" s="656"/>
      <c r="N1" s="656"/>
      <c r="O1" s="656"/>
      <c r="P1" s="656"/>
      <c r="Q1" s="656"/>
      <c r="R1" s="656"/>
      <c r="S1" s="656"/>
      <c r="T1" s="656"/>
      <c r="U1" s="656"/>
      <c r="V1" s="656"/>
      <c r="W1" s="656"/>
      <c r="X1" s="656"/>
      <c r="Y1" s="656"/>
      <c r="Z1" s="656"/>
      <c r="AA1" s="656"/>
      <c r="AB1" s="656"/>
      <c r="AC1" s="656"/>
    </row>
    <row r="2" spans="2:33" ht="12" thickBot="1">
      <c r="B2" s="137">
        <v>8</v>
      </c>
    </row>
    <row r="3" spans="2:33" ht="12" thickBot="1">
      <c r="B3" s="135"/>
      <c r="C3" s="659" t="s">
        <v>481</v>
      </c>
      <c r="D3" s="659"/>
      <c r="E3" s="659"/>
      <c r="F3" s="134"/>
      <c r="G3" s="134" t="s">
        <v>482</v>
      </c>
      <c r="H3" s="134"/>
      <c r="I3" s="133">
        <f>Calendar!F3</f>
        <v>160</v>
      </c>
      <c r="J3" s="660" t="s">
        <v>483</v>
      </c>
      <c r="K3" s="659"/>
      <c r="L3" s="659"/>
      <c r="M3" s="151"/>
      <c r="N3" s="134" t="s">
        <v>482</v>
      </c>
      <c r="O3" s="151"/>
      <c r="P3" s="133">
        <f>Calendar!F4</f>
        <v>160</v>
      </c>
      <c r="Q3" s="660" t="s">
        <v>484</v>
      </c>
      <c r="R3" s="659"/>
      <c r="S3" s="659"/>
      <c r="T3" s="151"/>
      <c r="U3" s="134" t="s">
        <v>482</v>
      </c>
      <c r="V3" s="151"/>
      <c r="W3" s="133">
        <f>Calendar!F5</f>
        <v>176</v>
      </c>
    </row>
    <row r="4" spans="2:33">
      <c r="B4" s="132" t="s">
        <v>6</v>
      </c>
      <c r="C4" s="130" t="s">
        <v>482</v>
      </c>
      <c r="D4" s="130" t="s">
        <v>485</v>
      </c>
      <c r="E4" s="130" t="s">
        <v>17</v>
      </c>
      <c r="F4" s="130"/>
      <c r="G4" s="130" t="s">
        <v>29</v>
      </c>
      <c r="H4" s="130"/>
      <c r="I4" s="129" t="s">
        <v>486</v>
      </c>
      <c r="J4" s="131" t="s">
        <v>482</v>
      </c>
      <c r="K4" s="130" t="s">
        <v>485</v>
      </c>
      <c r="L4" s="130" t="s">
        <v>17</v>
      </c>
      <c r="M4" s="152"/>
      <c r="N4" s="130" t="s">
        <v>29</v>
      </c>
      <c r="O4" s="152"/>
      <c r="P4" s="129" t="s">
        <v>486</v>
      </c>
      <c r="Q4" s="131" t="s">
        <v>482</v>
      </c>
      <c r="R4" s="130" t="s">
        <v>485</v>
      </c>
      <c r="S4" s="130" t="s">
        <v>17</v>
      </c>
      <c r="T4" s="152"/>
      <c r="U4" s="130" t="s">
        <v>29</v>
      </c>
      <c r="V4" s="152"/>
      <c r="W4" s="129" t="s">
        <v>486</v>
      </c>
      <c r="Y4" s="128" t="s">
        <v>55</v>
      </c>
      <c r="Z4" s="127" t="s">
        <v>56</v>
      </c>
      <c r="AA4" s="126" t="s">
        <v>57</v>
      </c>
      <c r="AB4" s="657" t="s">
        <v>487</v>
      </c>
      <c r="AC4" s="658"/>
      <c r="AF4" s="155" t="s">
        <v>7</v>
      </c>
      <c r="AG4" s="155">
        <v>1</v>
      </c>
    </row>
    <row r="5" spans="2:33">
      <c r="B5" s="125" t="s">
        <v>488</v>
      </c>
      <c r="C5" s="156" t="s">
        <v>7</v>
      </c>
      <c r="D5" s="124">
        <v>168</v>
      </c>
      <c r="E5" s="123"/>
      <c r="F5" s="153">
        <f t="shared" ref="F5:F14" si="0">IFERROR(E5*$B$2*VLOOKUP(C5,$AF$4:$AG$14,2,FALSE),0)</f>
        <v>0</v>
      </c>
      <c r="G5" s="123"/>
      <c r="H5" s="153">
        <f t="shared" ref="H5:H14" si="1">IFERROR(G5*$B$2*VLOOKUP(C5,$AF$4:$AG$14,2,FALSE),0)</f>
        <v>0</v>
      </c>
      <c r="I5" s="122">
        <f t="shared" ref="I5:I14" si="2">D5+F5+H5</f>
        <v>168</v>
      </c>
      <c r="J5" s="159" t="s">
        <v>7</v>
      </c>
      <c r="K5" s="124">
        <v>144</v>
      </c>
      <c r="L5" s="123"/>
      <c r="M5" s="153">
        <f t="shared" ref="M5:M14" si="3">IFERROR(L5*$B$2*VLOOKUP(J5,$AF$4:$AG$14,2,FALSE),0)</f>
        <v>0</v>
      </c>
      <c r="N5" s="123"/>
      <c r="O5" s="153">
        <f t="shared" ref="O5:O14" si="4">IFERROR(N5*$B$2*VLOOKUP(J5,$AF$4:$AG$14,2,FALSE),0)</f>
        <v>0</v>
      </c>
      <c r="P5" s="122">
        <f t="shared" ref="P5:P14" si="5">K5+M5+O5</f>
        <v>144</v>
      </c>
      <c r="Q5" s="159" t="s">
        <v>7</v>
      </c>
      <c r="R5" s="124">
        <v>168</v>
      </c>
      <c r="S5" s="123">
        <v>3</v>
      </c>
      <c r="T5" s="153">
        <f t="shared" ref="T5:T14" si="6">IFERROR(S5*$B$2*VLOOKUP(Q5,$AF$4:$AG$14,2,FALSE),0)</f>
        <v>24</v>
      </c>
      <c r="U5" s="123"/>
      <c r="V5" s="153">
        <f t="shared" ref="V5:V14" si="7">IFERROR(U5*$B$2*VLOOKUP(Q5,$AF$4:$AG$14,2,FALSE),0)</f>
        <v>0</v>
      </c>
      <c r="W5" s="122">
        <f t="shared" ref="W5:W14" si="8">R5+T5+V5</f>
        <v>192</v>
      </c>
      <c r="Y5" s="121">
        <f>IFERROR(I5-$I$3*VLOOKUP(C5,$AF$4:$AG$14,2,FALSE),0)</f>
        <v>8</v>
      </c>
      <c r="Z5" s="120">
        <f>IFERROR(P5-$P$3*VLOOKUP(J5,$AF$4:$AG$14,2,FALSE),0)</f>
        <v>-16</v>
      </c>
      <c r="AA5" s="119">
        <f>IFERROR(W5-$W$3*VLOOKUP(Q5,$AF$4:$AG$14,2,FALSE),0)</f>
        <v>16</v>
      </c>
      <c r="AB5" s="118">
        <f>SUM(Y5:AA5)</f>
        <v>8</v>
      </c>
      <c r="AC5" s="117" t="str">
        <f>IF(B5="","",IF(AB5&lt;0,"niedogodziny",IF(AB5&gt;0,"nadgodziny","OK")))</f>
        <v>nadgodziny</v>
      </c>
      <c r="AF5" s="158">
        <v>0.75</v>
      </c>
      <c r="AG5" s="155">
        <v>0.75</v>
      </c>
    </row>
    <row r="6" spans="2:33">
      <c r="B6" s="125" t="s">
        <v>489</v>
      </c>
      <c r="C6" s="156" t="s">
        <v>7</v>
      </c>
      <c r="D6" s="124">
        <v>168</v>
      </c>
      <c r="E6" s="123"/>
      <c r="F6" s="153">
        <f>IFERROR(E6*$B$2*VLOOKUP(C6,$AF$4:$AG$14,2,FALSE),0)</f>
        <v>0</v>
      </c>
      <c r="G6" s="123"/>
      <c r="H6" s="153">
        <f>IFERROR(G6*$B$2*VLOOKUP(C6,$AF$4:$AG$14,2,FALSE),0)</f>
        <v>0</v>
      </c>
      <c r="I6" s="122">
        <f t="shared" si="2"/>
        <v>168</v>
      </c>
      <c r="J6" s="159" t="s">
        <v>7</v>
      </c>
      <c r="K6" s="124">
        <v>152</v>
      </c>
      <c r="L6" s="123"/>
      <c r="M6" s="153">
        <f t="shared" si="3"/>
        <v>0</v>
      </c>
      <c r="N6" s="123"/>
      <c r="O6" s="153">
        <f t="shared" si="4"/>
        <v>0</v>
      </c>
      <c r="P6" s="122">
        <f t="shared" si="5"/>
        <v>152</v>
      </c>
      <c r="Q6" s="159" t="s">
        <v>7</v>
      </c>
      <c r="R6" s="124" t="s">
        <v>490</v>
      </c>
      <c r="S6" s="123"/>
      <c r="T6" s="153">
        <f>IFERROR(S6*$B$2*VLOOKUP(Q6,$AF$4:$AG$14,2,FALSE),0)</f>
        <v>0</v>
      </c>
      <c r="U6" s="123"/>
      <c r="V6" s="153">
        <f>IFERROR(U6*$B$2*VLOOKUP(Q6,$AF$4:$AG$14,2,FALSE),0)</f>
        <v>0</v>
      </c>
      <c r="W6" s="122" t="e">
        <f t="shared" si="8"/>
        <v>#VALUE!</v>
      </c>
      <c r="Y6" s="121">
        <f t="shared" ref="Y6:Y13" si="9">IFERROR(I6-$I$3*VLOOKUP(C6,$AF$4:$AG$14,2,FALSE),0)</f>
        <v>8</v>
      </c>
      <c r="Z6" s="120">
        <f t="shared" ref="Z6:Z13" si="10">IFERROR(P6-$P$3*VLOOKUP(J6,$AF$4:$AG$14,2,FALSE),0)</f>
        <v>-8</v>
      </c>
      <c r="AA6" s="119">
        <f t="shared" ref="AA6:AA13" si="11">IFERROR(W6-$W$3*VLOOKUP(Q6,$AF$4:$AG$14,2,FALSE),0)</f>
        <v>0</v>
      </c>
      <c r="AB6" s="118">
        <f t="shared" ref="AB6:AB13" si="12">SUM(Y6:AA6)</f>
        <v>0</v>
      </c>
      <c r="AC6" s="117" t="str">
        <f t="shared" ref="AC6:AC13" si="13">IF(B6="","",IF(AB6&lt;0,"niedogodziny",IF(AB6&gt;0,"nadgodziny","OK")))</f>
        <v>OK</v>
      </c>
      <c r="AF6" s="158"/>
      <c r="AG6" s="155"/>
    </row>
    <row r="7" spans="2:33">
      <c r="B7" s="125" t="s">
        <v>491</v>
      </c>
      <c r="C7" s="156">
        <v>0.75</v>
      </c>
      <c r="D7" s="124">
        <v>116</v>
      </c>
      <c r="E7" s="123"/>
      <c r="F7" s="153">
        <f>IFERROR(E7*$B$2*VLOOKUP(C7,$AF$4:$AG$14,2,FALSE),0)</f>
        <v>0</v>
      </c>
      <c r="G7" s="123"/>
      <c r="H7" s="153">
        <f>IFERROR(G7*$B$2*VLOOKUP(C7,$AF$4:$AG$14,2,FALSE),0)</f>
        <v>0</v>
      </c>
      <c r="I7" s="122">
        <f t="shared" si="2"/>
        <v>116</v>
      </c>
      <c r="J7" s="159">
        <v>0.75</v>
      </c>
      <c r="K7" s="124">
        <v>126</v>
      </c>
      <c r="L7" s="123"/>
      <c r="M7" s="153">
        <f t="shared" si="3"/>
        <v>0</v>
      </c>
      <c r="N7" s="123"/>
      <c r="O7" s="153">
        <f t="shared" si="4"/>
        <v>0</v>
      </c>
      <c r="P7" s="122">
        <f t="shared" si="5"/>
        <v>126</v>
      </c>
      <c r="Q7" s="159">
        <v>0.75</v>
      </c>
      <c r="R7" s="124">
        <v>130</v>
      </c>
      <c r="S7" s="123"/>
      <c r="T7" s="153">
        <f>IFERROR(S7*$B$2*VLOOKUP(Q7,$AF$4:$AG$14,2,FALSE),0)</f>
        <v>0</v>
      </c>
      <c r="U7" s="123"/>
      <c r="V7" s="153">
        <f>IFERROR(U7*$B$2*VLOOKUP(Q7,$AF$4:$AG$14,2,FALSE),0)</f>
        <v>0</v>
      </c>
      <c r="W7" s="122">
        <f t="shared" si="8"/>
        <v>130</v>
      </c>
      <c r="Y7" s="121">
        <f t="shared" si="9"/>
        <v>-4</v>
      </c>
      <c r="Z7" s="120">
        <f t="shared" si="10"/>
        <v>6</v>
      </c>
      <c r="AA7" s="119">
        <f t="shared" si="11"/>
        <v>-2</v>
      </c>
      <c r="AB7" s="118">
        <f t="shared" si="12"/>
        <v>0</v>
      </c>
      <c r="AC7" s="117" t="str">
        <f t="shared" si="13"/>
        <v>OK</v>
      </c>
      <c r="AF7" s="158"/>
      <c r="AG7" s="155"/>
    </row>
    <row r="8" spans="2:33">
      <c r="B8" s="125" t="s">
        <v>492</v>
      </c>
      <c r="C8" s="156">
        <v>0.5</v>
      </c>
      <c r="D8" s="124">
        <v>80</v>
      </c>
      <c r="E8" s="123"/>
      <c r="F8" s="153">
        <f>IFERROR(E8*$B$2*VLOOKUP(C8,$AF$4:$AG$14,2,FALSE),0)</f>
        <v>0</v>
      </c>
      <c r="G8" s="123"/>
      <c r="H8" s="153">
        <f>IFERROR(G8*$B$2*VLOOKUP(C8,$AF$4:$AG$14,2,FALSE),0)</f>
        <v>0</v>
      </c>
      <c r="I8" s="122">
        <f t="shared" si="2"/>
        <v>80</v>
      </c>
      <c r="J8" s="159">
        <v>0.5</v>
      </c>
      <c r="K8" s="124">
        <v>60</v>
      </c>
      <c r="L8" s="123"/>
      <c r="M8" s="153">
        <f t="shared" si="3"/>
        <v>0</v>
      </c>
      <c r="N8" s="123"/>
      <c r="O8" s="153">
        <f t="shared" si="4"/>
        <v>0</v>
      </c>
      <c r="P8" s="122">
        <f t="shared" si="5"/>
        <v>60</v>
      </c>
      <c r="Q8" s="159">
        <v>0.5</v>
      </c>
      <c r="R8" s="124">
        <v>82</v>
      </c>
      <c r="S8" s="123">
        <v>6</v>
      </c>
      <c r="T8" s="153">
        <f>IFERROR(S8*$B$2*VLOOKUP(Q8,$AF$4:$AG$14,2,FALSE),0)</f>
        <v>24</v>
      </c>
      <c r="U8" s="123"/>
      <c r="V8" s="153">
        <f>IFERROR(U8*$B$2*VLOOKUP(Q8,$AF$4:$AG$14,2,FALSE),0)</f>
        <v>0</v>
      </c>
      <c r="W8" s="122">
        <f t="shared" si="8"/>
        <v>106</v>
      </c>
      <c r="Y8" s="121">
        <f t="shared" si="9"/>
        <v>0</v>
      </c>
      <c r="Z8" s="120">
        <f t="shared" si="10"/>
        <v>-20</v>
      </c>
      <c r="AA8" s="119">
        <f t="shared" si="11"/>
        <v>18</v>
      </c>
      <c r="AB8" s="118">
        <f t="shared" si="12"/>
        <v>-2</v>
      </c>
      <c r="AC8" s="117" t="str">
        <f t="shared" si="13"/>
        <v>niedogodziny</v>
      </c>
      <c r="AF8" s="158"/>
      <c r="AG8" s="155"/>
    </row>
    <row r="9" spans="2:33">
      <c r="B9" s="125" t="s">
        <v>493</v>
      </c>
      <c r="C9" s="156">
        <v>0.5</v>
      </c>
      <c r="D9" s="124">
        <v>82</v>
      </c>
      <c r="E9" s="123"/>
      <c r="F9" s="153">
        <f>IFERROR(E9*$B$2*VLOOKUP(C9,$AF$4:$AG$14,2,FALSE),0)</f>
        <v>0</v>
      </c>
      <c r="G9" s="123"/>
      <c r="H9" s="153">
        <f>IFERROR(G9*$B$2*VLOOKUP(C9,$AF$4:$AG$14,2,FALSE),0)</f>
        <v>0</v>
      </c>
      <c r="I9" s="122">
        <f t="shared" si="2"/>
        <v>82</v>
      </c>
      <c r="J9" s="159">
        <v>0.5</v>
      </c>
      <c r="K9" s="124">
        <v>84</v>
      </c>
      <c r="L9" s="123"/>
      <c r="M9" s="153">
        <f t="shared" si="3"/>
        <v>0</v>
      </c>
      <c r="N9" s="123"/>
      <c r="O9" s="153">
        <f t="shared" si="4"/>
        <v>0</v>
      </c>
      <c r="P9" s="122">
        <f t="shared" si="5"/>
        <v>84</v>
      </c>
      <c r="Q9" s="159">
        <v>0.5</v>
      </c>
      <c r="R9" s="124">
        <v>70</v>
      </c>
      <c r="S9" s="123"/>
      <c r="T9" s="153">
        <f>IFERROR(S9*$B$2*VLOOKUP(Q9,$AF$4:$AG$14,2,FALSE),0)</f>
        <v>0</v>
      </c>
      <c r="U9" s="123">
        <v>3</v>
      </c>
      <c r="V9" s="153">
        <f>IFERROR(U9*$B$2*VLOOKUP(Q9,$AF$4:$AG$14,2,FALSE),0)</f>
        <v>12</v>
      </c>
      <c r="W9" s="122">
        <f t="shared" si="8"/>
        <v>82</v>
      </c>
      <c r="Y9" s="121">
        <f t="shared" si="9"/>
        <v>2</v>
      </c>
      <c r="Z9" s="120">
        <f t="shared" si="10"/>
        <v>4</v>
      </c>
      <c r="AA9" s="119">
        <f t="shared" si="11"/>
        <v>-6</v>
      </c>
      <c r="AB9" s="118">
        <f t="shared" si="12"/>
        <v>0</v>
      </c>
      <c r="AC9" s="117" t="str">
        <f t="shared" si="13"/>
        <v>OK</v>
      </c>
      <c r="AF9" s="158"/>
      <c r="AG9" s="155"/>
    </row>
    <row r="10" spans="2:33">
      <c r="B10" s="125" t="s">
        <v>494</v>
      </c>
      <c r="C10" s="156"/>
      <c r="D10" s="124"/>
      <c r="E10" s="123"/>
      <c r="F10" s="153">
        <f t="shared" si="0"/>
        <v>0</v>
      </c>
      <c r="G10" s="123"/>
      <c r="H10" s="153">
        <f t="shared" si="1"/>
        <v>0</v>
      </c>
      <c r="I10" s="122">
        <f t="shared" si="2"/>
        <v>0</v>
      </c>
      <c r="J10" s="159" t="s">
        <v>7</v>
      </c>
      <c r="K10" s="124">
        <v>163</v>
      </c>
      <c r="L10" s="123"/>
      <c r="M10" s="153">
        <f t="shared" si="3"/>
        <v>0</v>
      </c>
      <c r="N10" s="123"/>
      <c r="O10" s="153">
        <f t="shared" si="4"/>
        <v>0</v>
      </c>
      <c r="P10" s="122">
        <f t="shared" si="5"/>
        <v>163</v>
      </c>
      <c r="Q10" s="159" t="s">
        <v>7</v>
      </c>
      <c r="R10" s="124">
        <v>173</v>
      </c>
      <c r="S10" s="123"/>
      <c r="T10" s="153">
        <f t="shared" si="6"/>
        <v>0</v>
      </c>
      <c r="U10" s="123"/>
      <c r="V10" s="153">
        <f t="shared" si="7"/>
        <v>0</v>
      </c>
      <c r="W10" s="122">
        <f t="shared" si="8"/>
        <v>173</v>
      </c>
      <c r="Y10" s="121">
        <f t="shared" si="9"/>
        <v>0</v>
      </c>
      <c r="Z10" s="120">
        <f t="shared" si="10"/>
        <v>3</v>
      </c>
      <c r="AA10" s="119">
        <f t="shared" si="11"/>
        <v>-3</v>
      </c>
      <c r="AB10" s="118">
        <f t="shared" si="12"/>
        <v>0</v>
      </c>
      <c r="AC10" s="117" t="str">
        <f t="shared" si="13"/>
        <v>OK</v>
      </c>
      <c r="AF10" s="158">
        <v>0.5</v>
      </c>
      <c r="AG10" s="155">
        <v>0.5</v>
      </c>
    </row>
    <row r="11" spans="2:33">
      <c r="B11" s="125"/>
      <c r="C11" s="156"/>
      <c r="D11" s="124"/>
      <c r="E11" s="123"/>
      <c r="F11" s="153">
        <f t="shared" si="0"/>
        <v>0</v>
      </c>
      <c r="G11" s="123"/>
      <c r="H11" s="153">
        <f t="shared" si="1"/>
        <v>0</v>
      </c>
      <c r="I11" s="122">
        <f t="shared" si="2"/>
        <v>0</v>
      </c>
      <c r="J11" s="159"/>
      <c r="K11" s="124"/>
      <c r="L11" s="123"/>
      <c r="M11" s="153">
        <f t="shared" si="3"/>
        <v>0</v>
      </c>
      <c r="N11" s="123"/>
      <c r="O11" s="153">
        <f t="shared" si="4"/>
        <v>0</v>
      </c>
      <c r="P11" s="122">
        <f t="shared" si="5"/>
        <v>0</v>
      </c>
      <c r="Q11" s="159"/>
      <c r="R11" s="124"/>
      <c r="S11" s="123"/>
      <c r="T11" s="153">
        <f t="shared" si="6"/>
        <v>0</v>
      </c>
      <c r="U11" s="123"/>
      <c r="V11" s="153">
        <f t="shared" si="7"/>
        <v>0</v>
      </c>
      <c r="W11" s="122">
        <f t="shared" si="8"/>
        <v>0</v>
      </c>
      <c r="Y11" s="121">
        <f t="shared" si="9"/>
        <v>0</v>
      </c>
      <c r="Z11" s="120">
        <f t="shared" si="10"/>
        <v>0</v>
      </c>
      <c r="AA11" s="119">
        <f t="shared" si="11"/>
        <v>0</v>
      </c>
      <c r="AB11" s="118">
        <f t="shared" si="12"/>
        <v>0</v>
      </c>
      <c r="AC11" s="117" t="str">
        <f t="shared" si="13"/>
        <v/>
      </c>
      <c r="AF11" s="158">
        <v>0.25</v>
      </c>
      <c r="AG11" s="155">
        <v>0.25</v>
      </c>
    </row>
    <row r="12" spans="2:33">
      <c r="B12" s="125"/>
      <c r="C12" s="156"/>
      <c r="D12" s="124"/>
      <c r="E12" s="123"/>
      <c r="F12" s="153">
        <f t="shared" si="0"/>
        <v>0</v>
      </c>
      <c r="G12" s="123"/>
      <c r="H12" s="153">
        <f t="shared" si="1"/>
        <v>0</v>
      </c>
      <c r="I12" s="122">
        <f t="shared" si="2"/>
        <v>0</v>
      </c>
      <c r="J12" s="159"/>
      <c r="K12" s="124"/>
      <c r="L12" s="123"/>
      <c r="M12" s="153">
        <f t="shared" si="3"/>
        <v>0</v>
      </c>
      <c r="N12" s="123"/>
      <c r="O12" s="153">
        <f t="shared" si="4"/>
        <v>0</v>
      </c>
      <c r="P12" s="122">
        <f t="shared" si="5"/>
        <v>0</v>
      </c>
      <c r="Q12" s="159"/>
      <c r="R12" s="124"/>
      <c r="S12" s="123"/>
      <c r="T12" s="153">
        <f t="shared" si="6"/>
        <v>0</v>
      </c>
      <c r="U12" s="123"/>
      <c r="V12" s="153">
        <f t="shared" si="7"/>
        <v>0</v>
      </c>
      <c r="W12" s="122">
        <f t="shared" si="8"/>
        <v>0</v>
      </c>
      <c r="Y12" s="121">
        <f t="shared" si="9"/>
        <v>0</v>
      </c>
      <c r="Z12" s="120">
        <f t="shared" si="10"/>
        <v>0</v>
      </c>
      <c r="AA12" s="119">
        <f t="shared" si="11"/>
        <v>0</v>
      </c>
      <c r="AB12" s="118">
        <f t="shared" si="12"/>
        <v>0</v>
      </c>
      <c r="AC12" s="117" t="str">
        <f t="shared" si="13"/>
        <v/>
      </c>
      <c r="AF12" s="158" t="s">
        <v>477</v>
      </c>
      <c r="AG12" s="155">
        <v>0.9</v>
      </c>
    </row>
    <row r="13" spans="2:33">
      <c r="B13" s="125"/>
      <c r="C13" s="156"/>
      <c r="D13" s="124"/>
      <c r="E13" s="123"/>
      <c r="F13" s="153">
        <f t="shared" si="0"/>
        <v>0</v>
      </c>
      <c r="G13" s="123"/>
      <c r="H13" s="153">
        <f t="shared" si="1"/>
        <v>0</v>
      </c>
      <c r="I13" s="122">
        <f t="shared" si="2"/>
        <v>0</v>
      </c>
      <c r="J13" s="159"/>
      <c r="K13" s="124"/>
      <c r="L13" s="123"/>
      <c r="M13" s="153">
        <f t="shared" si="3"/>
        <v>0</v>
      </c>
      <c r="N13" s="123"/>
      <c r="O13" s="153">
        <f t="shared" si="4"/>
        <v>0</v>
      </c>
      <c r="P13" s="122">
        <f t="shared" si="5"/>
        <v>0</v>
      </c>
      <c r="Q13" s="159"/>
      <c r="R13" s="124"/>
      <c r="S13" s="123"/>
      <c r="T13" s="153">
        <f t="shared" si="6"/>
        <v>0</v>
      </c>
      <c r="U13" s="123"/>
      <c r="V13" s="153">
        <f t="shared" si="7"/>
        <v>0</v>
      </c>
      <c r="W13" s="122">
        <f t="shared" si="8"/>
        <v>0</v>
      </c>
      <c r="Y13" s="121">
        <f t="shared" si="9"/>
        <v>0</v>
      </c>
      <c r="Z13" s="120">
        <f t="shared" si="10"/>
        <v>0</v>
      </c>
      <c r="AA13" s="119">
        <f t="shared" si="11"/>
        <v>0</v>
      </c>
      <c r="AB13" s="118">
        <f t="shared" si="12"/>
        <v>0</v>
      </c>
      <c r="AC13" s="117" t="str">
        <f t="shared" si="13"/>
        <v/>
      </c>
      <c r="AF13" s="158">
        <v>0.875</v>
      </c>
      <c r="AG13" s="155">
        <v>0.88</v>
      </c>
    </row>
    <row r="14" spans="2:33" ht="12" thickBot="1">
      <c r="B14" s="116"/>
      <c r="C14" s="157"/>
      <c r="D14" s="115"/>
      <c r="E14" s="114"/>
      <c r="F14" s="154">
        <f t="shared" si="0"/>
        <v>0</v>
      </c>
      <c r="G14" s="114"/>
      <c r="H14" s="154">
        <f t="shared" si="1"/>
        <v>0</v>
      </c>
      <c r="I14" s="113">
        <f t="shared" si="2"/>
        <v>0</v>
      </c>
      <c r="J14" s="160"/>
      <c r="K14" s="115"/>
      <c r="L14" s="114"/>
      <c r="M14" s="154">
        <f t="shared" si="3"/>
        <v>0</v>
      </c>
      <c r="N14" s="114"/>
      <c r="O14" s="154">
        <f t="shared" si="4"/>
        <v>0</v>
      </c>
      <c r="P14" s="113">
        <f t="shared" si="5"/>
        <v>0</v>
      </c>
      <c r="Q14" s="160"/>
      <c r="R14" s="115"/>
      <c r="S14" s="114"/>
      <c r="T14" s="154">
        <f t="shared" si="6"/>
        <v>0</v>
      </c>
      <c r="U14" s="114"/>
      <c r="V14" s="154">
        <f t="shared" si="7"/>
        <v>0</v>
      </c>
      <c r="W14" s="113">
        <f t="shared" si="8"/>
        <v>0</v>
      </c>
      <c r="Y14" s="112">
        <f>IFERROR(I14-$I$3*VLOOKUP(C14,$AF$4:$AG$14,2,FALSE),0)</f>
        <v>0</v>
      </c>
      <c r="Z14" s="111">
        <f>IFERROR(P14-$P$3*VLOOKUP(J14,$AF$4:$AG$14,2,FALSE),0)</f>
        <v>0</v>
      </c>
      <c r="AA14" s="110">
        <f>IFERROR(W14-$W$3*VLOOKUP(Q14,$AF$4:$AG$14,2,FALSE),0)</f>
        <v>0</v>
      </c>
      <c r="AB14" s="109">
        <f>SUM(Y14:AA14)</f>
        <v>0</v>
      </c>
      <c r="AC14" s="108" t="str">
        <f>IF(B14="","",IF(AB14&lt;0,"niedogodziny",IF(AB14&gt;0,"nadgodziny","OK")))</f>
        <v/>
      </c>
      <c r="AF14" s="158">
        <v>0.8</v>
      </c>
      <c r="AG14" s="155">
        <v>0.8</v>
      </c>
    </row>
    <row r="15" spans="2:33" ht="12" thickBot="1">
      <c r="B15" s="136"/>
      <c r="AC15" s="107"/>
    </row>
    <row r="16" spans="2:33" ht="12" thickBot="1">
      <c r="B16" s="135"/>
      <c r="C16" s="659" t="s">
        <v>495</v>
      </c>
      <c r="D16" s="659"/>
      <c r="E16" s="659"/>
      <c r="F16" s="134"/>
      <c r="G16" s="134" t="s">
        <v>482</v>
      </c>
      <c r="H16" s="134"/>
      <c r="I16" s="133">
        <f>Calendar!F6</f>
        <v>168</v>
      </c>
      <c r="J16" s="660" t="s">
        <v>59</v>
      </c>
      <c r="K16" s="659"/>
      <c r="L16" s="659"/>
      <c r="M16" s="151"/>
      <c r="N16" s="134" t="s">
        <v>482</v>
      </c>
      <c r="O16" s="151"/>
      <c r="P16" s="133">
        <f>Calendar!F7</f>
        <v>160</v>
      </c>
      <c r="Q16" s="660" t="s">
        <v>496</v>
      </c>
      <c r="R16" s="659"/>
      <c r="S16" s="659"/>
      <c r="T16" s="151"/>
      <c r="U16" s="134" t="s">
        <v>482</v>
      </c>
      <c r="V16" s="151"/>
      <c r="W16" s="133">
        <f>Calendar!F8</f>
        <v>168</v>
      </c>
      <c r="AC16" s="107"/>
    </row>
    <row r="17" spans="2:29">
      <c r="B17" s="132" t="s">
        <v>6</v>
      </c>
      <c r="C17" s="130" t="s">
        <v>482</v>
      </c>
      <c r="D17" s="130" t="s">
        <v>485</v>
      </c>
      <c r="E17" s="130" t="s">
        <v>17</v>
      </c>
      <c r="F17" s="130"/>
      <c r="G17" s="130" t="s">
        <v>29</v>
      </c>
      <c r="H17" s="130"/>
      <c r="I17" s="129" t="s">
        <v>486</v>
      </c>
      <c r="J17" s="131" t="s">
        <v>482</v>
      </c>
      <c r="K17" s="130" t="s">
        <v>485</v>
      </c>
      <c r="L17" s="130" t="s">
        <v>17</v>
      </c>
      <c r="M17" s="152"/>
      <c r="N17" s="130" t="s">
        <v>29</v>
      </c>
      <c r="O17" s="152"/>
      <c r="P17" s="129" t="s">
        <v>486</v>
      </c>
      <c r="Q17" s="131" t="s">
        <v>482</v>
      </c>
      <c r="R17" s="130" t="s">
        <v>485</v>
      </c>
      <c r="S17" s="130" t="s">
        <v>17</v>
      </c>
      <c r="T17" s="152"/>
      <c r="U17" s="130" t="s">
        <v>29</v>
      </c>
      <c r="V17" s="152"/>
      <c r="W17" s="129" t="s">
        <v>486</v>
      </c>
      <c r="Y17" s="128" t="s">
        <v>58</v>
      </c>
      <c r="Z17" s="127" t="s">
        <v>59</v>
      </c>
      <c r="AA17" s="126" t="s">
        <v>60</v>
      </c>
      <c r="AB17" s="657" t="s">
        <v>487</v>
      </c>
      <c r="AC17" s="658"/>
    </row>
    <row r="18" spans="2:29">
      <c r="B18" s="125" t="s">
        <v>488</v>
      </c>
      <c r="C18" s="156" t="s">
        <v>7</v>
      </c>
      <c r="D18" s="124">
        <v>144</v>
      </c>
      <c r="E18" s="123">
        <v>2</v>
      </c>
      <c r="F18" s="153">
        <f t="shared" ref="F18:F27" si="14">IFERROR(E18*$B$2*VLOOKUP(C18,$AF$4:$AG$14,2,FALSE),0)</f>
        <v>16</v>
      </c>
      <c r="G18" s="123"/>
      <c r="H18" s="153">
        <f t="shared" ref="H18:H27" si="15">IFERROR(G18*$B$2*VLOOKUP(C18,$AF$4:$AG$14,2,FALSE),0)</f>
        <v>0</v>
      </c>
      <c r="I18" s="122">
        <f t="shared" ref="I18:I27" si="16">D18+F18+H18</f>
        <v>160</v>
      </c>
      <c r="J18" s="159" t="s">
        <v>7</v>
      </c>
      <c r="K18" s="124">
        <v>150</v>
      </c>
      <c r="L18" s="123">
        <v>2</v>
      </c>
      <c r="M18" s="153">
        <f t="shared" ref="M18:M27" si="17">IFERROR(L18*$B$2*VLOOKUP(J18,$AF$4:$AG$14,2,FALSE),0)</f>
        <v>16</v>
      </c>
      <c r="N18" s="123"/>
      <c r="O18" s="153">
        <f t="shared" ref="O18:O27" si="18">IFERROR(N18*$B$2*VLOOKUP(J18,$AF$4:$AG$14,2,FALSE),0)</f>
        <v>0</v>
      </c>
      <c r="P18" s="122">
        <f t="shared" ref="P18:P27" si="19">K18+M18+O18</f>
        <v>166</v>
      </c>
      <c r="Q18" s="159" t="s">
        <v>7</v>
      </c>
      <c r="R18" s="124">
        <v>138</v>
      </c>
      <c r="S18" s="123">
        <v>4</v>
      </c>
      <c r="T18" s="153">
        <f t="shared" ref="T18:T27" si="20">IFERROR(S18*$B$2*VLOOKUP(Q18,$AF$4:$AG$14,2,FALSE),0)</f>
        <v>32</v>
      </c>
      <c r="U18" s="123"/>
      <c r="V18" s="153">
        <f t="shared" ref="V18:V27" si="21">IFERROR(U18*$B$2*VLOOKUP(Q18,$AF$4:$AG$14,2,FALSE),0)</f>
        <v>0</v>
      </c>
      <c r="W18" s="122">
        <f t="shared" ref="W18:W27" si="22">R18+T18+V18</f>
        <v>170</v>
      </c>
      <c r="Y18" s="121">
        <f>IFERROR(I18-$I$16*VLOOKUP(C18,$AF$4:$AG$14,2,FALSE),0)</f>
        <v>-8</v>
      </c>
      <c r="Z18" s="120">
        <f>IFERROR(P18-$P$16*VLOOKUP(J18,$AF$4:$AG$14,2,FALSE),0)</f>
        <v>6</v>
      </c>
      <c r="AA18" s="119">
        <f>IFERROR(W18-$W$16*VLOOKUP(Q18,$AF$4:$AG$14,2,FALSE),0)</f>
        <v>2</v>
      </c>
      <c r="AB18" s="118">
        <f>SUM(Y18:AA18)</f>
        <v>0</v>
      </c>
      <c r="AC18" s="117" t="str">
        <f>IF(B18="","",IF(AB18&lt;0,"niedogodziny",IF(AB18&gt;0,"nadgodziny","OK")))</f>
        <v>OK</v>
      </c>
    </row>
    <row r="19" spans="2:29">
      <c r="B19" s="125" t="s">
        <v>489</v>
      </c>
      <c r="C19" s="156" t="s">
        <v>7</v>
      </c>
      <c r="D19" s="124">
        <v>152</v>
      </c>
      <c r="E19" s="123"/>
      <c r="F19" s="153">
        <f>IFERROR(E19*$B$2*VLOOKUP(C19,$AF$4:$AG$14,2,FALSE),0)</f>
        <v>0</v>
      </c>
      <c r="G19" s="123"/>
      <c r="H19" s="153">
        <f>IFERROR(G19*$B$2*VLOOKUP(C19,$AF$4:$AG$14,2,FALSE),0)</f>
        <v>0</v>
      </c>
      <c r="I19" s="122">
        <f t="shared" si="16"/>
        <v>152</v>
      </c>
      <c r="J19" s="159" t="s">
        <v>7</v>
      </c>
      <c r="K19" s="124">
        <v>158</v>
      </c>
      <c r="L19" s="123"/>
      <c r="M19" s="153">
        <f>IFERROR(L19*$B$2*VLOOKUP(J19,$AF$4:$AG$14,2,FALSE),0)</f>
        <v>0</v>
      </c>
      <c r="N19" s="123"/>
      <c r="O19" s="153">
        <f>IFERROR(N19*$B$2*VLOOKUP(J19,$AF$4:$AG$14,2,FALSE),0)</f>
        <v>0</v>
      </c>
      <c r="P19" s="122">
        <f t="shared" si="19"/>
        <v>158</v>
      </c>
      <c r="Q19" s="159" t="s">
        <v>7</v>
      </c>
      <c r="R19" s="124">
        <v>170</v>
      </c>
      <c r="S19" s="123">
        <v>2</v>
      </c>
      <c r="T19" s="153">
        <f>IFERROR(S19*$B$2*VLOOKUP(Q19,$AF$4:$AG$14,2,FALSE),0)</f>
        <v>16</v>
      </c>
      <c r="U19" s="123"/>
      <c r="V19" s="153">
        <f>IFERROR(U19*$B$2*VLOOKUP(Q19,$AF$4:$AG$14,2,FALSE),0)</f>
        <v>0</v>
      </c>
      <c r="W19" s="122">
        <f t="shared" si="22"/>
        <v>186</v>
      </c>
      <c r="Y19" s="121">
        <f t="shared" ref="Y19:Y26" si="23">IFERROR(I19-$I$16*VLOOKUP(C19,$AF$4:$AG$14,2,FALSE),0)</f>
        <v>-16</v>
      </c>
      <c r="Z19" s="120">
        <f t="shared" ref="Z19:Z26" si="24">IFERROR(P19-$P$16*VLOOKUP(J19,$AF$4:$AG$14,2,FALSE),0)</f>
        <v>-2</v>
      </c>
      <c r="AA19" s="119">
        <f t="shared" ref="AA19:AA26" si="25">IFERROR(W19-$W$16*VLOOKUP(Q19,$AF$4:$AG$14,2,FALSE),0)</f>
        <v>18</v>
      </c>
      <c r="AB19" s="118">
        <f t="shared" ref="AB19:AB26" si="26">SUM(Y19:AA19)</f>
        <v>0</v>
      </c>
      <c r="AC19" s="117" t="str">
        <f t="shared" ref="AC19:AC26" si="27">IF(B19="","",IF(AB19&lt;0,"niedogodziny",IF(AB19&gt;0,"nadgodziny","OK")))</f>
        <v>OK</v>
      </c>
    </row>
    <row r="20" spans="2:29">
      <c r="B20" s="125" t="s">
        <v>497</v>
      </c>
      <c r="C20" s="156">
        <v>0.75</v>
      </c>
      <c r="D20" s="124">
        <v>130</v>
      </c>
      <c r="E20" s="123"/>
      <c r="F20" s="153">
        <f>IFERROR(E20*$B$2*VLOOKUP(C20,$AF$4:$AG$14,2,FALSE),0)</f>
        <v>0</v>
      </c>
      <c r="G20" s="123"/>
      <c r="H20" s="153">
        <f>IFERROR(G20*$B$2*VLOOKUP(C20,$AF$4:$AG$14,2,FALSE),0)</f>
        <v>0</v>
      </c>
      <c r="I20" s="122">
        <f t="shared" si="16"/>
        <v>130</v>
      </c>
      <c r="J20" s="159">
        <v>0.75</v>
      </c>
      <c r="K20" s="124">
        <v>62</v>
      </c>
      <c r="L20" s="123">
        <v>11</v>
      </c>
      <c r="M20" s="153">
        <f>IFERROR(L20*$B$2*VLOOKUP(J20,$AF$4:$AG$14,2,FALSE),0)</f>
        <v>66</v>
      </c>
      <c r="N20" s="123"/>
      <c r="O20" s="153">
        <f>IFERROR(N20*$B$2*VLOOKUP(J20,$AF$4:$AG$14,2,FALSE),0)</f>
        <v>0</v>
      </c>
      <c r="P20" s="122">
        <f t="shared" si="19"/>
        <v>128</v>
      </c>
      <c r="Q20" s="159">
        <v>0.75</v>
      </c>
      <c r="R20" s="124">
        <v>84</v>
      </c>
      <c r="S20" s="123">
        <v>5</v>
      </c>
      <c r="T20" s="153">
        <f>IFERROR(S20*$B$2*VLOOKUP(Q20,$AF$4:$AG$14,2,FALSE),0)</f>
        <v>30</v>
      </c>
      <c r="U20" s="123"/>
      <c r="V20" s="153">
        <f>IFERROR(U20*$B$2*VLOOKUP(Q20,$AF$4:$AG$14,2,FALSE),0)</f>
        <v>0</v>
      </c>
      <c r="W20" s="122">
        <f t="shared" si="22"/>
        <v>114</v>
      </c>
      <c r="Y20" s="121">
        <f t="shared" si="23"/>
        <v>4</v>
      </c>
      <c r="Z20" s="120">
        <f t="shared" si="24"/>
        <v>8</v>
      </c>
      <c r="AA20" s="119">
        <f t="shared" si="25"/>
        <v>-12</v>
      </c>
      <c r="AB20" s="118">
        <f t="shared" si="26"/>
        <v>0</v>
      </c>
      <c r="AC20" s="117" t="str">
        <f t="shared" si="27"/>
        <v>OK</v>
      </c>
    </row>
    <row r="21" spans="2:29">
      <c r="B21" s="125" t="s">
        <v>492</v>
      </c>
      <c r="C21" s="156">
        <v>0.25</v>
      </c>
      <c r="D21" s="124">
        <v>38</v>
      </c>
      <c r="E21" s="123"/>
      <c r="F21" s="153">
        <f>IFERROR(E21*$B$2*VLOOKUP(C21,$AF$4:$AG$14,2,FALSE),0)</f>
        <v>0</v>
      </c>
      <c r="G21" s="123"/>
      <c r="H21" s="153">
        <f>IFERROR(G21*$B$2*VLOOKUP(C21,$AF$4:$AG$14,2,FALSE),0)</f>
        <v>0</v>
      </c>
      <c r="I21" s="122">
        <f t="shared" si="16"/>
        <v>38</v>
      </c>
      <c r="J21" s="159">
        <v>0.25</v>
      </c>
      <c r="K21" s="124">
        <v>55</v>
      </c>
      <c r="L21" s="123"/>
      <c r="M21" s="153">
        <f>IFERROR(L21*$B$2*VLOOKUP(J21,$AF$4:$AG$14,2,FALSE),0)</f>
        <v>0</v>
      </c>
      <c r="N21" s="123"/>
      <c r="O21" s="153">
        <f>IFERROR(N21*$B$2*VLOOKUP(J21,$AF$4:$AG$14,2,FALSE),0)</f>
        <v>0</v>
      </c>
      <c r="P21" s="122">
        <f t="shared" si="19"/>
        <v>55</v>
      </c>
      <c r="Q21" s="159">
        <v>0.25</v>
      </c>
      <c r="R21" s="124">
        <v>40</v>
      </c>
      <c r="S21" s="123"/>
      <c r="T21" s="153">
        <f>IFERROR(S21*$B$2*VLOOKUP(Q21,$AF$4:$AG$14,2,FALSE),0)</f>
        <v>0</v>
      </c>
      <c r="U21" s="123"/>
      <c r="V21" s="153">
        <f>IFERROR(U21*$B$2*VLOOKUP(Q21,$AF$4:$AG$14,2,FALSE),0)</f>
        <v>0</v>
      </c>
      <c r="W21" s="122">
        <f t="shared" si="22"/>
        <v>40</v>
      </c>
      <c r="Y21" s="121">
        <f t="shared" si="23"/>
        <v>-4</v>
      </c>
      <c r="Z21" s="120">
        <f t="shared" si="24"/>
        <v>15</v>
      </c>
      <c r="AA21" s="119">
        <f t="shared" si="25"/>
        <v>-2</v>
      </c>
      <c r="AB21" s="118">
        <f t="shared" si="26"/>
        <v>9</v>
      </c>
      <c r="AC21" s="117" t="str">
        <f t="shared" si="27"/>
        <v>nadgodziny</v>
      </c>
    </row>
    <row r="22" spans="2:29">
      <c r="B22" s="125" t="s">
        <v>493</v>
      </c>
      <c r="C22" s="156">
        <v>0.5</v>
      </c>
      <c r="D22" s="124">
        <v>83.5</v>
      </c>
      <c r="E22" s="123"/>
      <c r="F22" s="153">
        <f>IFERROR(E22*$B$2*VLOOKUP(C22,$AF$4:$AG$14,2,FALSE),0)</f>
        <v>0</v>
      </c>
      <c r="G22" s="123"/>
      <c r="H22" s="153">
        <f>IFERROR(G22*$B$2*VLOOKUP(C22,$AF$4:$AG$14,2,FALSE),0)</f>
        <v>0</v>
      </c>
      <c r="I22" s="122">
        <f t="shared" si="16"/>
        <v>83.5</v>
      </c>
      <c r="J22" s="159">
        <v>0.5</v>
      </c>
      <c r="K22" s="124">
        <v>81</v>
      </c>
      <c r="L22" s="123"/>
      <c r="M22" s="153">
        <f>IFERROR(L22*$B$2*VLOOKUP(J22,$AF$4:$AG$14,2,FALSE),0)</f>
        <v>0</v>
      </c>
      <c r="N22" s="123"/>
      <c r="O22" s="153">
        <f>IFERROR(N22*$B$2*VLOOKUP(J22,$AF$4:$AG$14,2,FALSE),0)</f>
        <v>0</v>
      </c>
      <c r="P22" s="122">
        <f t="shared" si="19"/>
        <v>81</v>
      </c>
      <c r="Q22" s="159">
        <v>0.5</v>
      </c>
      <c r="R22" s="124">
        <v>83</v>
      </c>
      <c r="S22" s="123"/>
      <c r="T22" s="153">
        <f>IFERROR(S22*$B$2*VLOOKUP(Q22,$AF$4:$AG$14,2,FALSE),0)</f>
        <v>0</v>
      </c>
      <c r="U22" s="123"/>
      <c r="V22" s="153">
        <f>IFERROR(U22*$B$2*VLOOKUP(Q22,$AF$4:$AG$14,2,FALSE),0)</f>
        <v>0</v>
      </c>
      <c r="W22" s="122">
        <f t="shared" si="22"/>
        <v>83</v>
      </c>
      <c r="Y22" s="121">
        <f t="shared" si="23"/>
        <v>-0.5</v>
      </c>
      <c r="Z22" s="120">
        <f t="shared" si="24"/>
        <v>1</v>
      </c>
      <c r="AA22" s="119">
        <f t="shared" si="25"/>
        <v>-1</v>
      </c>
      <c r="AB22" s="118">
        <f t="shared" si="26"/>
        <v>-0.5</v>
      </c>
      <c r="AC22" s="117" t="str">
        <f t="shared" si="27"/>
        <v>niedogodziny</v>
      </c>
    </row>
    <row r="23" spans="2:29">
      <c r="B23" s="125" t="s">
        <v>494</v>
      </c>
      <c r="C23" s="156" t="s">
        <v>7</v>
      </c>
      <c r="D23" s="124">
        <v>135</v>
      </c>
      <c r="E23" s="123">
        <v>3</v>
      </c>
      <c r="F23" s="153">
        <f>IFERROR(E23*$B$2*VLOOKUP(C23,$AF$4:$AG$14,2,FALSE),0)</f>
        <v>24</v>
      </c>
      <c r="G23" s="123"/>
      <c r="H23" s="153">
        <f>IFERROR(G23*$B$2*VLOOKUP(C23,$AF$4:$AG$14,2,FALSE),0)</f>
        <v>0</v>
      </c>
      <c r="I23" s="122">
        <f t="shared" si="16"/>
        <v>159</v>
      </c>
      <c r="J23" s="159" t="s">
        <v>7</v>
      </c>
      <c r="K23" s="124">
        <v>164</v>
      </c>
      <c r="L23" s="123"/>
      <c r="M23" s="153">
        <f>IFERROR(L23*$B$2*VLOOKUP(J23,$AF$4:$AG$14,2,FALSE),0)</f>
        <v>0</v>
      </c>
      <c r="N23" s="123"/>
      <c r="O23" s="153">
        <f>IFERROR(N23*$B$2*VLOOKUP(J23,$AF$4:$AG$14,2,FALSE),0)</f>
        <v>0</v>
      </c>
      <c r="P23" s="122">
        <f t="shared" si="19"/>
        <v>164</v>
      </c>
      <c r="Q23" s="159">
        <v>0.5</v>
      </c>
      <c r="R23" s="124">
        <v>88</v>
      </c>
      <c r="S23" s="123"/>
      <c r="T23" s="153">
        <f t="shared" si="20"/>
        <v>0</v>
      </c>
      <c r="U23" s="123"/>
      <c r="V23" s="153">
        <f t="shared" si="21"/>
        <v>0</v>
      </c>
      <c r="W23" s="122">
        <f t="shared" si="22"/>
        <v>88</v>
      </c>
      <c r="Y23" s="121">
        <f t="shared" si="23"/>
        <v>-9</v>
      </c>
      <c r="Z23" s="120">
        <f t="shared" si="24"/>
        <v>4</v>
      </c>
      <c r="AA23" s="119">
        <f t="shared" si="25"/>
        <v>4</v>
      </c>
      <c r="AB23" s="118">
        <f t="shared" si="26"/>
        <v>-1</v>
      </c>
      <c r="AC23" s="117" t="str">
        <f t="shared" si="27"/>
        <v>niedogodziny</v>
      </c>
    </row>
    <row r="24" spans="2:29">
      <c r="B24" s="125" t="s">
        <v>498</v>
      </c>
      <c r="C24" s="156"/>
      <c r="D24" s="124"/>
      <c r="E24" s="123"/>
      <c r="F24" s="153">
        <f t="shared" si="14"/>
        <v>0</v>
      </c>
      <c r="G24" s="123"/>
      <c r="H24" s="153">
        <f t="shared" si="15"/>
        <v>0</v>
      </c>
      <c r="I24" s="122">
        <f t="shared" si="16"/>
        <v>0</v>
      </c>
      <c r="J24" s="159" t="s">
        <v>7</v>
      </c>
      <c r="K24" s="124">
        <v>155</v>
      </c>
      <c r="L24" s="123"/>
      <c r="M24" s="153">
        <f t="shared" si="17"/>
        <v>0</v>
      </c>
      <c r="N24" s="123"/>
      <c r="O24" s="153">
        <f t="shared" si="18"/>
        <v>0</v>
      </c>
      <c r="P24" s="122">
        <f t="shared" si="19"/>
        <v>155</v>
      </c>
      <c r="Q24" s="159" t="s">
        <v>7</v>
      </c>
      <c r="R24" s="124">
        <v>173</v>
      </c>
      <c r="S24" s="123"/>
      <c r="T24" s="153">
        <f t="shared" si="20"/>
        <v>0</v>
      </c>
      <c r="U24" s="123"/>
      <c r="V24" s="153">
        <f t="shared" si="21"/>
        <v>0</v>
      </c>
      <c r="W24" s="122">
        <f t="shared" si="22"/>
        <v>173</v>
      </c>
      <c r="Y24" s="121">
        <f t="shared" si="23"/>
        <v>0</v>
      </c>
      <c r="Z24" s="120">
        <f t="shared" si="24"/>
        <v>-5</v>
      </c>
      <c r="AA24" s="119">
        <f t="shared" si="25"/>
        <v>5</v>
      </c>
      <c r="AB24" s="118">
        <f t="shared" si="26"/>
        <v>0</v>
      </c>
      <c r="AC24" s="117" t="str">
        <f t="shared" si="27"/>
        <v>OK</v>
      </c>
    </row>
    <row r="25" spans="2:29">
      <c r="B25" s="125" t="s">
        <v>499</v>
      </c>
      <c r="C25" s="156"/>
      <c r="D25" s="124"/>
      <c r="E25" s="123"/>
      <c r="F25" s="153">
        <f t="shared" si="14"/>
        <v>0</v>
      </c>
      <c r="G25" s="123"/>
      <c r="H25" s="153">
        <f t="shared" si="15"/>
        <v>0</v>
      </c>
      <c r="I25" s="122">
        <f t="shared" si="16"/>
        <v>0</v>
      </c>
      <c r="J25" s="159" t="s">
        <v>7</v>
      </c>
      <c r="K25" s="124">
        <v>160</v>
      </c>
      <c r="L25" s="123"/>
      <c r="M25" s="153">
        <f t="shared" si="17"/>
        <v>0</v>
      </c>
      <c r="N25" s="123"/>
      <c r="O25" s="153">
        <f t="shared" si="18"/>
        <v>0</v>
      </c>
      <c r="P25" s="122">
        <f t="shared" si="19"/>
        <v>160</v>
      </c>
      <c r="Q25" s="159" t="s">
        <v>7</v>
      </c>
      <c r="R25" s="124">
        <v>168</v>
      </c>
      <c r="S25" s="123"/>
      <c r="T25" s="153">
        <f t="shared" si="20"/>
        <v>0</v>
      </c>
      <c r="U25" s="123"/>
      <c r="V25" s="153">
        <f t="shared" si="21"/>
        <v>0</v>
      </c>
      <c r="W25" s="122">
        <f t="shared" si="22"/>
        <v>168</v>
      </c>
      <c r="Y25" s="121">
        <f t="shared" si="23"/>
        <v>0</v>
      </c>
      <c r="Z25" s="120">
        <f t="shared" si="24"/>
        <v>0</v>
      </c>
      <c r="AA25" s="119">
        <f t="shared" si="25"/>
        <v>0</v>
      </c>
      <c r="AB25" s="118">
        <f t="shared" si="26"/>
        <v>0</v>
      </c>
      <c r="AC25" s="117" t="str">
        <f t="shared" si="27"/>
        <v>OK</v>
      </c>
    </row>
    <row r="26" spans="2:29">
      <c r="B26" s="125"/>
      <c r="C26" s="156"/>
      <c r="D26" s="124"/>
      <c r="E26" s="123"/>
      <c r="F26" s="153">
        <f t="shared" si="14"/>
        <v>0</v>
      </c>
      <c r="G26" s="123"/>
      <c r="H26" s="153">
        <f t="shared" si="15"/>
        <v>0</v>
      </c>
      <c r="I26" s="122">
        <f t="shared" si="16"/>
        <v>0</v>
      </c>
      <c r="J26" s="159"/>
      <c r="K26" s="124"/>
      <c r="L26" s="123"/>
      <c r="M26" s="153">
        <f t="shared" si="17"/>
        <v>0</v>
      </c>
      <c r="N26" s="123"/>
      <c r="O26" s="153">
        <f t="shared" si="18"/>
        <v>0</v>
      </c>
      <c r="P26" s="122">
        <f t="shared" si="19"/>
        <v>0</v>
      </c>
      <c r="Q26" s="159"/>
      <c r="R26" s="124"/>
      <c r="S26" s="123"/>
      <c r="T26" s="153">
        <f t="shared" si="20"/>
        <v>0</v>
      </c>
      <c r="U26" s="123"/>
      <c r="V26" s="153">
        <f t="shared" si="21"/>
        <v>0</v>
      </c>
      <c r="W26" s="122">
        <f t="shared" si="22"/>
        <v>0</v>
      </c>
      <c r="Y26" s="121">
        <f t="shared" si="23"/>
        <v>0</v>
      </c>
      <c r="Z26" s="120">
        <f t="shared" si="24"/>
        <v>0</v>
      </c>
      <c r="AA26" s="119">
        <f t="shared" si="25"/>
        <v>0</v>
      </c>
      <c r="AB26" s="118">
        <f t="shared" si="26"/>
        <v>0</v>
      </c>
      <c r="AC26" s="117" t="str">
        <f t="shared" si="27"/>
        <v/>
      </c>
    </row>
    <row r="27" spans="2:29" ht="12" thickBot="1">
      <c r="B27" s="116"/>
      <c r="C27" s="157"/>
      <c r="D27" s="115"/>
      <c r="E27" s="114"/>
      <c r="F27" s="154">
        <f t="shared" si="14"/>
        <v>0</v>
      </c>
      <c r="G27" s="114"/>
      <c r="H27" s="154">
        <f t="shared" si="15"/>
        <v>0</v>
      </c>
      <c r="I27" s="113">
        <f t="shared" si="16"/>
        <v>0</v>
      </c>
      <c r="J27" s="160"/>
      <c r="K27" s="115"/>
      <c r="L27" s="114"/>
      <c r="M27" s="154">
        <f t="shared" si="17"/>
        <v>0</v>
      </c>
      <c r="N27" s="114"/>
      <c r="O27" s="154">
        <f t="shared" si="18"/>
        <v>0</v>
      </c>
      <c r="P27" s="113">
        <f t="shared" si="19"/>
        <v>0</v>
      </c>
      <c r="Q27" s="160"/>
      <c r="R27" s="115"/>
      <c r="S27" s="114"/>
      <c r="T27" s="154">
        <f t="shared" si="20"/>
        <v>0</v>
      </c>
      <c r="U27" s="114"/>
      <c r="V27" s="154">
        <f t="shared" si="21"/>
        <v>0</v>
      </c>
      <c r="W27" s="113">
        <f t="shared" si="22"/>
        <v>0</v>
      </c>
      <c r="Y27" s="112">
        <f>IFERROR(I27-$I$16*VLOOKUP(C27,$AF$4:$AG$14,2,FALSE),0)</f>
        <v>0</v>
      </c>
      <c r="Z27" s="111">
        <f>IFERROR(P27-$P$16*VLOOKUP(J27,$AF$4:$AG$14,2,FALSE),0)</f>
        <v>0</v>
      </c>
      <c r="AA27" s="110">
        <f>IFERROR(W27-$W$16*VLOOKUP(Q27,$AF$4:$AG$14,2,FALSE),0)</f>
        <v>0</v>
      </c>
      <c r="AB27" s="109">
        <f>SUM(Y27:AA27)</f>
        <v>0</v>
      </c>
      <c r="AC27" s="108" t="str">
        <f>IF(B27="","",IF(AB27&lt;0,"niedogodziny",IF(AB27&gt;0,"nadgodziny","OK")))</f>
        <v/>
      </c>
    </row>
    <row r="28" spans="2:29" ht="12" thickBot="1">
      <c r="B28" s="136"/>
      <c r="AC28" s="107"/>
    </row>
    <row r="29" spans="2:29" ht="12" thickBot="1">
      <c r="B29" s="135"/>
      <c r="C29" s="659" t="s">
        <v>500</v>
      </c>
      <c r="D29" s="659"/>
      <c r="E29" s="659"/>
      <c r="F29" s="134"/>
      <c r="G29" s="134" t="s">
        <v>482</v>
      </c>
      <c r="H29" s="134"/>
      <c r="I29" s="133">
        <f>Calendar!F9</f>
        <v>184</v>
      </c>
      <c r="J29" s="660" t="s">
        <v>501</v>
      </c>
      <c r="K29" s="659"/>
      <c r="L29" s="659"/>
      <c r="M29" s="151"/>
      <c r="N29" s="134" t="s">
        <v>482</v>
      </c>
      <c r="O29" s="151"/>
      <c r="P29" s="133">
        <f>Calendar!F10</f>
        <v>160</v>
      </c>
      <c r="Q29" s="660" t="s">
        <v>502</v>
      </c>
      <c r="R29" s="659"/>
      <c r="S29" s="659"/>
      <c r="T29" s="151"/>
      <c r="U29" s="134" t="s">
        <v>482</v>
      </c>
      <c r="V29" s="151"/>
      <c r="W29" s="133">
        <f>Calendar!F11</f>
        <v>176</v>
      </c>
      <c r="AC29" s="107"/>
    </row>
    <row r="30" spans="2:29">
      <c r="B30" s="132" t="s">
        <v>6</v>
      </c>
      <c r="C30" s="130" t="s">
        <v>482</v>
      </c>
      <c r="D30" s="130" t="s">
        <v>485</v>
      </c>
      <c r="E30" s="130" t="s">
        <v>17</v>
      </c>
      <c r="F30" s="130"/>
      <c r="G30" s="130" t="s">
        <v>29</v>
      </c>
      <c r="H30" s="130"/>
      <c r="I30" s="129" t="s">
        <v>486</v>
      </c>
      <c r="J30" s="131" t="s">
        <v>482</v>
      </c>
      <c r="K30" s="130" t="s">
        <v>485</v>
      </c>
      <c r="L30" s="130" t="s">
        <v>17</v>
      </c>
      <c r="M30" s="152"/>
      <c r="N30" s="130" t="s">
        <v>29</v>
      </c>
      <c r="O30" s="152"/>
      <c r="P30" s="129" t="s">
        <v>486</v>
      </c>
      <c r="Q30" s="131" t="s">
        <v>482</v>
      </c>
      <c r="R30" s="130" t="s">
        <v>485</v>
      </c>
      <c r="S30" s="130" t="s">
        <v>17</v>
      </c>
      <c r="T30" s="152"/>
      <c r="U30" s="130" t="s">
        <v>29</v>
      </c>
      <c r="V30" s="152"/>
      <c r="W30" s="129" t="s">
        <v>486</v>
      </c>
      <c r="Y30" s="128" t="s">
        <v>61</v>
      </c>
      <c r="Z30" s="127" t="s">
        <v>503</v>
      </c>
      <c r="AA30" s="126" t="s">
        <v>63</v>
      </c>
      <c r="AB30" s="657" t="s">
        <v>487</v>
      </c>
      <c r="AC30" s="658"/>
    </row>
    <row r="31" spans="2:29">
      <c r="B31" s="125" t="s">
        <v>488</v>
      </c>
      <c r="C31" s="156" t="s">
        <v>7</v>
      </c>
      <c r="D31" s="124"/>
      <c r="E31" s="123"/>
      <c r="F31" s="153">
        <f t="shared" ref="F31:F40" si="28">IFERROR(E31*$B$2*VLOOKUP(C31,$AF$4:$AG$14,2,FALSE),0)</f>
        <v>0</v>
      </c>
      <c r="G31" s="123"/>
      <c r="H31" s="153">
        <f t="shared" ref="H31:H40" si="29">IFERROR(G31*$B$2*VLOOKUP(C31,$AF$4:$AG$14,2,FALSE),0)</f>
        <v>0</v>
      </c>
      <c r="I31" s="122">
        <f t="shared" ref="I31:I40" si="30">D31+F31+H31</f>
        <v>0</v>
      </c>
      <c r="J31" s="159"/>
      <c r="K31" s="124"/>
      <c r="L31" s="123"/>
      <c r="M31" s="153">
        <f t="shared" ref="M31:M40" si="31">IFERROR(L31*$B$2*VLOOKUP(J31,$AF$4:$AG$14,2,FALSE),0)</f>
        <v>0</v>
      </c>
      <c r="N31" s="123"/>
      <c r="O31" s="153">
        <f t="shared" ref="O31:O40" si="32">IFERROR(N31*$B$2*VLOOKUP(J31,$AF$4:$AG$14,2,FALSE),0)</f>
        <v>0</v>
      </c>
      <c r="P31" s="122">
        <f t="shared" ref="P31:P40" si="33">K31+M31+O31</f>
        <v>0</v>
      </c>
      <c r="Q31" s="159"/>
      <c r="R31" s="124"/>
      <c r="S31" s="123"/>
      <c r="T31" s="153">
        <f t="shared" ref="T31:T40" si="34">IFERROR(S31*$B$2*VLOOKUP(Q31,$AF$4:$AG$14,2,FALSE),0)</f>
        <v>0</v>
      </c>
      <c r="U31" s="123"/>
      <c r="V31" s="153">
        <f t="shared" ref="V31:V40" si="35">IFERROR(U31*$B$2*VLOOKUP(Q31,$AF$4:$AG$14,2,FALSE),0)</f>
        <v>0</v>
      </c>
      <c r="W31" s="122">
        <f t="shared" ref="W31:W40" si="36">R31+T31+V31</f>
        <v>0</v>
      </c>
      <c r="Y31" s="121">
        <f>IFERROR(I31-$I$29*VLOOKUP(C31,$AF$4:$AG$14,2,FALSE),0)</f>
        <v>-184</v>
      </c>
      <c r="Z31" s="120">
        <f>IFERROR(P31-$P$29*VLOOKUP(J31,$AF$4:$AG$14,2,FALSE),0)</f>
        <v>0</v>
      </c>
      <c r="AA31" s="119">
        <f>IFERROR(W31-$W$29*VLOOKUP(Q31,$AF$4:$AG$14,2,FALSE),0)</f>
        <v>0</v>
      </c>
      <c r="AB31" s="118">
        <f>SUM(Y31:AA31)</f>
        <v>-184</v>
      </c>
      <c r="AC31" s="117" t="str">
        <f>IF(B31="","",IF(AB31&lt;0,"niedogodziny",IF(AB31&gt;0,"nadgodziny","OK")))</f>
        <v>niedogodziny</v>
      </c>
    </row>
    <row r="32" spans="2:29">
      <c r="B32" s="125" t="s">
        <v>488</v>
      </c>
      <c r="C32" s="156" t="s">
        <v>7</v>
      </c>
      <c r="D32" s="124"/>
      <c r="E32" s="123"/>
      <c r="F32" s="153">
        <f t="shared" si="28"/>
        <v>0</v>
      </c>
      <c r="G32" s="123"/>
      <c r="H32" s="153">
        <f t="shared" si="29"/>
        <v>0</v>
      </c>
      <c r="I32" s="122">
        <f t="shared" si="30"/>
        <v>0</v>
      </c>
      <c r="J32" s="159"/>
      <c r="K32" s="124"/>
      <c r="L32" s="123"/>
      <c r="M32" s="153">
        <f t="shared" si="31"/>
        <v>0</v>
      </c>
      <c r="N32" s="123"/>
      <c r="O32" s="153">
        <f t="shared" si="32"/>
        <v>0</v>
      </c>
      <c r="P32" s="122">
        <f t="shared" si="33"/>
        <v>0</v>
      </c>
      <c r="Q32" s="159"/>
      <c r="R32" s="124"/>
      <c r="S32" s="123"/>
      <c r="T32" s="153">
        <f t="shared" si="34"/>
        <v>0</v>
      </c>
      <c r="U32" s="123"/>
      <c r="V32" s="153">
        <f t="shared" si="35"/>
        <v>0</v>
      </c>
      <c r="W32" s="122">
        <f t="shared" si="36"/>
        <v>0</v>
      </c>
      <c r="Y32" s="121">
        <f t="shared" ref="Y32:Y38" si="37">IFERROR(I32-$I$29*VLOOKUP(C32,$AF$4:$AG$14,2,FALSE),0)</f>
        <v>-184</v>
      </c>
      <c r="Z32" s="120">
        <f t="shared" ref="Z32:Z38" si="38">IFERROR(P32-$P$29*VLOOKUP(J32,$AF$4:$AG$14,2,FALSE),0)</f>
        <v>0</v>
      </c>
      <c r="AA32" s="119">
        <f t="shared" ref="AA32:AA38" si="39">IFERROR(W32-$W$29*VLOOKUP(Q32,$AF$4:$AG$14,2,FALSE),0)</f>
        <v>0</v>
      </c>
      <c r="AB32" s="118">
        <f t="shared" ref="AB32:AB38" si="40">SUM(Y32:AA32)</f>
        <v>-184</v>
      </c>
      <c r="AC32" s="117" t="str">
        <f t="shared" ref="AC32:AC38" si="41">IF(B32="","",IF(AB32&lt;0,"niedogodziny",IF(AB32&gt;0,"nadgodziny","OK")))</f>
        <v>niedogodziny</v>
      </c>
    </row>
    <row r="33" spans="2:29">
      <c r="B33" s="125" t="s">
        <v>489</v>
      </c>
      <c r="C33" s="156" t="s">
        <v>7</v>
      </c>
      <c r="D33" s="124"/>
      <c r="E33" s="123"/>
      <c r="F33" s="153">
        <f t="shared" si="28"/>
        <v>0</v>
      </c>
      <c r="G33" s="123"/>
      <c r="H33" s="153">
        <f>IFERROR(G33*$B$2*VLOOKUP(C33,$AF$4:$AG$14,2,FALSE),0)</f>
        <v>0</v>
      </c>
      <c r="I33" s="122">
        <f t="shared" si="30"/>
        <v>0</v>
      </c>
      <c r="J33" s="159"/>
      <c r="K33" s="124"/>
      <c r="L33" s="123"/>
      <c r="M33" s="153">
        <f>IFERROR(L33*$B$2*VLOOKUP(J33,$AF$4:$AG$14,2,FALSE),0)</f>
        <v>0</v>
      </c>
      <c r="N33" s="123"/>
      <c r="O33" s="153">
        <f>IFERROR(N33*$B$2*VLOOKUP(J33,$AF$4:$AG$14,2,FALSE),0)</f>
        <v>0</v>
      </c>
      <c r="P33" s="122">
        <f t="shared" si="33"/>
        <v>0</v>
      </c>
      <c r="Q33" s="159"/>
      <c r="R33" s="124"/>
      <c r="S33" s="123"/>
      <c r="T33" s="153">
        <f>IFERROR(S33*$B$2*VLOOKUP(Q33,$AF$4:$AG$14,2,FALSE),0)</f>
        <v>0</v>
      </c>
      <c r="U33" s="123"/>
      <c r="V33" s="153">
        <f>IFERROR(U33*$B$2*VLOOKUP(Q33,$AF$4:$AG$14,2,FALSE),0)</f>
        <v>0</v>
      </c>
      <c r="W33" s="122">
        <f t="shared" si="36"/>
        <v>0</v>
      </c>
      <c r="Y33" s="121">
        <f t="shared" si="37"/>
        <v>-184</v>
      </c>
      <c r="Z33" s="120">
        <f t="shared" si="38"/>
        <v>0</v>
      </c>
      <c r="AA33" s="119">
        <f t="shared" si="39"/>
        <v>0</v>
      </c>
      <c r="AB33" s="118">
        <f t="shared" si="40"/>
        <v>-184</v>
      </c>
      <c r="AC33" s="117" t="str">
        <f t="shared" si="41"/>
        <v>niedogodziny</v>
      </c>
    </row>
    <row r="34" spans="2:29">
      <c r="B34" s="125" t="s">
        <v>497</v>
      </c>
      <c r="C34" s="156">
        <v>0.75</v>
      </c>
      <c r="D34" s="124"/>
      <c r="E34" s="123"/>
      <c r="F34" s="153">
        <f t="shared" si="28"/>
        <v>0</v>
      </c>
      <c r="G34" s="123"/>
      <c r="H34" s="153">
        <f>IFERROR(G34*$B$2*VLOOKUP(C34,$AF$4:$AG$14,2,FALSE),0)</f>
        <v>0</v>
      </c>
      <c r="I34" s="122">
        <f t="shared" si="30"/>
        <v>0</v>
      </c>
      <c r="J34" s="159"/>
      <c r="K34" s="124"/>
      <c r="L34" s="123"/>
      <c r="M34" s="153">
        <f>IFERROR(L34*$B$2*VLOOKUP(J34,$AF$4:$AG$14,2,FALSE),0)</f>
        <v>0</v>
      </c>
      <c r="N34" s="123"/>
      <c r="O34" s="153">
        <f>IFERROR(N34*$B$2*VLOOKUP(J34,$AF$4:$AG$14,2,FALSE),0)</f>
        <v>0</v>
      </c>
      <c r="P34" s="122">
        <f t="shared" si="33"/>
        <v>0</v>
      </c>
      <c r="Q34" s="159"/>
      <c r="R34" s="124"/>
      <c r="S34" s="123"/>
      <c r="T34" s="153">
        <f>IFERROR(S34*$B$2*VLOOKUP(Q34,$AF$4:$AG$14,2,FALSE),0)</f>
        <v>0</v>
      </c>
      <c r="U34" s="123"/>
      <c r="V34" s="153">
        <f>IFERROR(U34*$B$2*VLOOKUP(Q34,$AF$4:$AG$14,2,FALSE),0)</f>
        <v>0</v>
      </c>
      <c r="W34" s="122">
        <f t="shared" si="36"/>
        <v>0</v>
      </c>
      <c r="Y34" s="121">
        <f t="shared" si="37"/>
        <v>-138</v>
      </c>
      <c r="Z34" s="120">
        <f t="shared" si="38"/>
        <v>0</v>
      </c>
      <c r="AA34" s="119">
        <f t="shared" si="39"/>
        <v>0</v>
      </c>
      <c r="AB34" s="118">
        <f t="shared" si="40"/>
        <v>-138</v>
      </c>
      <c r="AC34" s="117" t="str">
        <f t="shared" si="41"/>
        <v>niedogodziny</v>
      </c>
    </row>
    <row r="35" spans="2:29">
      <c r="B35" s="125" t="s">
        <v>492</v>
      </c>
      <c r="C35" s="156">
        <v>0.5</v>
      </c>
      <c r="D35" s="124"/>
      <c r="E35" s="123"/>
      <c r="F35" s="153">
        <f t="shared" si="28"/>
        <v>0</v>
      </c>
      <c r="G35" s="123"/>
      <c r="H35" s="153">
        <f>IFERROR(G35*$B$2*VLOOKUP(C35,$AF$4:$AG$14,2,FALSE),0)</f>
        <v>0</v>
      </c>
      <c r="I35" s="122">
        <f t="shared" si="30"/>
        <v>0</v>
      </c>
      <c r="J35" s="159"/>
      <c r="K35" s="124"/>
      <c r="L35" s="123"/>
      <c r="M35" s="153">
        <f t="shared" si="31"/>
        <v>0</v>
      </c>
      <c r="N35" s="123"/>
      <c r="O35" s="153">
        <f t="shared" si="32"/>
        <v>0</v>
      </c>
      <c r="P35" s="122">
        <f t="shared" si="33"/>
        <v>0</v>
      </c>
      <c r="Q35" s="159"/>
      <c r="R35" s="124"/>
      <c r="S35" s="123"/>
      <c r="T35" s="153">
        <f t="shared" si="34"/>
        <v>0</v>
      </c>
      <c r="U35" s="123"/>
      <c r="V35" s="153">
        <f t="shared" si="35"/>
        <v>0</v>
      </c>
      <c r="W35" s="122">
        <f t="shared" si="36"/>
        <v>0</v>
      </c>
      <c r="Y35" s="121">
        <f t="shared" si="37"/>
        <v>-92</v>
      </c>
      <c r="Z35" s="120">
        <f t="shared" si="38"/>
        <v>0</v>
      </c>
      <c r="AA35" s="119">
        <f t="shared" si="39"/>
        <v>0</v>
      </c>
      <c r="AB35" s="118">
        <f t="shared" si="40"/>
        <v>-92</v>
      </c>
      <c r="AC35" s="117" t="str">
        <f t="shared" si="41"/>
        <v>niedogodziny</v>
      </c>
    </row>
    <row r="36" spans="2:29">
      <c r="B36" s="125" t="s">
        <v>493</v>
      </c>
      <c r="C36" s="156">
        <v>0.5</v>
      </c>
      <c r="D36" s="124"/>
      <c r="E36" s="123"/>
      <c r="F36" s="153">
        <f t="shared" si="28"/>
        <v>0</v>
      </c>
      <c r="G36" s="123"/>
      <c r="H36" s="153">
        <f t="shared" si="29"/>
        <v>0</v>
      </c>
      <c r="I36" s="122">
        <f t="shared" si="30"/>
        <v>0</v>
      </c>
      <c r="J36" s="159"/>
      <c r="K36" s="124"/>
      <c r="L36" s="123"/>
      <c r="M36" s="153">
        <f t="shared" si="31"/>
        <v>0</v>
      </c>
      <c r="N36" s="123"/>
      <c r="O36" s="153">
        <f t="shared" si="32"/>
        <v>0</v>
      </c>
      <c r="P36" s="122">
        <f t="shared" si="33"/>
        <v>0</v>
      </c>
      <c r="Q36" s="159"/>
      <c r="R36" s="124"/>
      <c r="S36" s="123"/>
      <c r="T36" s="153">
        <f t="shared" si="34"/>
        <v>0</v>
      </c>
      <c r="U36" s="123"/>
      <c r="V36" s="153">
        <f t="shared" si="35"/>
        <v>0</v>
      </c>
      <c r="W36" s="122">
        <f t="shared" si="36"/>
        <v>0</v>
      </c>
      <c r="Y36" s="121">
        <f t="shared" si="37"/>
        <v>-92</v>
      </c>
      <c r="Z36" s="120">
        <f t="shared" si="38"/>
        <v>0</v>
      </c>
      <c r="AA36" s="119">
        <f t="shared" si="39"/>
        <v>0</v>
      </c>
      <c r="AB36" s="118">
        <f t="shared" si="40"/>
        <v>-92</v>
      </c>
      <c r="AC36" s="117" t="str">
        <f t="shared" si="41"/>
        <v>niedogodziny</v>
      </c>
    </row>
    <row r="37" spans="2:29">
      <c r="B37" s="125" t="s">
        <v>494</v>
      </c>
      <c r="C37" s="156" t="s">
        <v>7</v>
      </c>
      <c r="D37" s="124"/>
      <c r="E37" s="123"/>
      <c r="F37" s="153">
        <f t="shared" si="28"/>
        <v>0</v>
      </c>
      <c r="G37" s="123"/>
      <c r="H37" s="153">
        <f t="shared" si="29"/>
        <v>0</v>
      </c>
      <c r="I37" s="122">
        <f t="shared" si="30"/>
        <v>0</v>
      </c>
      <c r="J37" s="159"/>
      <c r="K37" s="124"/>
      <c r="L37" s="123"/>
      <c r="M37" s="153">
        <f t="shared" si="31"/>
        <v>0</v>
      </c>
      <c r="N37" s="123"/>
      <c r="O37" s="153">
        <f t="shared" si="32"/>
        <v>0</v>
      </c>
      <c r="P37" s="122">
        <f t="shared" si="33"/>
        <v>0</v>
      </c>
      <c r="Q37" s="159"/>
      <c r="R37" s="124"/>
      <c r="S37" s="123"/>
      <c r="T37" s="153">
        <f t="shared" si="34"/>
        <v>0</v>
      </c>
      <c r="U37" s="123"/>
      <c r="V37" s="153">
        <f t="shared" si="35"/>
        <v>0</v>
      </c>
      <c r="W37" s="122">
        <f t="shared" si="36"/>
        <v>0</v>
      </c>
      <c r="Y37" s="121">
        <f t="shared" si="37"/>
        <v>-184</v>
      </c>
      <c r="Z37" s="120">
        <f t="shared" si="38"/>
        <v>0</v>
      </c>
      <c r="AA37" s="119">
        <f t="shared" si="39"/>
        <v>0</v>
      </c>
      <c r="AB37" s="118">
        <f t="shared" si="40"/>
        <v>-184</v>
      </c>
      <c r="AC37" s="117" t="str">
        <f t="shared" si="41"/>
        <v>niedogodziny</v>
      </c>
    </row>
    <row r="38" spans="2:29">
      <c r="B38" s="125" t="s">
        <v>504</v>
      </c>
      <c r="C38" s="156" t="s">
        <v>7</v>
      </c>
      <c r="D38" s="124"/>
      <c r="E38" s="123"/>
      <c r="F38" s="153">
        <f t="shared" si="28"/>
        <v>0</v>
      </c>
      <c r="G38" s="123"/>
      <c r="H38" s="153">
        <f t="shared" si="29"/>
        <v>0</v>
      </c>
      <c r="I38" s="122">
        <f t="shared" si="30"/>
        <v>0</v>
      </c>
      <c r="J38" s="159"/>
      <c r="K38" s="124"/>
      <c r="L38" s="123"/>
      <c r="M38" s="153">
        <f t="shared" si="31"/>
        <v>0</v>
      </c>
      <c r="N38" s="123"/>
      <c r="O38" s="153">
        <f t="shared" si="32"/>
        <v>0</v>
      </c>
      <c r="P38" s="122">
        <f t="shared" si="33"/>
        <v>0</v>
      </c>
      <c r="Q38" s="159"/>
      <c r="R38" s="124"/>
      <c r="S38" s="123"/>
      <c r="T38" s="153">
        <f t="shared" si="34"/>
        <v>0</v>
      </c>
      <c r="U38" s="123"/>
      <c r="V38" s="153">
        <f t="shared" si="35"/>
        <v>0</v>
      </c>
      <c r="W38" s="122">
        <f t="shared" si="36"/>
        <v>0</v>
      </c>
      <c r="Y38" s="121">
        <f t="shared" si="37"/>
        <v>-184</v>
      </c>
      <c r="Z38" s="120">
        <f t="shared" si="38"/>
        <v>0</v>
      </c>
      <c r="AA38" s="119">
        <f t="shared" si="39"/>
        <v>0</v>
      </c>
      <c r="AB38" s="118">
        <f t="shared" si="40"/>
        <v>-184</v>
      </c>
      <c r="AC38" s="117" t="str">
        <f t="shared" si="41"/>
        <v>niedogodziny</v>
      </c>
    </row>
    <row r="39" spans="2:29">
      <c r="B39" s="125"/>
      <c r="C39" s="156"/>
      <c r="D39" s="124"/>
      <c r="E39" s="123"/>
      <c r="F39" s="153">
        <f t="shared" si="28"/>
        <v>0</v>
      </c>
      <c r="G39" s="123"/>
      <c r="H39" s="153">
        <f t="shared" si="29"/>
        <v>0</v>
      </c>
      <c r="I39" s="122">
        <f t="shared" si="30"/>
        <v>0</v>
      </c>
      <c r="J39" s="159"/>
      <c r="K39" s="124"/>
      <c r="L39" s="123"/>
      <c r="M39" s="153">
        <f t="shared" si="31"/>
        <v>0</v>
      </c>
      <c r="N39" s="123"/>
      <c r="O39" s="153">
        <f t="shared" si="32"/>
        <v>0</v>
      </c>
      <c r="P39" s="122">
        <f t="shared" si="33"/>
        <v>0</v>
      </c>
      <c r="Q39" s="159"/>
      <c r="R39" s="124"/>
      <c r="S39" s="123"/>
      <c r="T39" s="153">
        <f t="shared" si="34"/>
        <v>0</v>
      </c>
      <c r="U39" s="123"/>
      <c r="V39" s="153">
        <f t="shared" si="35"/>
        <v>0</v>
      </c>
      <c r="W39" s="122">
        <f t="shared" si="36"/>
        <v>0</v>
      </c>
      <c r="Y39" s="121">
        <f>IFERROR(I39-$I$29*VLOOKUP(C39,$AF$4:$AG$14,2,FALSE),0)</f>
        <v>0</v>
      </c>
      <c r="Z39" s="120">
        <f>IFERROR(P39-$P$29*VLOOKUP(J39,$AF$4:$AG$14,2,FALSE),0)</f>
        <v>0</v>
      </c>
      <c r="AA39" s="119">
        <f>IFERROR(W39-$W$29*VLOOKUP(Q39,$AF$4:$AG$14,2,FALSE),0)</f>
        <v>0</v>
      </c>
      <c r="AB39" s="118">
        <f>SUM(Y39:AA39)</f>
        <v>0</v>
      </c>
      <c r="AC39" s="117" t="str">
        <f>IF(B39="","",IF(AB39&lt;0,"niedogodziny",IF(AB39&gt;0,"nadgodziny","OK")))</f>
        <v/>
      </c>
    </row>
    <row r="40" spans="2:29" ht="12" thickBot="1">
      <c r="B40" s="116"/>
      <c r="C40" s="157"/>
      <c r="D40" s="115"/>
      <c r="E40" s="114"/>
      <c r="F40" s="154">
        <f t="shared" si="28"/>
        <v>0</v>
      </c>
      <c r="G40" s="114"/>
      <c r="H40" s="154">
        <f t="shared" si="29"/>
        <v>0</v>
      </c>
      <c r="I40" s="113">
        <f t="shared" si="30"/>
        <v>0</v>
      </c>
      <c r="J40" s="160"/>
      <c r="K40" s="115"/>
      <c r="L40" s="114"/>
      <c r="M40" s="154">
        <f t="shared" si="31"/>
        <v>0</v>
      </c>
      <c r="N40" s="114"/>
      <c r="O40" s="154">
        <f t="shared" si="32"/>
        <v>0</v>
      </c>
      <c r="P40" s="113">
        <f t="shared" si="33"/>
        <v>0</v>
      </c>
      <c r="Q40" s="160"/>
      <c r="R40" s="115"/>
      <c r="S40" s="114"/>
      <c r="T40" s="154">
        <f t="shared" si="34"/>
        <v>0</v>
      </c>
      <c r="U40" s="114"/>
      <c r="V40" s="154">
        <f t="shared" si="35"/>
        <v>0</v>
      </c>
      <c r="W40" s="113">
        <f t="shared" si="36"/>
        <v>0</v>
      </c>
      <c r="Y40" s="112">
        <f>IFERROR(I40-$I$29*VLOOKUP(C40,$AF$4:$AG$14,2,FALSE),0)</f>
        <v>0</v>
      </c>
      <c r="Z40" s="111">
        <f>IFERROR(P40-$P$29*VLOOKUP(J40,$AF$4:$AG$14,2,FALSE),0)</f>
        <v>0</v>
      </c>
      <c r="AA40" s="110">
        <f>IFERROR(W40-$W$29*VLOOKUP(Q40,$AF$4:$AG$14,2,FALSE),0)</f>
        <v>0</v>
      </c>
      <c r="AB40" s="109">
        <f>SUM(Y40:AA40)</f>
        <v>0</v>
      </c>
      <c r="AC40" s="108" t="str">
        <f>IF(B40="","",IF(AB40&lt;0,"niedogodziny",IF(AB40&gt;0,"nadgodziny","OK")))</f>
        <v/>
      </c>
    </row>
    <row r="41" spans="2:29" ht="12" thickBot="1">
      <c r="B41" s="136"/>
      <c r="AC41" s="107"/>
    </row>
    <row r="42" spans="2:29" ht="12" thickBot="1">
      <c r="B42" s="135"/>
      <c r="C42" s="659" t="s">
        <v>505</v>
      </c>
      <c r="D42" s="659"/>
      <c r="E42" s="659"/>
      <c r="F42" s="134"/>
      <c r="G42" s="134" t="s">
        <v>482</v>
      </c>
      <c r="H42" s="134"/>
      <c r="I42" s="133">
        <f>Calendar!F12</f>
        <v>176</v>
      </c>
      <c r="J42" s="660" t="s">
        <v>506</v>
      </c>
      <c r="K42" s="659"/>
      <c r="L42" s="659"/>
      <c r="M42" s="151"/>
      <c r="N42" s="134" t="s">
        <v>482</v>
      </c>
      <c r="O42" s="151"/>
      <c r="P42" s="133">
        <f>Calendar!F13</f>
        <v>160</v>
      </c>
      <c r="Q42" s="660" t="s">
        <v>507</v>
      </c>
      <c r="R42" s="659"/>
      <c r="S42" s="659"/>
      <c r="T42" s="151"/>
      <c r="U42" s="134" t="s">
        <v>482</v>
      </c>
      <c r="V42" s="151"/>
      <c r="W42" s="133">
        <f>Calendar!F14</f>
        <v>160</v>
      </c>
      <c r="AC42" s="107"/>
    </row>
    <row r="43" spans="2:29">
      <c r="B43" s="132" t="s">
        <v>6</v>
      </c>
      <c r="C43" s="130" t="s">
        <v>482</v>
      </c>
      <c r="D43" s="130" t="s">
        <v>485</v>
      </c>
      <c r="E43" s="130" t="s">
        <v>17</v>
      </c>
      <c r="F43" s="130"/>
      <c r="G43" s="130" t="s">
        <v>29</v>
      </c>
      <c r="H43" s="130"/>
      <c r="I43" s="129" t="s">
        <v>486</v>
      </c>
      <c r="J43" s="131" t="s">
        <v>482</v>
      </c>
      <c r="K43" s="130" t="s">
        <v>485</v>
      </c>
      <c r="L43" s="130" t="s">
        <v>17</v>
      </c>
      <c r="M43" s="152"/>
      <c r="N43" s="130" t="s">
        <v>29</v>
      </c>
      <c r="O43" s="152"/>
      <c r="P43" s="129" t="s">
        <v>486</v>
      </c>
      <c r="Q43" s="131" t="s">
        <v>482</v>
      </c>
      <c r="R43" s="130" t="s">
        <v>485</v>
      </c>
      <c r="S43" s="130" t="s">
        <v>17</v>
      </c>
      <c r="T43" s="152"/>
      <c r="U43" s="130" t="s">
        <v>29</v>
      </c>
      <c r="V43" s="152"/>
      <c r="W43" s="129" t="s">
        <v>486</v>
      </c>
      <c r="Y43" s="128" t="s">
        <v>64</v>
      </c>
      <c r="Z43" s="127" t="s">
        <v>65</v>
      </c>
      <c r="AA43" s="126" t="s">
        <v>66</v>
      </c>
      <c r="AB43" s="657" t="s">
        <v>487</v>
      </c>
      <c r="AC43" s="658"/>
    </row>
    <row r="44" spans="2:29">
      <c r="B44" s="125"/>
      <c r="C44" s="156"/>
      <c r="D44" s="124"/>
      <c r="E44" s="123"/>
      <c r="F44" s="153">
        <f t="shared" ref="F44:F53" si="42">IFERROR(E44*$B$2*VLOOKUP(C44,$AF$4:$AG$14,2,FALSE),0)</f>
        <v>0</v>
      </c>
      <c r="G44" s="123"/>
      <c r="H44" s="153">
        <f t="shared" ref="H44:H53" si="43">IFERROR(G44*$B$2*VLOOKUP(C44,$AF$4:$AG$14,2,FALSE),0)</f>
        <v>0</v>
      </c>
      <c r="I44" s="122">
        <f t="shared" ref="I44:I53" si="44">D44+F44+H44</f>
        <v>0</v>
      </c>
      <c r="J44" s="159"/>
      <c r="K44" s="124"/>
      <c r="L44" s="123"/>
      <c r="M44" s="153">
        <f t="shared" ref="M44:M53" si="45">IFERROR(L44*$B$2*VLOOKUP(J44,$AF$4:$AG$14,2,FALSE),0)</f>
        <v>0</v>
      </c>
      <c r="N44" s="123"/>
      <c r="O44" s="153">
        <f t="shared" ref="O44:O53" si="46">IFERROR(N44*$B$2*VLOOKUP(J44,$AF$4:$AG$14,2,FALSE),0)</f>
        <v>0</v>
      </c>
      <c r="P44" s="122">
        <f t="shared" ref="P44:P53" si="47">K44+M44+O44</f>
        <v>0</v>
      </c>
      <c r="Q44" s="159"/>
      <c r="R44" s="124"/>
      <c r="S44" s="123"/>
      <c r="T44" s="153">
        <f t="shared" ref="T44:T53" si="48">IFERROR(S44*$B$2*VLOOKUP(Q44,$AF$4:$AG$14,2,FALSE),0)</f>
        <v>0</v>
      </c>
      <c r="U44" s="123"/>
      <c r="V44" s="153">
        <f t="shared" ref="V44:V53" si="49">IFERROR(U44*$B$2*VLOOKUP(Q44,$AF$4:$AG$14,2,FALSE),0)</f>
        <v>0</v>
      </c>
      <c r="W44" s="122">
        <f t="shared" ref="W44:W53" si="50">R44+T44+V44</f>
        <v>0</v>
      </c>
      <c r="Y44" s="121">
        <f t="shared" ref="Y44:Y53" si="51">IFERROR(I44-$I$42*VLOOKUP(C44,$AF$4:$AG$14,2,FALSE),0)</f>
        <v>0</v>
      </c>
      <c r="Z44" s="120">
        <f t="shared" ref="Z44:Z53" si="52">IFERROR(P44-$P$42*VLOOKUP(J44,$AF$4:$AG$14,2,FALSE),0)</f>
        <v>0</v>
      </c>
      <c r="AA44" s="119">
        <f t="shared" ref="AA44:AA53" si="53">IFERROR(W44-$W$42*VLOOKUP(Q44,$AF$4:$AG$14,2,FALSE),0)</f>
        <v>0</v>
      </c>
      <c r="AB44" s="118">
        <f>SUM(Y44:AA44)</f>
        <v>0</v>
      </c>
      <c r="AC44" s="117" t="str">
        <f>IF(B44="","",IF(AB44&lt;0,"niedogodziny",IF(AB44&gt;0,"nadgodziny","OK")))</f>
        <v/>
      </c>
    </row>
    <row r="45" spans="2:29">
      <c r="B45" s="125"/>
      <c r="C45" s="156"/>
      <c r="D45" s="124"/>
      <c r="E45" s="123"/>
      <c r="F45" s="153">
        <f t="shared" si="42"/>
        <v>0</v>
      </c>
      <c r="G45" s="123"/>
      <c r="H45" s="153">
        <f t="shared" si="43"/>
        <v>0</v>
      </c>
      <c r="I45" s="122">
        <f t="shared" si="44"/>
        <v>0</v>
      </c>
      <c r="J45" s="159"/>
      <c r="K45" s="124"/>
      <c r="L45" s="123"/>
      <c r="M45" s="153">
        <f>IFERROR(L45*$B$2*VLOOKUP(J45,$AF$4:$AG$14,2,FALSE),0)</f>
        <v>0</v>
      </c>
      <c r="N45" s="123"/>
      <c r="O45" s="153">
        <f>IFERROR(N45*$B$2*VLOOKUP(J45,$AF$4:$AG$14,2,FALSE),0)</f>
        <v>0</v>
      </c>
      <c r="P45" s="122">
        <f t="shared" si="47"/>
        <v>0</v>
      </c>
      <c r="Q45" s="159"/>
      <c r="R45" s="124"/>
      <c r="S45" s="123"/>
      <c r="T45" s="153">
        <f>IFERROR(S45*$B$2*VLOOKUP(Q45,$AF$4:$AG$14,2,FALSE),0)</f>
        <v>0</v>
      </c>
      <c r="U45" s="123"/>
      <c r="V45" s="153">
        <f>IFERROR(U45*$B$2*VLOOKUP(Q45,$AF$4:$AG$14,2,FALSE),0)</f>
        <v>0</v>
      </c>
      <c r="W45" s="122">
        <f t="shared" si="50"/>
        <v>0</v>
      </c>
      <c r="Y45" s="121">
        <f t="shared" si="51"/>
        <v>0</v>
      </c>
      <c r="Z45" s="120">
        <f t="shared" si="52"/>
        <v>0</v>
      </c>
      <c r="AA45" s="119">
        <f t="shared" si="53"/>
        <v>0</v>
      </c>
      <c r="AB45" s="118">
        <f t="shared" ref="AB45:AB52" si="54">SUM(Y45:AA45)</f>
        <v>0</v>
      </c>
      <c r="AC45" s="117" t="str">
        <f t="shared" ref="AC45:AC52" si="55">IF(B45="","",IF(AB45&lt;0,"niedogodziny",IF(AB45&gt;0,"nadgodziny","OK")))</f>
        <v/>
      </c>
    </row>
    <row r="46" spans="2:29">
      <c r="B46" s="125"/>
      <c r="C46" s="156"/>
      <c r="D46" s="124"/>
      <c r="E46" s="123"/>
      <c r="F46" s="153">
        <f t="shared" si="42"/>
        <v>0</v>
      </c>
      <c r="G46" s="123"/>
      <c r="H46" s="153">
        <f t="shared" si="43"/>
        <v>0</v>
      </c>
      <c r="I46" s="122">
        <f t="shared" si="44"/>
        <v>0</v>
      </c>
      <c r="J46" s="159"/>
      <c r="K46" s="124"/>
      <c r="L46" s="123"/>
      <c r="M46" s="153">
        <f>IFERROR(L46*$B$2*VLOOKUP(J46,$AF$4:$AG$14,2,FALSE),0)</f>
        <v>0</v>
      </c>
      <c r="N46" s="123"/>
      <c r="O46" s="153">
        <f>IFERROR(N46*$B$2*VLOOKUP(J46,$AF$4:$AG$14,2,FALSE),0)</f>
        <v>0</v>
      </c>
      <c r="P46" s="122">
        <f t="shared" si="47"/>
        <v>0</v>
      </c>
      <c r="Q46" s="159"/>
      <c r="R46" s="124"/>
      <c r="S46" s="123"/>
      <c r="T46" s="153">
        <f>IFERROR(S46*$B$2*VLOOKUP(Q46,$AF$4:$AG$14,2,FALSE),0)</f>
        <v>0</v>
      </c>
      <c r="U46" s="123"/>
      <c r="V46" s="153">
        <f>IFERROR(U46*$B$2*VLOOKUP(Q46,$AF$4:$AG$14,2,FALSE),0)</f>
        <v>0</v>
      </c>
      <c r="W46" s="122">
        <f t="shared" si="50"/>
        <v>0</v>
      </c>
      <c r="Y46" s="121">
        <f t="shared" si="51"/>
        <v>0</v>
      </c>
      <c r="Z46" s="120">
        <f t="shared" si="52"/>
        <v>0</v>
      </c>
      <c r="AA46" s="119">
        <f t="shared" si="53"/>
        <v>0</v>
      </c>
      <c r="AB46" s="118">
        <f t="shared" si="54"/>
        <v>0</v>
      </c>
      <c r="AC46" s="117" t="str">
        <f t="shared" si="55"/>
        <v/>
      </c>
    </row>
    <row r="47" spans="2:29">
      <c r="B47" s="125"/>
      <c r="C47" s="156"/>
      <c r="D47" s="124"/>
      <c r="E47" s="123"/>
      <c r="F47" s="153">
        <f t="shared" si="42"/>
        <v>0</v>
      </c>
      <c r="G47" s="123"/>
      <c r="H47" s="153">
        <f t="shared" si="43"/>
        <v>0</v>
      </c>
      <c r="I47" s="122">
        <f t="shared" si="44"/>
        <v>0</v>
      </c>
      <c r="J47" s="159"/>
      <c r="K47" s="124"/>
      <c r="L47" s="123"/>
      <c r="M47" s="153">
        <f>IFERROR(L47*$B$2*VLOOKUP(J47,$AF$4:$AG$14,2,FALSE),0)</f>
        <v>0</v>
      </c>
      <c r="N47" s="123"/>
      <c r="O47" s="153">
        <f>IFERROR(N47*$B$2*VLOOKUP(J47,$AF$4:$AG$14,2,FALSE),0)</f>
        <v>0</v>
      </c>
      <c r="P47" s="122">
        <f t="shared" si="47"/>
        <v>0</v>
      </c>
      <c r="Q47" s="159"/>
      <c r="R47" s="124"/>
      <c r="S47" s="123"/>
      <c r="T47" s="153">
        <f t="shared" si="48"/>
        <v>0</v>
      </c>
      <c r="U47" s="123"/>
      <c r="V47" s="153">
        <f t="shared" si="49"/>
        <v>0</v>
      </c>
      <c r="W47" s="122">
        <f t="shared" si="50"/>
        <v>0</v>
      </c>
      <c r="Y47" s="121">
        <f t="shared" si="51"/>
        <v>0</v>
      </c>
      <c r="Z47" s="120">
        <f t="shared" si="52"/>
        <v>0</v>
      </c>
      <c r="AA47" s="119">
        <f t="shared" si="53"/>
        <v>0</v>
      </c>
      <c r="AB47" s="118">
        <f t="shared" si="54"/>
        <v>0</v>
      </c>
      <c r="AC47" s="117" t="str">
        <f t="shared" si="55"/>
        <v/>
      </c>
    </row>
    <row r="48" spans="2:29">
      <c r="B48" s="125"/>
      <c r="C48" s="156"/>
      <c r="D48" s="124"/>
      <c r="E48" s="123"/>
      <c r="F48" s="153">
        <f t="shared" si="42"/>
        <v>0</v>
      </c>
      <c r="G48" s="123"/>
      <c r="H48" s="153">
        <f t="shared" si="43"/>
        <v>0</v>
      </c>
      <c r="I48" s="122">
        <f t="shared" si="44"/>
        <v>0</v>
      </c>
      <c r="J48" s="159"/>
      <c r="K48" s="124"/>
      <c r="L48" s="123"/>
      <c r="M48" s="153">
        <f t="shared" si="45"/>
        <v>0</v>
      </c>
      <c r="N48" s="123"/>
      <c r="O48" s="153">
        <f t="shared" si="46"/>
        <v>0</v>
      </c>
      <c r="P48" s="122">
        <f t="shared" si="47"/>
        <v>0</v>
      </c>
      <c r="Q48" s="159"/>
      <c r="R48" s="124"/>
      <c r="S48" s="123"/>
      <c r="T48" s="153">
        <f t="shared" si="48"/>
        <v>0</v>
      </c>
      <c r="U48" s="123"/>
      <c r="V48" s="153">
        <f t="shared" si="49"/>
        <v>0</v>
      </c>
      <c r="W48" s="122">
        <f t="shared" si="50"/>
        <v>0</v>
      </c>
      <c r="Y48" s="121">
        <f t="shared" si="51"/>
        <v>0</v>
      </c>
      <c r="Z48" s="120">
        <f t="shared" si="52"/>
        <v>0</v>
      </c>
      <c r="AA48" s="119">
        <f t="shared" si="53"/>
        <v>0</v>
      </c>
      <c r="AB48" s="118">
        <f t="shared" si="54"/>
        <v>0</v>
      </c>
      <c r="AC48" s="117" t="str">
        <f t="shared" si="55"/>
        <v/>
      </c>
    </row>
    <row r="49" spans="2:29">
      <c r="B49" s="125"/>
      <c r="C49" s="156"/>
      <c r="D49" s="124"/>
      <c r="E49" s="123"/>
      <c r="F49" s="153">
        <f t="shared" si="42"/>
        <v>0</v>
      </c>
      <c r="G49" s="123"/>
      <c r="H49" s="153">
        <f t="shared" si="43"/>
        <v>0</v>
      </c>
      <c r="I49" s="122">
        <f t="shared" si="44"/>
        <v>0</v>
      </c>
      <c r="J49" s="159"/>
      <c r="K49" s="124"/>
      <c r="L49" s="123"/>
      <c r="M49" s="153">
        <f t="shared" si="45"/>
        <v>0</v>
      </c>
      <c r="N49" s="123"/>
      <c r="O49" s="153">
        <f t="shared" si="46"/>
        <v>0</v>
      </c>
      <c r="P49" s="122">
        <f t="shared" si="47"/>
        <v>0</v>
      </c>
      <c r="Q49" s="159"/>
      <c r="R49" s="124"/>
      <c r="S49" s="123"/>
      <c r="T49" s="153">
        <f t="shared" si="48"/>
        <v>0</v>
      </c>
      <c r="U49" s="123"/>
      <c r="V49" s="153">
        <f t="shared" si="49"/>
        <v>0</v>
      </c>
      <c r="W49" s="122">
        <f t="shared" si="50"/>
        <v>0</v>
      </c>
      <c r="Y49" s="121">
        <f t="shared" si="51"/>
        <v>0</v>
      </c>
      <c r="Z49" s="120">
        <f t="shared" si="52"/>
        <v>0</v>
      </c>
      <c r="AA49" s="119">
        <f t="shared" si="53"/>
        <v>0</v>
      </c>
      <c r="AB49" s="118">
        <f t="shared" si="54"/>
        <v>0</v>
      </c>
      <c r="AC49" s="117" t="str">
        <f t="shared" si="55"/>
        <v/>
      </c>
    </row>
    <row r="50" spans="2:29">
      <c r="B50" s="125"/>
      <c r="C50" s="156"/>
      <c r="D50" s="124"/>
      <c r="E50" s="123"/>
      <c r="F50" s="153">
        <f t="shared" si="42"/>
        <v>0</v>
      </c>
      <c r="G50" s="123"/>
      <c r="H50" s="153">
        <f t="shared" si="43"/>
        <v>0</v>
      </c>
      <c r="I50" s="122">
        <f t="shared" si="44"/>
        <v>0</v>
      </c>
      <c r="J50" s="159"/>
      <c r="K50" s="124"/>
      <c r="L50" s="123"/>
      <c r="M50" s="153">
        <f t="shared" si="45"/>
        <v>0</v>
      </c>
      <c r="N50" s="123"/>
      <c r="O50" s="153">
        <f t="shared" si="46"/>
        <v>0</v>
      </c>
      <c r="P50" s="122">
        <f t="shared" si="47"/>
        <v>0</v>
      </c>
      <c r="Q50" s="159"/>
      <c r="R50" s="124"/>
      <c r="S50" s="123"/>
      <c r="T50" s="153">
        <f t="shared" si="48"/>
        <v>0</v>
      </c>
      <c r="U50" s="123"/>
      <c r="V50" s="153">
        <f t="shared" si="49"/>
        <v>0</v>
      </c>
      <c r="W50" s="122">
        <f t="shared" si="50"/>
        <v>0</v>
      </c>
      <c r="Y50" s="121">
        <f t="shared" si="51"/>
        <v>0</v>
      </c>
      <c r="Z50" s="120">
        <f t="shared" si="52"/>
        <v>0</v>
      </c>
      <c r="AA50" s="119">
        <f t="shared" si="53"/>
        <v>0</v>
      </c>
      <c r="AB50" s="118">
        <f t="shared" si="54"/>
        <v>0</v>
      </c>
      <c r="AC50" s="117" t="str">
        <f t="shared" si="55"/>
        <v/>
      </c>
    </row>
    <row r="51" spans="2:29">
      <c r="B51" s="125"/>
      <c r="C51" s="156"/>
      <c r="D51" s="124"/>
      <c r="E51" s="123"/>
      <c r="F51" s="153">
        <f>IFERROR(E51*$B$2*VLOOKUP(C51,$AF$4:$AG$14,2,FALSE),0)</f>
        <v>0</v>
      </c>
      <c r="G51" s="123"/>
      <c r="H51" s="153">
        <f t="shared" si="43"/>
        <v>0</v>
      </c>
      <c r="I51" s="122">
        <f t="shared" si="44"/>
        <v>0</v>
      </c>
      <c r="J51" s="159"/>
      <c r="K51" s="124"/>
      <c r="L51" s="123"/>
      <c r="M51" s="153">
        <f t="shared" si="45"/>
        <v>0</v>
      </c>
      <c r="N51" s="123"/>
      <c r="O51" s="153">
        <f t="shared" si="46"/>
        <v>0</v>
      </c>
      <c r="P51" s="122">
        <f t="shared" si="47"/>
        <v>0</v>
      </c>
      <c r="Q51" s="159"/>
      <c r="R51" s="124"/>
      <c r="S51" s="123"/>
      <c r="T51" s="153">
        <f t="shared" si="48"/>
        <v>0</v>
      </c>
      <c r="U51" s="123"/>
      <c r="V51" s="153">
        <f t="shared" si="49"/>
        <v>0</v>
      </c>
      <c r="W51" s="122">
        <f t="shared" si="50"/>
        <v>0</v>
      </c>
      <c r="Y51" s="121">
        <f t="shared" si="51"/>
        <v>0</v>
      </c>
      <c r="Z51" s="120">
        <f t="shared" si="52"/>
        <v>0</v>
      </c>
      <c r="AA51" s="119">
        <f t="shared" si="53"/>
        <v>0</v>
      </c>
      <c r="AB51" s="118">
        <f t="shared" si="54"/>
        <v>0</v>
      </c>
      <c r="AC51" s="117" t="str">
        <f t="shared" si="55"/>
        <v/>
      </c>
    </row>
    <row r="52" spans="2:29">
      <c r="B52" s="125"/>
      <c r="C52" s="156"/>
      <c r="D52" s="124"/>
      <c r="E52" s="123"/>
      <c r="F52" s="153">
        <f t="shared" si="42"/>
        <v>0</v>
      </c>
      <c r="G52" s="123"/>
      <c r="H52" s="153">
        <f t="shared" si="43"/>
        <v>0</v>
      </c>
      <c r="I52" s="122">
        <f t="shared" si="44"/>
        <v>0</v>
      </c>
      <c r="J52" s="159"/>
      <c r="K52" s="124"/>
      <c r="L52" s="123"/>
      <c r="M52" s="153">
        <f t="shared" si="45"/>
        <v>0</v>
      </c>
      <c r="N52" s="123"/>
      <c r="O52" s="153">
        <f t="shared" si="46"/>
        <v>0</v>
      </c>
      <c r="P52" s="122">
        <f t="shared" si="47"/>
        <v>0</v>
      </c>
      <c r="Q52" s="159"/>
      <c r="R52" s="124"/>
      <c r="S52" s="123"/>
      <c r="T52" s="153">
        <f t="shared" si="48"/>
        <v>0</v>
      </c>
      <c r="U52" s="123"/>
      <c r="V52" s="153">
        <f t="shared" si="49"/>
        <v>0</v>
      </c>
      <c r="W52" s="122">
        <f t="shared" si="50"/>
        <v>0</v>
      </c>
      <c r="Y52" s="121">
        <f t="shared" si="51"/>
        <v>0</v>
      </c>
      <c r="Z52" s="120">
        <f t="shared" si="52"/>
        <v>0</v>
      </c>
      <c r="AA52" s="119">
        <f t="shared" si="53"/>
        <v>0</v>
      </c>
      <c r="AB52" s="118">
        <f t="shared" si="54"/>
        <v>0</v>
      </c>
      <c r="AC52" s="117" t="str">
        <f t="shared" si="55"/>
        <v/>
      </c>
    </row>
    <row r="53" spans="2:29" ht="12" thickBot="1">
      <c r="B53" s="116"/>
      <c r="C53" s="157"/>
      <c r="D53" s="115"/>
      <c r="E53" s="114"/>
      <c r="F53" s="154">
        <f t="shared" si="42"/>
        <v>0</v>
      </c>
      <c r="G53" s="114"/>
      <c r="H53" s="154">
        <f t="shared" si="43"/>
        <v>0</v>
      </c>
      <c r="I53" s="113">
        <f t="shared" si="44"/>
        <v>0</v>
      </c>
      <c r="J53" s="160"/>
      <c r="K53" s="115"/>
      <c r="L53" s="114"/>
      <c r="M53" s="154">
        <f t="shared" si="45"/>
        <v>0</v>
      </c>
      <c r="N53" s="114"/>
      <c r="O53" s="154">
        <f t="shared" si="46"/>
        <v>0</v>
      </c>
      <c r="P53" s="113">
        <f t="shared" si="47"/>
        <v>0</v>
      </c>
      <c r="Q53" s="160"/>
      <c r="R53" s="115"/>
      <c r="S53" s="114"/>
      <c r="T53" s="154">
        <f t="shared" si="48"/>
        <v>0</v>
      </c>
      <c r="U53" s="114"/>
      <c r="V53" s="154">
        <f t="shared" si="49"/>
        <v>0</v>
      </c>
      <c r="W53" s="113">
        <f t="shared" si="50"/>
        <v>0</v>
      </c>
      <c r="Y53" s="112">
        <f t="shared" si="51"/>
        <v>0</v>
      </c>
      <c r="Z53" s="111">
        <f t="shared" si="52"/>
        <v>0</v>
      </c>
      <c r="AA53" s="110">
        <f t="shared" si="53"/>
        <v>0</v>
      </c>
      <c r="AB53" s="109">
        <f>SUM(Y53:AA53)</f>
        <v>0</v>
      </c>
      <c r="AC53" s="108" t="str">
        <f>IF(B53="","",IF(AB53&lt;0,"niedogodziny",IF(AB53&gt;0,"nadgodziny","OK")))</f>
        <v/>
      </c>
    </row>
    <row r="54" spans="2:29" ht="4.5" customHeight="1"/>
    <row r="55" spans="2:29" ht="30" customHeight="1">
      <c r="B55" s="655" t="s">
        <v>508</v>
      </c>
      <c r="C55" s="655"/>
      <c r="D55" s="655"/>
      <c r="E55" s="655"/>
      <c r="F55" s="655"/>
      <c r="G55" s="655"/>
      <c r="H55" s="655"/>
      <c r="I55" s="655"/>
      <c r="J55" s="655"/>
      <c r="K55" s="655"/>
      <c r="L55" s="655"/>
      <c r="M55" s="655"/>
      <c r="N55" s="655"/>
      <c r="O55" s="655"/>
      <c r="P55" s="655"/>
      <c r="Q55" s="655"/>
      <c r="R55" s="655"/>
      <c r="S55" s="655"/>
      <c r="T55" s="655"/>
      <c r="U55" s="655"/>
      <c r="V55" s="655"/>
      <c r="W55" s="655"/>
      <c r="X55" s="655"/>
      <c r="Y55" s="655"/>
      <c r="Z55" s="655"/>
      <c r="AA55" s="655"/>
      <c r="AB55" s="655"/>
      <c r="AC55" s="655"/>
    </row>
    <row r="56" spans="2:29" ht="11.25" customHeight="1">
      <c r="B56" s="172"/>
      <c r="C56" s="172"/>
      <c r="D56" s="172"/>
      <c r="E56" s="172"/>
      <c r="F56" s="172"/>
      <c r="G56" s="172"/>
      <c r="H56" s="172"/>
      <c r="I56" s="172"/>
      <c r="J56" s="172"/>
      <c r="K56" s="172"/>
      <c r="L56" s="172"/>
      <c r="M56" s="172"/>
      <c r="N56" s="172"/>
      <c r="O56" s="172"/>
      <c r="P56" s="172"/>
      <c r="Q56" s="172"/>
      <c r="R56" s="172"/>
      <c r="S56" s="172"/>
      <c r="T56" s="172"/>
      <c r="U56" s="172"/>
      <c r="V56" s="172"/>
      <c r="W56" s="172"/>
      <c r="X56" s="172"/>
      <c r="Y56" s="172"/>
      <c r="Z56" s="172"/>
      <c r="AA56" s="172"/>
      <c r="AB56" s="172"/>
      <c r="AC56" s="172"/>
    </row>
    <row r="57" spans="2:29" ht="11.25" hidden="1" customHeight="1">
      <c r="B57" s="172"/>
      <c r="C57" s="172"/>
      <c r="D57" s="172"/>
      <c r="E57" s="172"/>
      <c r="F57" s="172"/>
      <c r="G57" s="172"/>
      <c r="H57" s="172"/>
      <c r="I57" s="172"/>
      <c r="J57" s="172"/>
      <c r="K57" s="172"/>
      <c r="L57" s="172"/>
      <c r="M57" s="172"/>
      <c r="N57" s="172"/>
      <c r="O57" s="172"/>
      <c r="P57" s="172"/>
      <c r="Q57" s="172"/>
      <c r="R57" s="172"/>
      <c r="S57" s="172"/>
      <c r="T57" s="172"/>
      <c r="U57" s="172"/>
      <c r="V57" s="172"/>
      <c r="W57" s="172"/>
      <c r="X57" s="172"/>
      <c r="Y57" s="172"/>
      <c r="Z57" s="172"/>
      <c r="AA57" s="172"/>
      <c r="AB57" s="172"/>
      <c r="AC57" s="172"/>
    </row>
    <row r="58" spans="2:29"/>
    <row r="59" spans="2:29"/>
    <row r="60" spans="2:29"/>
    <row r="61" spans="2:29"/>
  </sheetData>
  <sheetProtection algorithmName="SHA-512" hashValue="XGN5cU8O061+P4Yvul3gNqel04V/DRE7Zt5rGT2vB8iCF/rkhd7d5bHx2K0ksKOiHfKhUIWsR/oFFa3haiLDDQ==" saltValue="qkUUv22dTszivreD9EDtTw==" spinCount="100000" sheet="1" objects="1" scenarios="1" selectLockedCells="1"/>
  <mergeCells count="18">
    <mergeCell ref="J42:L42"/>
    <mergeCell ref="Q42:S42"/>
    <mergeCell ref="B55:AC55"/>
    <mergeCell ref="B1:AC1"/>
    <mergeCell ref="AB4:AC4"/>
    <mergeCell ref="AB17:AC17"/>
    <mergeCell ref="AB30:AC30"/>
    <mergeCell ref="AB43:AC43"/>
    <mergeCell ref="C3:E3"/>
    <mergeCell ref="J3:L3"/>
    <mergeCell ref="Q3:S3"/>
    <mergeCell ref="C16:E16"/>
    <mergeCell ref="J16:L16"/>
    <mergeCell ref="Q16:S16"/>
    <mergeCell ref="C29:E29"/>
    <mergeCell ref="J29:L29"/>
    <mergeCell ref="Q29:S29"/>
    <mergeCell ref="C42:E42"/>
  </mergeCells>
  <conditionalFormatting sqref="AC5:AC16 AC18:AC29 AC31:AC42 AC44:AC53">
    <cfRule type="cellIs" dxfId="6" priority="4" operator="equal">
      <formula>"nadgodziny"</formula>
    </cfRule>
    <cfRule type="cellIs" dxfId="5" priority="5" operator="equal">
      <formula>"OK"</formula>
    </cfRule>
    <cfRule type="cellIs" dxfId="4" priority="6" operator="equal">
      <formula>"niedogodziny"</formula>
    </cfRule>
  </conditionalFormatting>
  <conditionalFormatting sqref="Y58:AB1048576 Y2:AB54">
    <cfRule type="cellIs" dxfId="3" priority="3" operator="equal">
      <formula>0</formula>
    </cfRule>
  </conditionalFormatting>
  <conditionalFormatting sqref="Y5:AA14 Y18:AA27 Y31:AA40 Y44:AA53">
    <cfRule type="cellIs" dxfId="2" priority="1" operator="lessThan">
      <formula>0</formula>
    </cfRule>
    <cfRule type="cellIs" dxfId="1" priority="2" operator="greaterThan">
      <formula>0</formula>
    </cfRule>
  </conditionalFormatting>
  <dataValidations count="3">
    <dataValidation allowBlank="1" showInputMessage="1" showErrorMessage="1" promptTitle="absencje" prompt="wpisz tylko ilość dni, godziny przeliczą się same" sqref="E18:G27 E5:G14 S18:U27 L5:N14 L18:N27 S5:U14 E31:G40 S31:U40 L31:N40 L44:N53 S44:U53 E44:G53" xr:uid="{00000000-0002-0000-0200-000000000000}"/>
    <dataValidation allowBlank="1" showInputMessage="1" showErrorMessage="1" promptTitle="Rzeczywisty Czas Pracy" prompt="wpisz ilość godzin w formacie dziesiętnym z Time Card Summary z Micros" sqref="D5:D14 D18:D27 K18:K27 K5:K14 R5:R14 R18:R27 R31:R40 K31:K40 D31:D40 R44:R53 K44:K53 D44:D53" xr:uid="{00000000-0002-0000-0200-000001000000}"/>
    <dataValidation type="list" allowBlank="1" showInputMessage="1" showErrorMessage="1" sqref="C5:C14 J5:J14 Q5:Q14 Q18:Q27 J18:J27 C18:C27 Q31:Q40 J31:J40 C31:C40 C44:C53 J44:J53 Q44:Q53" xr:uid="{00000000-0002-0000-0200-000002000000}">
      <formula1>dayjob</formula1>
    </dataValidation>
  </dataValidation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Arkusz5">
    <tabColor rgb="FFFFFF00"/>
  </sheetPr>
  <dimension ref="A1:M70"/>
  <sheetViews>
    <sheetView showGridLines="0" showRowColHeaders="0" topLeftCell="A26" zoomScaleNormal="100" workbookViewId="0">
      <selection activeCell="E18" sqref="E18"/>
    </sheetView>
  </sheetViews>
  <sheetFormatPr defaultColWidth="0" defaultRowHeight="15"/>
  <cols>
    <col min="1" max="1" width="2.7109375" style="5" customWidth="1"/>
    <col min="2" max="2" width="19" style="5" customWidth="1"/>
    <col min="3" max="3" width="3" style="6" customWidth="1"/>
    <col min="4" max="4" width="6.42578125" style="5" customWidth="1"/>
    <col min="5" max="5" width="25.42578125" style="5" customWidth="1"/>
    <col min="6" max="6" width="7.28515625" style="5" customWidth="1"/>
    <col min="7" max="7" width="7.42578125" style="5" customWidth="1"/>
    <col min="8" max="8" width="9.42578125" style="5" customWidth="1"/>
    <col min="9" max="9" width="15" style="5" bestFit="1" customWidth="1"/>
    <col min="10" max="10" width="14.42578125" style="5" bestFit="1" customWidth="1"/>
    <col min="11" max="11" width="13.140625" style="5" bestFit="1" customWidth="1"/>
    <col min="12" max="12" width="13.7109375" style="5" bestFit="1" customWidth="1"/>
    <col min="13" max="13" width="9.140625" style="5" customWidth="1"/>
    <col min="14" max="16384" width="9.140625" style="5" hidden="1"/>
  </cols>
  <sheetData>
    <row r="1" spans="1:12" ht="12" customHeight="1"/>
    <row r="2" spans="1:12" ht="15.75" thickBot="1">
      <c r="B2" s="5" t="str">
        <f ca="1">INDIRECT("T!"&amp;T!A1&amp;"3")</f>
        <v>Wybierz rok</v>
      </c>
      <c r="E2" s="5" t="str">
        <f ca="1">INDIRECT("T!"&amp;T!A1&amp;"35")</f>
        <v>Ustal nazwy zmian</v>
      </c>
      <c r="H2" s="640" t="str">
        <f ca="1">INDIRECT("T!"&amp;T!A1&amp;"48")</f>
        <v>Kalendarz Pracy</v>
      </c>
      <c r="I2" s="640"/>
      <c r="J2" s="640"/>
      <c r="K2" s="640"/>
      <c r="L2" s="640"/>
    </row>
    <row r="3" spans="1:12" ht="15" customHeight="1" thickBot="1">
      <c r="B3" s="206">
        <v>46023</v>
      </c>
      <c r="D3" s="684" t="str">
        <f ca="1">INDIRECT("T!"&amp;T!A1&amp;"36")</f>
        <v>Zmiany regularne</v>
      </c>
      <c r="E3" s="208" t="s">
        <v>509</v>
      </c>
      <c r="F3" s="211" t="s">
        <v>16</v>
      </c>
      <c r="H3" s="196" t="str">
        <f ca="1">INDIRECT("T!"&amp;T!A1&amp;"50")</f>
        <v>Miesiąc</v>
      </c>
      <c r="I3" s="197" t="str">
        <f ca="1">INDIRECT("T!"&amp;T!A1&amp;"51")</f>
        <v>Ilość dni w miesiącu</v>
      </c>
      <c r="J3" s="197" t="str">
        <f ca="1">INDIRECT("T!"&amp;T!A1&amp;"52")</f>
        <v>Ilość dni roboczych</v>
      </c>
      <c r="K3" s="197" t="str">
        <f ca="1">INDIRECT("T!"&amp;T!A1&amp;"53")</f>
        <v>Ilość dni wolnych</v>
      </c>
      <c r="L3" s="198" t="str">
        <f ca="1">INDIRECT("T!"&amp;T!A1&amp;"54")</f>
        <v>Ilość godzin pracy</v>
      </c>
    </row>
    <row r="4" spans="1:12" ht="15" customHeight="1">
      <c r="D4" s="685"/>
      <c r="E4" s="209" t="s">
        <v>510</v>
      </c>
      <c r="F4" s="212" t="s">
        <v>14</v>
      </c>
      <c r="H4" s="199" t="str">
        <f ca="1">Lists!F1</f>
        <v>Styczeń</v>
      </c>
      <c r="I4" s="232">
        <v>31</v>
      </c>
      <c r="J4" s="232">
        <f>I4-K4</f>
        <v>20</v>
      </c>
      <c r="K4" s="191">
        <v>11</v>
      </c>
      <c r="L4" s="232">
        <f>J4*8</f>
        <v>160</v>
      </c>
    </row>
    <row r="5" spans="1:12" ht="15" customHeight="1" thickBot="1">
      <c r="B5" s="5" t="s">
        <v>511</v>
      </c>
      <c r="D5" s="685"/>
      <c r="E5" s="209" t="s">
        <v>512</v>
      </c>
      <c r="F5" s="212" t="s">
        <v>23</v>
      </c>
      <c r="H5" s="199" t="str">
        <f ca="1">Lists!F2</f>
        <v>Luty</v>
      </c>
      <c r="I5" s="191">
        <v>28</v>
      </c>
      <c r="J5" s="232">
        <f t="shared" ref="J5:J15" si="0">I5-K5</f>
        <v>20</v>
      </c>
      <c r="K5" s="191">
        <v>8</v>
      </c>
      <c r="L5" s="232">
        <f t="shared" ref="L5:L15" si="1">J5*8</f>
        <v>160</v>
      </c>
    </row>
    <row r="6" spans="1:12" ht="15" customHeight="1" thickBot="1">
      <c r="A6" s="6"/>
      <c r="B6" s="207" t="s">
        <v>476</v>
      </c>
      <c r="C6" s="7"/>
      <c r="D6" s="685"/>
      <c r="E6" s="209" t="s">
        <v>513</v>
      </c>
      <c r="F6" s="212" t="s">
        <v>26</v>
      </c>
      <c r="H6" s="199" t="str">
        <f ca="1">Lists!F3</f>
        <v>Marzec</v>
      </c>
      <c r="I6" s="232">
        <v>31</v>
      </c>
      <c r="J6" s="232">
        <f t="shared" si="0"/>
        <v>22</v>
      </c>
      <c r="K6" s="191">
        <v>9</v>
      </c>
      <c r="L6" s="232">
        <f t="shared" si="1"/>
        <v>176</v>
      </c>
    </row>
    <row r="7" spans="1:12" ht="15" customHeight="1">
      <c r="D7" s="685"/>
      <c r="E7" s="209" t="s">
        <v>514</v>
      </c>
      <c r="F7" s="212" t="s">
        <v>20</v>
      </c>
      <c r="H7" s="199" t="str">
        <f ca="1">Lists!F4</f>
        <v>Kwiecień</v>
      </c>
      <c r="I7" s="232">
        <v>30</v>
      </c>
      <c r="J7" s="232">
        <f t="shared" si="0"/>
        <v>21</v>
      </c>
      <c r="K7" s="191">
        <v>9</v>
      </c>
      <c r="L7" s="232">
        <f t="shared" si="1"/>
        <v>168</v>
      </c>
    </row>
    <row r="8" spans="1:12" ht="15" customHeight="1">
      <c r="D8" s="685"/>
      <c r="E8" s="209" t="s">
        <v>515</v>
      </c>
      <c r="F8" s="212" t="s">
        <v>24</v>
      </c>
      <c r="H8" s="199" t="str">
        <f ca="1">Lists!F5</f>
        <v>Maj</v>
      </c>
      <c r="I8" s="232">
        <v>31</v>
      </c>
      <c r="J8" s="232">
        <f t="shared" si="0"/>
        <v>20</v>
      </c>
      <c r="K8" s="191">
        <v>11</v>
      </c>
      <c r="L8" s="232">
        <f t="shared" si="1"/>
        <v>160</v>
      </c>
    </row>
    <row r="9" spans="1:12" ht="15" customHeight="1">
      <c r="D9" s="685"/>
      <c r="E9" s="209" t="s">
        <v>516</v>
      </c>
      <c r="F9" s="212" t="s">
        <v>108</v>
      </c>
      <c r="H9" s="199" t="str">
        <f ca="1">Lists!F6</f>
        <v>Czerwiec</v>
      </c>
      <c r="I9" s="232">
        <v>30</v>
      </c>
      <c r="J9" s="232">
        <f t="shared" si="0"/>
        <v>21</v>
      </c>
      <c r="K9" s="191">
        <v>9</v>
      </c>
      <c r="L9" s="232">
        <f t="shared" si="1"/>
        <v>168</v>
      </c>
    </row>
    <row r="10" spans="1:12" ht="15" customHeight="1">
      <c r="D10" s="685"/>
      <c r="E10" s="209" t="s">
        <v>517</v>
      </c>
      <c r="F10" s="212" t="s">
        <v>13</v>
      </c>
      <c r="H10" s="199" t="str">
        <f ca="1">Lists!F7</f>
        <v>Lipiec</v>
      </c>
      <c r="I10" s="232">
        <v>31</v>
      </c>
      <c r="J10" s="232">
        <f t="shared" si="0"/>
        <v>23</v>
      </c>
      <c r="K10" s="191">
        <v>8</v>
      </c>
      <c r="L10" s="232">
        <f t="shared" si="1"/>
        <v>184</v>
      </c>
    </row>
    <row r="11" spans="1:12" ht="15" customHeight="1">
      <c r="D11" s="685"/>
      <c r="E11" s="209" t="s">
        <v>518</v>
      </c>
      <c r="F11" s="212" t="s">
        <v>12</v>
      </c>
      <c r="H11" s="199" t="str">
        <f ca="1">Lists!F8</f>
        <v>Sierpień</v>
      </c>
      <c r="I11" s="232">
        <v>31</v>
      </c>
      <c r="J11" s="232">
        <f t="shared" si="0"/>
        <v>20</v>
      </c>
      <c r="K11" s="191">
        <v>11</v>
      </c>
      <c r="L11" s="232">
        <f t="shared" si="1"/>
        <v>160</v>
      </c>
    </row>
    <row r="12" spans="1:12" ht="15" customHeight="1">
      <c r="D12" s="685"/>
      <c r="E12" s="209" t="s">
        <v>519</v>
      </c>
      <c r="F12" s="212" t="s">
        <v>32</v>
      </c>
      <c r="H12" s="199" t="str">
        <f ca="1">Lists!F9</f>
        <v>Wrzesień</v>
      </c>
      <c r="I12" s="232">
        <v>30</v>
      </c>
      <c r="J12" s="232">
        <f t="shared" si="0"/>
        <v>22</v>
      </c>
      <c r="K12" s="191">
        <v>8</v>
      </c>
      <c r="L12" s="232">
        <f t="shared" si="1"/>
        <v>176</v>
      </c>
    </row>
    <row r="13" spans="1:12" ht="15" customHeight="1">
      <c r="D13" s="685"/>
      <c r="E13" s="209" t="s">
        <v>520</v>
      </c>
      <c r="F13" s="212" t="s">
        <v>109</v>
      </c>
      <c r="H13" s="199" t="str">
        <f ca="1">Lists!F10</f>
        <v>Październik</v>
      </c>
      <c r="I13" s="232">
        <v>31</v>
      </c>
      <c r="J13" s="232">
        <f t="shared" si="0"/>
        <v>22</v>
      </c>
      <c r="K13" s="191">
        <v>9</v>
      </c>
      <c r="L13" s="232">
        <f t="shared" si="1"/>
        <v>176</v>
      </c>
    </row>
    <row r="14" spans="1:12" ht="15" customHeight="1">
      <c r="D14" s="685"/>
      <c r="E14" s="209" t="s">
        <v>521</v>
      </c>
      <c r="F14" s="212" t="s">
        <v>522</v>
      </c>
      <c r="H14" s="199" t="str">
        <f ca="1">Lists!F11</f>
        <v>Listopad</v>
      </c>
      <c r="I14" s="232">
        <v>30</v>
      </c>
      <c r="J14" s="232">
        <f t="shared" si="0"/>
        <v>20</v>
      </c>
      <c r="K14" s="191">
        <v>10</v>
      </c>
      <c r="L14" s="232">
        <f t="shared" si="1"/>
        <v>160</v>
      </c>
    </row>
    <row r="15" spans="1:12" ht="15" customHeight="1">
      <c r="D15" s="685"/>
      <c r="E15" s="209"/>
      <c r="F15" s="212"/>
      <c r="H15" s="200" t="str">
        <f ca="1">Lists!F12</f>
        <v>Grudzień</v>
      </c>
      <c r="I15" s="232">
        <v>31</v>
      </c>
      <c r="J15" s="232">
        <f t="shared" si="0"/>
        <v>20</v>
      </c>
      <c r="K15" s="191">
        <v>11</v>
      </c>
      <c r="L15" s="232">
        <f t="shared" si="1"/>
        <v>160</v>
      </c>
    </row>
    <row r="16" spans="1:12" ht="15" customHeight="1">
      <c r="D16" s="685"/>
      <c r="E16" s="209"/>
      <c r="F16" s="212"/>
      <c r="H16" s="654" t="str">
        <f ca="1">INDIRECT("T!"&amp;T!A1&amp;"49")</f>
        <v>*Wprowadź dane w żółte komórki</v>
      </c>
      <c r="I16" s="654"/>
      <c r="J16" s="654"/>
      <c r="K16" s="654"/>
      <c r="L16" s="654"/>
    </row>
    <row r="17" spans="4:12" ht="15" customHeight="1">
      <c r="D17" s="685"/>
      <c r="E17" s="209"/>
      <c r="F17" s="212"/>
    </row>
    <row r="18" spans="4:12" ht="15" customHeight="1" thickBot="1">
      <c r="D18" s="685"/>
      <c r="E18" s="209"/>
      <c r="F18" s="212"/>
      <c r="H18" s="641" t="str">
        <f ca="1">INDIRECT("T!"&amp;T!A1&amp;"63")</f>
        <v>Wprowadź daty świąt</v>
      </c>
      <c r="I18" s="641"/>
      <c r="J18" s="641"/>
      <c r="K18" s="641"/>
      <c r="L18" s="641"/>
    </row>
    <row r="19" spans="4:12" ht="15" customHeight="1" thickBot="1">
      <c r="D19" s="685"/>
      <c r="E19" s="209"/>
      <c r="F19" s="212"/>
      <c r="H19" s="642" t="str">
        <f ca="1">INDIRECT("T!"&amp;T!A1&amp;"65")</f>
        <v>Data [rrrr-mm-dd]</v>
      </c>
      <c r="I19" s="643"/>
      <c r="J19" s="643" t="str">
        <f ca="1">INDIRECT("T!"&amp;T!A1&amp;"64")</f>
        <v>Nazwa święta</v>
      </c>
      <c r="K19" s="643"/>
      <c r="L19" s="644"/>
    </row>
    <row r="20" spans="4:12" ht="15" customHeight="1">
      <c r="D20" s="685"/>
      <c r="E20" s="209"/>
      <c r="F20" s="212"/>
      <c r="H20" s="670">
        <v>46023</v>
      </c>
      <c r="I20" s="671"/>
      <c r="J20" s="672" t="s">
        <v>523</v>
      </c>
      <c r="K20" s="672"/>
      <c r="L20" s="673"/>
    </row>
    <row r="21" spans="4:12" ht="15" customHeight="1">
      <c r="D21" s="685"/>
      <c r="E21" s="209"/>
      <c r="F21" s="212"/>
      <c r="H21" s="661">
        <v>46028</v>
      </c>
      <c r="I21" s="662"/>
      <c r="J21" s="663" t="s">
        <v>524</v>
      </c>
      <c r="K21" s="663"/>
      <c r="L21" s="664"/>
    </row>
    <row r="22" spans="4:12" ht="15" customHeight="1" thickBot="1">
      <c r="D22" s="686"/>
      <c r="E22" s="210"/>
      <c r="F22" s="213"/>
      <c r="H22" s="661">
        <v>46117</v>
      </c>
      <c r="I22" s="662"/>
      <c r="J22" s="663" t="s">
        <v>525</v>
      </c>
      <c r="K22" s="663"/>
      <c r="L22" s="664"/>
    </row>
    <row r="23" spans="4:12" ht="15" customHeight="1">
      <c r="D23" s="684" t="s">
        <v>526</v>
      </c>
      <c r="E23" s="208" t="s">
        <v>527</v>
      </c>
      <c r="F23" s="211" t="s">
        <v>11</v>
      </c>
      <c r="H23" s="661">
        <v>46118</v>
      </c>
      <c r="I23" s="662"/>
      <c r="J23" s="663" t="s">
        <v>528</v>
      </c>
      <c r="K23" s="663"/>
      <c r="L23" s="664"/>
    </row>
    <row r="24" spans="4:12" ht="15" customHeight="1">
      <c r="D24" s="685"/>
      <c r="E24" s="209" t="s">
        <v>529</v>
      </c>
      <c r="F24" s="212" t="s">
        <v>105</v>
      </c>
      <c r="H24" s="665">
        <v>46143</v>
      </c>
      <c r="I24" s="666"/>
      <c r="J24" s="667" t="s">
        <v>530</v>
      </c>
      <c r="K24" s="668"/>
      <c r="L24" s="669"/>
    </row>
    <row r="25" spans="4:12" ht="15" customHeight="1">
      <c r="D25" s="685"/>
      <c r="E25" s="209" t="s">
        <v>531</v>
      </c>
      <c r="F25" s="212" t="s">
        <v>106</v>
      </c>
      <c r="H25" s="665">
        <v>46145</v>
      </c>
      <c r="I25" s="666"/>
      <c r="J25" s="667" t="s">
        <v>532</v>
      </c>
      <c r="K25" s="668"/>
      <c r="L25" s="669"/>
    </row>
    <row r="26" spans="4:12" ht="15" customHeight="1">
      <c r="D26" s="685"/>
      <c r="E26" s="209" t="s">
        <v>533</v>
      </c>
      <c r="F26" s="212" t="s">
        <v>15</v>
      </c>
      <c r="H26" s="665">
        <v>46166</v>
      </c>
      <c r="I26" s="666"/>
      <c r="J26" s="663" t="s">
        <v>534</v>
      </c>
      <c r="K26" s="663"/>
      <c r="L26" s="664"/>
    </row>
    <row r="27" spans="4:12" ht="15" customHeight="1">
      <c r="D27" s="685"/>
      <c r="E27" s="209" t="s">
        <v>535</v>
      </c>
      <c r="F27" s="212" t="s">
        <v>112</v>
      </c>
      <c r="H27" s="665">
        <v>46177</v>
      </c>
      <c r="I27" s="666"/>
      <c r="J27" s="663" t="s">
        <v>536</v>
      </c>
      <c r="K27" s="663"/>
      <c r="L27" s="664"/>
    </row>
    <row r="28" spans="4:12" ht="15" customHeight="1">
      <c r="D28" s="685"/>
      <c r="E28" s="209" t="s">
        <v>537</v>
      </c>
      <c r="F28" s="212" t="s">
        <v>538</v>
      </c>
      <c r="H28" s="665">
        <v>46249</v>
      </c>
      <c r="I28" s="666"/>
      <c r="J28" s="663" t="s">
        <v>539</v>
      </c>
      <c r="K28" s="663"/>
      <c r="L28" s="664"/>
    </row>
    <row r="29" spans="4:12" ht="15" customHeight="1">
      <c r="D29" s="685"/>
      <c r="E29" s="209"/>
      <c r="F29" s="212"/>
      <c r="H29" s="661">
        <v>46327</v>
      </c>
      <c r="I29" s="662"/>
      <c r="J29" s="663" t="s">
        <v>540</v>
      </c>
      <c r="K29" s="663"/>
      <c r="L29" s="664"/>
    </row>
    <row r="30" spans="4:12" ht="15" customHeight="1">
      <c r="D30" s="685"/>
      <c r="E30" s="209"/>
      <c r="F30" s="212"/>
      <c r="H30" s="661">
        <v>46337</v>
      </c>
      <c r="I30" s="662"/>
      <c r="J30" s="663" t="s">
        <v>541</v>
      </c>
      <c r="K30" s="663"/>
      <c r="L30" s="664"/>
    </row>
    <row r="31" spans="4:12">
      <c r="D31" s="685"/>
      <c r="E31" s="209"/>
      <c r="F31" s="212"/>
      <c r="H31" s="661">
        <v>46380</v>
      </c>
      <c r="I31" s="662"/>
      <c r="J31" s="663" t="s">
        <v>542</v>
      </c>
      <c r="K31" s="663"/>
      <c r="L31" s="664"/>
    </row>
    <row r="32" spans="4:12">
      <c r="D32" s="685"/>
      <c r="E32" s="209"/>
      <c r="F32" s="212"/>
      <c r="H32" s="661">
        <v>46381</v>
      </c>
      <c r="I32" s="662"/>
      <c r="J32" s="663" t="s">
        <v>543</v>
      </c>
      <c r="K32" s="663"/>
      <c r="L32" s="664"/>
    </row>
    <row r="33" spans="4:12">
      <c r="D33" s="685"/>
      <c r="E33" s="209"/>
      <c r="F33" s="212"/>
      <c r="H33" s="661">
        <v>46382</v>
      </c>
      <c r="I33" s="662"/>
      <c r="J33" s="663" t="s">
        <v>544</v>
      </c>
      <c r="K33" s="663"/>
      <c r="L33" s="664"/>
    </row>
    <row r="34" spans="4:12" ht="15.75" thickBot="1">
      <c r="D34" s="685"/>
      <c r="E34" s="209"/>
      <c r="F34" s="212"/>
      <c r="H34" s="661"/>
      <c r="I34" s="662"/>
      <c r="J34" s="663"/>
      <c r="K34" s="663"/>
      <c r="L34" s="664"/>
    </row>
    <row r="35" spans="4:12" ht="15.75" thickBot="1">
      <c r="D35" s="685"/>
      <c r="E35" s="209"/>
      <c r="F35" s="212"/>
      <c r="H35" s="642" t="str">
        <f ca="1">INDIRECT("T!"&amp;T!A1&amp;"65")</f>
        <v>Data [rrrr-mm-dd]</v>
      </c>
      <c r="I35" s="643"/>
      <c r="J35" s="643" t="str">
        <f ca="1">INDIRECT("T!"&amp;T!A1&amp;"93")</f>
        <v>Nazwa wydarzenia</v>
      </c>
      <c r="K35" s="643"/>
      <c r="L35" s="644"/>
    </row>
    <row r="36" spans="4:12">
      <c r="D36" s="685"/>
      <c r="E36" s="209"/>
      <c r="F36" s="212"/>
      <c r="H36" s="679">
        <v>46043</v>
      </c>
      <c r="I36" s="680"/>
      <c r="J36" s="681" t="s">
        <v>545</v>
      </c>
      <c r="K36" s="682"/>
      <c r="L36" s="683"/>
    </row>
    <row r="37" spans="4:12">
      <c r="D37" s="685"/>
      <c r="E37" s="209"/>
      <c r="F37" s="212"/>
      <c r="H37" s="674">
        <v>46044</v>
      </c>
      <c r="I37" s="675"/>
      <c r="J37" s="676" t="s">
        <v>546</v>
      </c>
      <c r="K37" s="677"/>
      <c r="L37" s="678"/>
    </row>
    <row r="38" spans="4:12" ht="15" customHeight="1">
      <c r="D38" s="685"/>
      <c r="E38" s="209"/>
      <c r="F38" s="212"/>
      <c r="H38" s="674">
        <v>46055</v>
      </c>
      <c r="I38" s="675"/>
      <c r="J38" s="676" t="s">
        <v>547</v>
      </c>
      <c r="K38" s="677"/>
      <c r="L38" s="678"/>
    </row>
    <row r="39" spans="4:12">
      <c r="D39" s="685"/>
      <c r="E39" s="209"/>
      <c r="F39" s="212"/>
      <c r="H39" s="674">
        <v>46065</v>
      </c>
      <c r="I39" s="675"/>
      <c r="J39" s="676" t="s">
        <v>548</v>
      </c>
      <c r="K39" s="677"/>
      <c r="L39" s="678"/>
    </row>
    <row r="40" spans="4:12">
      <c r="D40" s="685"/>
      <c r="E40" s="209"/>
      <c r="F40" s="212"/>
      <c r="H40" s="674">
        <v>46067</v>
      </c>
      <c r="I40" s="675"/>
      <c r="J40" s="676" t="s">
        <v>549</v>
      </c>
      <c r="K40" s="677"/>
      <c r="L40" s="678"/>
    </row>
    <row r="41" spans="4:12">
      <c r="D41" s="685"/>
      <c r="E41" s="209"/>
      <c r="F41" s="212"/>
      <c r="H41" s="674">
        <v>46070</v>
      </c>
      <c r="I41" s="675"/>
      <c r="J41" s="676" t="s">
        <v>550</v>
      </c>
      <c r="K41" s="677"/>
      <c r="L41" s="678"/>
    </row>
    <row r="42" spans="4:12" ht="15.75" thickBot="1">
      <c r="D42" s="686"/>
      <c r="E42" s="210"/>
      <c r="F42" s="224"/>
      <c r="G42" s="225"/>
      <c r="H42" s="674">
        <v>46082</v>
      </c>
      <c r="I42" s="675"/>
      <c r="J42" s="676" t="s">
        <v>551</v>
      </c>
      <c r="K42" s="677"/>
      <c r="L42" s="678"/>
    </row>
    <row r="43" spans="4:12">
      <c r="D43" s="687" t="str">
        <f ca="1">INDIRECT("T!"&amp;T!A1&amp;"37")</f>
        <v>Inne</v>
      </c>
      <c r="E43" s="167" t="s">
        <v>552</v>
      </c>
      <c r="F43" s="168" t="s">
        <v>10</v>
      </c>
      <c r="H43" s="674">
        <v>46089</v>
      </c>
      <c r="I43" s="675"/>
      <c r="J43" s="676" t="s">
        <v>553</v>
      </c>
      <c r="K43" s="677"/>
      <c r="L43" s="678"/>
    </row>
    <row r="44" spans="4:12">
      <c r="D44" s="688"/>
      <c r="E44" s="165" t="s">
        <v>554</v>
      </c>
      <c r="F44" s="19" t="s">
        <v>17</v>
      </c>
      <c r="H44" s="674">
        <v>46091</v>
      </c>
      <c r="I44" s="675"/>
      <c r="J44" s="676" t="s">
        <v>555</v>
      </c>
      <c r="K44" s="677"/>
      <c r="L44" s="678"/>
    </row>
    <row r="45" spans="4:12" ht="15.75" thickBot="1">
      <c r="D45" s="689"/>
      <c r="E45" s="166" t="s">
        <v>556</v>
      </c>
      <c r="F45" s="91" t="s">
        <v>29</v>
      </c>
      <c r="H45" s="674">
        <v>46101</v>
      </c>
      <c r="I45" s="675"/>
      <c r="J45" s="676" t="s">
        <v>557</v>
      </c>
      <c r="K45" s="677"/>
      <c r="L45" s="678"/>
    </row>
    <row r="46" spans="4:12">
      <c r="D46" s="164"/>
      <c r="H46" s="674">
        <v>46110</v>
      </c>
      <c r="I46" s="675"/>
      <c r="J46" s="676" t="s">
        <v>558</v>
      </c>
      <c r="K46" s="677"/>
      <c r="L46" s="678"/>
    </row>
    <row r="47" spans="4:12">
      <c r="H47" s="674">
        <v>46113</v>
      </c>
      <c r="I47" s="675"/>
      <c r="J47" s="676" t="s">
        <v>559</v>
      </c>
      <c r="K47" s="677"/>
      <c r="L47" s="678"/>
    </row>
    <row r="48" spans="4:12">
      <c r="H48" s="674">
        <v>46116</v>
      </c>
      <c r="I48" s="675"/>
      <c r="J48" s="676" t="s">
        <v>560</v>
      </c>
      <c r="K48" s="677"/>
      <c r="L48" s="678"/>
    </row>
    <row r="49" spans="8:12">
      <c r="H49" s="674">
        <v>46124</v>
      </c>
      <c r="I49" s="675"/>
      <c r="J49" s="676" t="s">
        <v>561</v>
      </c>
      <c r="K49" s="677"/>
      <c r="L49" s="678"/>
    </row>
    <row r="50" spans="8:12">
      <c r="H50" s="674">
        <v>46134</v>
      </c>
      <c r="I50" s="675"/>
      <c r="J50" s="676" t="s">
        <v>562</v>
      </c>
      <c r="K50" s="677"/>
      <c r="L50" s="678"/>
    </row>
    <row r="51" spans="8:12">
      <c r="H51" s="674">
        <v>46144</v>
      </c>
      <c r="I51" s="675"/>
      <c r="J51" s="676" t="s">
        <v>563</v>
      </c>
      <c r="K51" s="677"/>
      <c r="L51" s="678"/>
    </row>
    <row r="52" spans="8:12">
      <c r="H52" s="674">
        <v>46159</v>
      </c>
      <c r="I52" s="675"/>
      <c r="J52" s="676" t="s">
        <v>564</v>
      </c>
      <c r="K52" s="677"/>
      <c r="L52" s="678"/>
    </row>
    <row r="53" spans="8:12">
      <c r="H53" s="674">
        <v>46168</v>
      </c>
      <c r="I53" s="675"/>
      <c r="J53" s="676" t="s">
        <v>565</v>
      </c>
      <c r="K53" s="677"/>
      <c r="L53" s="678"/>
    </row>
    <row r="54" spans="8:12">
      <c r="H54" s="674">
        <v>46174</v>
      </c>
      <c r="I54" s="675"/>
      <c r="J54" s="676" t="s">
        <v>566</v>
      </c>
      <c r="K54" s="677"/>
      <c r="L54" s="678"/>
    </row>
    <row r="55" spans="8:12">
      <c r="H55" s="674">
        <v>46194</v>
      </c>
      <c r="I55" s="675"/>
      <c r="J55" s="676" t="s">
        <v>567</v>
      </c>
      <c r="K55" s="677"/>
      <c r="L55" s="678"/>
    </row>
    <row r="56" spans="8:12">
      <c r="H56" s="674">
        <v>46196</v>
      </c>
      <c r="I56" s="675"/>
      <c r="J56" s="676" t="s">
        <v>568</v>
      </c>
      <c r="K56" s="677"/>
      <c r="L56" s="678"/>
    </row>
    <row r="57" spans="8:12">
      <c r="H57" s="674">
        <v>46235</v>
      </c>
      <c r="I57" s="675"/>
      <c r="J57" s="676" t="s">
        <v>569</v>
      </c>
      <c r="K57" s="677"/>
      <c r="L57" s="678"/>
    </row>
    <row r="58" spans="8:12">
      <c r="H58" s="674">
        <v>46265</v>
      </c>
      <c r="I58" s="675"/>
      <c r="J58" s="676" t="s">
        <v>570</v>
      </c>
      <c r="K58" s="677"/>
      <c r="L58" s="678"/>
    </row>
    <row r="59" spans="8:12">
      <c r="H59" s="674">
        <v>46288</v>
      </c>
      <c r="I59" s="675"/>
      <c r="J59" s="676" t="s">
        <v>571</v>
      </c>
      <c r="K59" s="677"/>
      <c r="L59" s="678"/>
    </row>
    <row r="60" spans="8:12">
      <c r="H60" s="674">
        <v>46295</v>
      </c>
      <c r="I60" s="675"/>
      <c r="J60" s="676" t="s">
        <v>572</v>
      </c>
      <c r="K60" s="677"/>
      <c r="L60" s="678"/>
    </row>
    <row r="61" spans="8:12">
      <c r="H61" s="674">
        <v>46309</v>
      </c>
      <c r="I61" s="675"/>
      <c r="J61" s="676" t="s">
        <v>573</v>
      </c>
      <c r="K61" s="677"/>
      <c r="L61" s="678"/>
    </row>
    <row r="62" spans="8:12">
      <c r="H62" s="674">
        <v>46320</v>
      </c>
      <c r="I62" s="675"/>
      <c r="J62" s="676" t="s">
        <v>574</v>
      </c>
      <c r="K62" s="677"/>
      <c r="L62" s="678"/>
    </row>
    <row r="63" spans="8:12">
      <c r="H63" s="674">
        <v>46328</v>
      </c>
      <c r="I63" s="675"/>
      <c r="J63" s="676" t="s">
        <v>575</v>
      </c>
      <c r="K63" s="677"/>
      <c r="L63" s="678"/>
    </row>
    <row r="64" spans="8:12">
      <c r="H64" s="674">
        <v>46355</v>
      </c>
      <c r="I64" s="675"/>
      <c r="J64" s="676" t="s">
        <v>576</v>
      </c>
      <c r="K64" s="677"/>
      <c r="L64" s="678"/>
    </row>
    <row r="65" spans="8:12">
      <c r="H65" s="674">
        <v>46360</v>
      </c>
      <c r="I65" s="675"/>
      <c r="J65" s="676" t="s">
        <v>577</v>
      </c>
      <c r="K65" s="677"/>
      <c r="L65" s="678"/>
    </row>
    <row r="66" spans="8:12">
      <c r="H66" s="674">
        <v>46362</v>
      </c>
      <c r="I66" s="675"/>
      <c r="J66" s="676" t="s">
        <v>578</v>
      </c>
      <c r="K66" s="677"/>
      <c r="L66" s="678"/>
    </row>
    <row r="67" spans="8:12">
      <c r="H67" s="674">
        <v>46377</v>
      </c>
      <c r="I67" s="675"/>
      <c r="J67" s="676" t="s">
        <v>579</v>
      </c>
      <c r="K67" s="677"/>
      <c r="L67" s="678"/>
    </row>
    <row r="68" spans="8:12">
      <c r="H68" s="674">
        <v>46380</v>
      </c>
      <c r="I68" s="675"/>
      <c r="J68" s="676" t="s">
        <v>542</v>
      </c>
      <c r="K68" s="677"/>
      <c r="L68" s="678"/>
    </row>
    <row r="69" spans="8:12">
      <c r="H69" s="674">
        <v>46383</v>
      </c>
      <c r="I69" s="675"/>
      <c r="J69" s="676" t="s">
        <v>580</v>
      </c>
      <c r="K69" s="677"/>
      <c r="L69" s="678"/>
    </row>
    <row r="70" spans="8:12" ht="15.75" thickBot="1">
      <c r="H70" s="690">
        <v>46387</v>
      </c>
      <c r="I70" s="691"/>
      <c r="J70" s="692" t="s">
        <v>581</v>
      </c>
      <c r="K70" s="693"/>
      <c r="L70" s="694"/>
    </row>
  </sheetData>
  <sheetProtection algorithmName="SHA-512" hashValue="dh5Ck7kX6h+Fot58zrNEGwR9AIVdFmkodLxcb3x33c9UXhFRjJLfBXAF2kTsUR+vlVM71Nee8zIy2wpMww15CA==" saltValue="cW+BtrA9f0xWAAjkpb3seg==" spinCount="100000" sheet="1" objects="1" scenarios="1" selectLockedCells="1"/>
  <mergeCells count="110">
    <mergeCell ref="D3:D22"/>
    <mergeCell ref="D43:D45"/>
    <mergeCell ref="D23:D42"/>
    <mergeCell ref="H69:I69"/>
    <mergeCell ref="J69:L69"/>
    <mergeCell ref="H70:I70"/>
    <mergeCell ref="J70:L70"/>
    <mergeCell ref="H66:I66"/>
    <mergeCell ref="J66:L66"/>
    <mergeCell ref="H67:I67"/>
    <mergeCell ref="J67:L67"/>
    <mergeCell ref="H68:I68"/>
    <mergeCell ref="J68:L68"/>
    <mergeCell ref="H63:I63"/>
    <mergeCell ref="J63:L63"/>
    <mergeCell ref="H64:I64"/>
    <mergeCell ref="J64:L64"/>
    <mergeCell ref="H65:I65"/>
    <mergeCell ref="J65:L65"/>
    <mergeCell ref="H60:I60"/>
    <mergeCell ref="J60:L60"/>
    <mergeCell ref="H61:I61"/>
    <mergeCell ref="J61:L61"/>
    <mergeCell ref="H62:I62"/>
    <mergeCell ref="J62:L62"/>
    <mergeCell ref="H57:I57"/>
    <mergeCell ref="J57:L57"/>
    <mergeCell ref="H58:I58"/>
    <mergeCell ref="J58:L58"/>
    <mergeCell ref="H59:I59"/>
    <mergeCell ref="J59:L59"/>
    <mergeCell ref="H54:I54"/>
    <mergeCell ref="J54:L54"/>
    <mergeCell ref="H55:I55"/>
    <mergeCell ref="J55:L55"/>
    <mergeCell ref="H56:I56"/>
    <mergeCell ref="J56:L56"/>
    <mergeCell ref="H51:I51"/>
    <mergeCell ref="J51:L51"/>
    <mergeCell ref="H52:I52"/>
    <mergeCell ref="J52:L52"/>
    <mergeCell ref="H53:I53"/>
    <mergeCell ref="J53:L53"/>
    <mergeCell ref="H48:I48"/>
    <mergeCell ref="J48:L48"/>
    <mergeCell ref="H49:I49"/>
    <mergeCell ref="J49:L49"/>
    <mergeCell ref="H50:I50"/>
    <mergeCell ref="J50:L50"/>
    <mergeCell ref="H45:I45"/>
    <mergeCell ref="J45:L45"/>
    <mergeCell ref="H46:I46"/>
    <mergeCell ref="J46:L46"/>
    <mergeCell ref="H47:I47"/>
    <mergeCell ref="J47:L47"/>
    <mergeCell ref="H42:I42"/>
    <mergeCell ref="J42:L42"/>
    <mergeCell ref="H43:I43"/>
    <mergeCell ref="J43:L43"/>
    <mergeCell ref="H44:I44"/>
    <mergeCell ref="J44:L44"/>
    <mergeCell ref="H39:I39"/>
    <mergeCell ref="J39:L39"/>
    <mergeCell ref="H40:I40"/>
    <mergeCell ref="J40:L40"/>
    <mergeCell ref="H41:I41"/>
    <mergeCell ref="J41:L41"/>
    <mergeCell ref="H36:I36"/>
    <mergeCell ref="J36:L36"/>
    <mergeCell ref="H37:I37"/>
    <mergeCell ref="J37:L37"/>
    <mergeCell ref="H38:I38"/>
    <mergeCell ref="J38:L38"/>
    <mergeCell ref="H33:I33"/>
    <mergeCell ref="J33:L33"/>
    <mergeCell ref="H34:I34"/>
    <mergeCell ref="J34:L34"/>
    <mergeCell ref="H35:I35"/>
    <mergeCell ref="J35:L35"/>
    <mergeCell ref="H30:I30"/>
    <mergeCell ref="J30:L30"/>
    <mergeCell ref="H31:I31"/>
    <mergeCell ref="J31:L31"/>
    <mergeCell ref="H32:I32"/>
    <mergeCell ref="J32:L32"/>
    <mergeCell ref="H2:L2"/>
    <mergeCell ref="H16:L16"/>
    <mergeCell ref="H18:L18"/>
    <mergeCell ref="H19:I19"/>
    <mergeCell ref="J19:L19"/>
    <mergeCell ref="H20:I20"/>
    <mergeCell ref="J20:L20"/>
    <mergeCell ref="H21:I21"/>
    <mergeCell ref="J21:L21"/>
    <mergeCell ref="H22:I22"/>
    <mergeCell ref="J22:L22"/>
    <mergeCell ref="H23:I23"/>
    <mergeCell ref="J23:L23"/>
    <mergeCell ref="H27:I27"/>
    <mergeCell ref="J27:L27"/>
    <mergeCell ref="H28:I28"/>
    <mergeCell ref="J28:L28"/>
    <mergeCell ref="H29:I29"/>
    <mergeCell ref="J29:L29"/>
    <mergeCell ref="H24:I24"/>
    <mergeCell ref="J24:L24"/>
    <mergeCell ref="H25:I25"/>
    <mergeCell ref="J25:L25"/>
    <mergeCell ref="H26:I26"/>
    <mergeCell ref="J26:L26"/>
  </mergeCells>
  <conditionalFormatting sqref="F3:F45">
    <cfRule type="duplicateValues" dxfId="0" priority="236"/>
  </conditionalFormatting>
  <dataValidations count="3">
    <dataValidation type="list" allowBlank="1" showInputMessage="1" showErrorMessage="1" sqref="B3" xr:uid="{00000000-0002-0000-0400-000000000000}">
      <formula1>years</formula1>
    </dataValidation>
    <dataValidation type="list" allowBlank="1" showInputMessage="1" showErrorMessage="1" sqref="B6" xr:uid="{00000000-0002-0000-0400-000001000000}">
      <formula1>languages</formula1>
    </dataValidation>
    <dataValidation type="list" allowBlank="1" showInputMessage="1" showErrorMessage="1" sqref="I5" xr:uid="{8165F339-0795-4677-8F3B-D1EC7BA9D150}">
      <formula1>februaryday</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6" r:id="rId4" name="Button 8">
              <controlPr defaultSize="0" print="0" autoFill="0" autoPict="0" macro="[0]!ShowEmpl">
                <anchor moveWithCells="1" sizeWithCells="1">
                  <from>
                    <xdr:col>0</xdr:col>
                    <xdr:colOff>152400</xdr:colOff>
                    <xdr:row>6</xdr:row>
                    <xdr:rowOff>177800</xdr:rowOff>
                  </from>
                  <to>
                    <xdr:col>2</xdr:col>
                    <xdr:colOff>12700</xdr:colOff>
                    <xdr:row>9</xdr:row>
                    <xdr:rowOff>139700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5103faed-7eab-48b8-a23c-23f44ea600ab">
      <Terms xmlns="http://schemas.microsoft.com/office/infopath/2007/PartnerControls"/>
    </lcf76f155ced4ddcb4097134ff3c332f>
    <TaxCatchAll xmlns="624666c2-dd3c-4134-891a-0ef3365400b1"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2BBED82F28864441B0157990069E37F4" ma:contentTypeVersion="12" ma:contentTypeDescription="Create a new document." ma:contentTypeScope="" ma:versionID="0db64e475d5989049cf8c3ce8fd2d2da">
  <xsd:schema xmlns:xsd="http://www.w3.org/2001/XMLSchema" xmlns:xs="http://www.w3.org/2001/XMLSchema" xmlns:p="http://schemas.microsoft.com/office/2006/metadata/properties" xmlns:ns2="5103faed-7eab-48b8-a23c-23f44ea600ab" xmlns:ns3="624666c2-dd3c-4134-891a-0ef3365400b1" targetNamespace="http://schemas.microsoft.com/office/2006/metadata/properties" ma:root="true" ma:fieldsID="1dbf5ca66ce9c05fd2d4b846f7119639" ns2:_="" ns3:_="">
    <xsd:import namespace="5103faed-7eab-48b8-a23c-23f44ea600ab"/>
    <xsd:import namespace="624666c2-dd3c-4134-891a-0ef3365400b1"/>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103faed-7eab-48b8-a23c-23f44ea600a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53ff6daa-0916-4f6e-8903-ed42441947a9"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624666c2-dd3c-4134-891a-0ef3365400b1"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52cac93c-493d-4623-9b70-e87943c27a93}" ma:internalName="TaxCatchAll" ma:showField="CatchAllData" ma:web="7dfb387e-9bff-48ef-a818-42cfda65cec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105F1DA-1D12-40B6-9B15-292F26FB21F0}"/>
</file>

<file path=customXml/itemProps2.xml><?xml version="1.0" encoding="utf-8"?>
<ds:datastoreItem xmlns:ds="http://schemas.openxmlformats.org/officeDocument/2006/customXml" ds:itemID="{F13D6E5C-5B58-4812-9640-E5D7A6E83AEA}"/>
</file>

<file path=customXml/itemProps3.xml><?xml version="1.0" encoding="utf-8"?>
<ds:datastoreItem xmlns:ds="http://schemas.openxmlformats.org/officeDocument/2006/customXml" ds:itemID="{3C14926B-F9AF-4724-80BB-CCD7F1AB4B77}"/>
</file>

<file path=docMetadata/LabelInfo.xml><?xml version="1.0" encoding="utf-8"?>
<clbl:labelList xmlns:clbl="http://schemas.microsoft.com/office/2020/mipLabelMetadata">
  <clbl:label id="{0d0536cd-2abd-411b-a46e-b436075efeaf}" enabled="0" method="" siteId="{0d0536cd-2abd-411b-a46e-b436075efeaf}" removed="1"/>
</clbl:labelLis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Manager Schedule V3</dc:title>
  <dc:subject/>
  <dc:creator/>
  <cp:keywords/>
  <dc:description/>
  <cp:lastModifiedBy>Apel, Dawid</cp:lastModifiedBy>
  <cp:revision/>
  <dcterms:created xsi:type="dcterms:W3CDTF">2006-09-16T00:00:00Z</dcterms:created>
  <dcterms:modified xsi:type="dcterms:W3CDTF">2026-09-12T14:58:28Z</dcterms:modified>
  <cp:category>Schedule</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0x0101002BBED82F28864441B0157990069E37F4</vt:lpwstr>
  </property>
  <property fmtid="{D5CDD505-2E9C-101B-9397-08002B2CF9AE}" pid="3" name="MediaServiceImageTags">
    <vt:lpwstr/>
  </property>
</Properties>
</file>