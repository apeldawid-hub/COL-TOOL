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25" codeName="{00000000-0000-0000-0000-000000000000}"/>
  <workbookPr filterPrivacy="1" updateLinks="always" codeName="Ten_skoroszyt" defaultThemeVersion="124226"/>
  <xr:revisionPtr revIDLastSave="39" documentId="13_ncr:1_{61B14982-3183-414D-ACA5-649607EF5CCB}" xr6:coauthVersionLast="47" xr6:coauthVersionMax="47" xr10:uidLastSave="{98DCAB57-8E36-45AE-8203-2DADF8A26860}"/>
  <bookViews>
    <workbookView xWindow="4440" yWindow="760" windowWidth="24960" windowHeight="1684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_xlnm.Print_Area" localSheetId="1">Schedule!$A$1:$AW$75</definedName>
    <definedName name="period">#REF!</definedName>
    <definedName name="pozycja">#REF!</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L8" i="5"/>
  <c r="F7" i="10"/>
  <c r="P1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C13" i="10"/>
  <c r="E13" i="10"/>
  <c r="C14" i="10"/>
  <c r="E14" i="10"/>
  <c r="E3" i="10"/>
  <c r="C3" i="10"/>
  <c r="T6" i="23"/>
  <c r="W6" i="23"/>
  <c r="AA6" i="23"/>
  <c r="V6" i="23"/>
  <c r="T7" i="23"/>
  <c r="V7" i="23"/>
  <c r="T8" i="23"/>
  <c r="V8" i="23"/>
  <c r="T9" i="23"/>
  <c r="V9" i="23"/>
  <c r="M6" i="23"/>
  <c r="O6" i="23"/>
  <c r="P6" i="23"/>
  <c r="M7" i="23"/>
  <c r="P7" i="23"/>
  <c r="Z7" i="23"/>
  <c r="O7" i="23"/>
  <c r="M8" i="23"/>
  <c r="O8" i="23"/>
  <c r="P8" i="23"/>
  <c r="M9" i="23"/>
  <c r="O9" i="23"/>
  <c r="P9" i="23"/>
  <c r="Z9" i="23"/>
  <c r="F6" i="23"/>
  <c r="H6" i="23"/>
  <c r="F7" i="23"/>
  <c r="H7" i="23"/>
  <c r="I7" i="23"/>
  <c r="Y7" i="23"/>
  <c r="F8" i="23"/>
  <c r="H8" i="23"/>
  <c r="I8" i="23"/>
  <c r="Y8" i="23"/>
  <c r="F9" i="23"/>
  <c r="H9" i="23"/>
  <c r="T19" i="23"/>
  <c r="V19" i="23"/>
  <c r="T20" i="23"/>
  <c r="V20" i="23"/>
  <c r="T21" i="23"/>
  <c r="V21" i="23"/>
  <c r="W21" i="23"/>
  <c r="AA21" i="23"/>
  <c r="T22" i="23"/>
  <c r="V22" i="23"/>
  <c r="W22" i="23"/>
  <c r="M19" i="23"/>
  <c r="O19" i="23"/>
  <c r="P19" i="23"/>
  <c r="M20" i="23"/>
  <c r="O20" i="23"/>
  <c r="M21" i="23"/>
  <c r="O21" i="23"/>
  <c r="P21" i="23"/>
  <c r="M22" i="23"/>
  <c r="O22" i="23"/>
  <c r="P22" i="23"/>
  <c r="M23" i="23"/>
  <c r="O23" i="23"/>
  <c r="P23" i="23"/>
  <c r="F19" i="23"/>
  <c r="H19" i="23"/>
  <c r="I19" i="23"/>
  <c r="F20" i="23"/>
  <c r="H20" i="23"/>
  <c r="I20" i="23"/>
  <c r="F21" i="23"/>
  <c r="H21" i="23"/>
  <c r="I21" i="23"/>
  <c r="Y21" i="23"/>
  <c r="AB21" i="23"/>
  <c r="AC21" i="23"/>
  <c r="F22" i="23"/>
  <c r="H22" i="23"/>
  <c r="I22" i="23"/>
  <c r="Y22" i="23"/>
  <c r="AB22" i="23"/>
  <c r="AC22" i="23"/>
  <c r="F23" i="23"/>
  <c r="H23" i="23"/>
  <c r="F32" i="23"/>
  <c r="F33" i="23"/>
  <c r="H33" i="23"/>
  <c r="I33" i="23"/>
  <c r="F34" i="23"/>
  <c r="H34" i="23"/>
  <c r="I34" i="23"/>
  <c r="F35" i="23"/>
  <c r="H35" i="23"/>
  <c r="I35" i="23"/>
  <c r="M33" i="23"/>
  <c r="O33" i="23"/>
  <c r="M34" i="23"/>
  <c r="O34" i="23"/>
  <c r="T33" i="23"/>
  <c r="V33" i="23"/>
  <c r="T34" i="23"/>
  <c r="V34" i="23"/>
  <c r="W34" i="23"/>
  <c r="T45" i="23"/>
  <c r="V45" i="23"/>
  <c r="T46" i="23"/>
  <c r="V46" i="23"/>
  <c r="M45" i="23"/>
  <c r="O45" i="23"/>
  <c r="P45" i="23"/>
  <c r="M46" i="23"/>
  <c r="O46" i="23"/>
  <c r="P46" i="23"/>
  <c r="M47" i="23"/>
  <c r="O47" i="23"/>
  <c r="P47" i="23"/>
  <c r="H45" i="23"/>
  <c r="H46" i="23"/>
  <c r="F45" i="23"/>
  <c r="I45" i="23"/>
  <c r="F46" i="23"/>
  <c r="C17" i="4"/>
  <c r="L6" i="6"/>
  <c r="L7" i="6"/>
  <c r="F51" i="23"/>
  <c r="F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I37" i="23"/>
  <c r="H38" i="23"/>
  <c r="F36" i="23"/>
  <c r="BJ8" i="12"/>
  <c r="H83" i="1"/>
  <c r="C83" i="1"/>
  <c r="H82" i="1"/>
  <c r="C82" i="1"/>
  <c r="H81" i="1"/>
  <c r="AP18" i="1"/>
  <c r="V53" i="23"/>
  <c r="V52" i="23"/>
  <c r="V49" i="23"/>
  <c r="V48" i="23"/>
  <c r="V47" i="23"/>
  <c r="V44" i="23"/>
  <c r="V40" i="23"/>
  <c r="V39" i="23"/>
  <c r="V36" i="23"/>
  <c r="V35" i="23"/>
  <c r="V32" i="23"/>
  <c r="V31" i="23"/>
  <c r="V27" i="23"/>
  <c r="V26" i="23"/>
  <c r="V25" i="23"/>
  <c r="V24" i="23"/>
  <c r="V23" i="23"/>
  <c r="V18" i="23"/>
  <c r="V14" i="23"/>
  <c r="V13" i="23"/>
  <c r="V12" i="23"/>
  <c r="V11" i="23"/>
  <c r="V10" i="23"/>
  <c r="V5" i="23"/>
  <c r="O14" i="23"/>
  <c r="O13" i="23"/>
  <c r="O12" i="23"/>
  <c r="O10" i="23"/>
  <c r="O5" i="23"/>
  <c r="O27" i="23"/>
  <c r="O26" i="23"/>
  <c r="O25" i="23"/>
  <c r="O24" i="23"/>
  <c r="O18" i="23"/>
  <c r="O40" i="23"/>
  <c r="O39" i="23"/>
  <c r="O36" i="23"/>
  <c r="O35" i="23"/>
  <c r="O32" i="23"/>
  <c r="O31" i="23"/>
  <c r="O53" i="23"/>
  <c r="O52" i="23"/>
  <c r="O49" i="23"/>
  <c r="O48" i="23"/>
  <c r="O44" i="23"/>
  <c r="H53" i="23"/>
  <c r="H52" i="23"/>
  <c r="H49" i="23"/>
  <c r="H48" i="23"/>
  <c r="H47" i="23"/>
  <c r="H44" i="23"/>
  <c r="H40" i="23"/>
  <c r="H39" i="23"/>
  <c r="I39" i="23"/>
  <c r="H36" i="23"/>
  <c r="H32" i="23"/>
  <c r="H31" i="23"/>
  <c r="H27" i="23"/>
  <c r="H26" i="23"/>
  <c r="H25" i="23"/>
  <c r="H24" i="23"/>
  <c r="H18" i="23"/>
  <c r="I18" i="23"/>
  <c r="Y18" i="23"/>
  <c r="AB18" i="23"/>
  <c r="AC18" i="23"/>
  <c r="H14" i="23"/>
  <c r="H13" i="23"/>
  <c r="H12" i="23"/>
  <c r="H11" i="23"/>
  <c r="H10" i="23"/>
  <c r="H5" i="23"/>
  <c r="T14" i="23"/>
  <c r="W14" i="23"/>
  <c r="T13" i="23"/>
  <c r="W13" i="23"/>
  <c r="T12" i="23"/>
  <c r="T11" i="23"/>
  <c r="W11" i="23"/>
  <c r="T10" i="23"/>
  <c r="W10" i="23"/>
  <c r="T5" i="23"/>
  <c r="W5" i="23"/>
  <c r="AA5" i="23"/>
  <c r="T27" i="23"/>
  <c r="T26" i="23"/>
  <c r="W26" i="23"/>
  <c r="T25" i="23"/>
  <c r="T24" i="23"/>
  <c r="T23" i="23"/>
  <c r="T18" i="23"/>
  <c r="T40" i="23"/>
  <c r="W40" i="23"/>
  <c r="T39" i="23"/>
  <c r="T36" i="23"/>
  <c r="W36" i="23"/>
  <c r="T35" i="23"/>
  <c r="W35" i="23"/>
  <c r="T32" i="23"/>
  <c r="T31" i="23"/>
  <c r="W31" i="23"/>
  <c r="T53" i="23"/>
  <c r="T49" i="23"/>
  <c r="W49" i="23"/>
  <c r="T48" i="23"/>
  <c r="T47" i="23"/>
  <c r="W47" i="23"/>
  <c r="T44" i="23"/>
  <c r="F53" i="23"/>
  <c r="F52" i="23"/>
  <c r="I52" i="23"/>
  <c r="F49" i="23"/>
  <c r="I49" i="23"/>
  <c r="F48" i="23"/>
  <c r="I48" i="23"/>
  <c r="F47" i="23"/>
  <c r="F44" i="23"/>
  <c r="F31" i="23"/>
  <c r="F27" i="23"/>
  <c r="F26" i="23"/>
  <c r="F25" i="23"/>
  <c r="I25" i="23"/>
  <c r="F24" i="23"/>
  <c r="F18" i="23"/>
  <c r="F14" i="23"/>
  <c r="I14" i="23"/>
  <c r="F13" i="23"/>
  <c r="F12" i="23"/>
  <c r="I12" i="23"/>
  <c r="F11" i="23"/>
  <c r="I11" i="23"/>
  <c r="F10" i="23"/>
  <c r="I10" i="23"/>
  <c r="F5" i="23"/>
  <c r="M53" i="23"/>
  <c r="M52" i="23"/>
  <c r="M49" i="23"/>
  <c r="P49" i="23"/>
  <c r="M48" i="23"/>
  <c r="P48" i="23"/>
  <c r="M44" i="23"/>
  <c r="P44" i="23"/>
  <c r="M40" i="23"/>
  <c r="M39" i="23"/>
  <c r="M36" i="23"/>
  <c r="M35" i="23"/>
  <c r="P35" i="23"/>
  <c r="M32" i="23"/>
  <c r="P32" i="23"/>
  <c r="M31" i="23"/>
  <c r="P31" i="23"/>
  <c r="M27" i="23"/>
  <c r="M26" i="23"/>
  <c r="P26" i="23"/>
  <c r="Z26" i="23"/>
  <c r="M25" i="23"/>
  <c r="P25" i="23"/>
  <c r="M24" i="23"/>
  <c r="P24" i="23"/>
  <c r="M18" i="23"/>
  <c r="P18" i="23"/>
  <c r="M14" i="23"/>
  <c r="M13" i="23"/>
  <c r="M12" i="23"/>
  <c r="M10" i="23"/>
  <c r="P10" i="23"/>
  <c r="M5" i="23"/>
  <c r="O11" i="23"/>
  <c r="M11" i="23"/>
  <c r="U3" i="3"/>
  <c r="B3" i="3"/>
  <c r="AL3" i="3"/>
  <c r="L5" i="6"/>
  <c r="C12" i="1"/>
  <c r="D1" i="4"/>
  <c r="AC13" i="23"/>
  <c r="AC38" i="23"/>
  <c r="AC51" i="23"/>
  <c r="AC26" i="23"/>
  <c r="AC25"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J154" i="12"/>
  <c r="BJ181" i="12"/>
  <c r="BJ12" i="12"/>
  <c r="BJ30" i="12"/>
  <c r="BJ44" i="12"/>
  <c r="BJ34" i="12"/>
  <c r="BJ60" i="12"/>
  <c r="BJ52" i="12"/>
  <c r="BJ78" i="12"/>
  <c r="BJ97" i="12"/>
  <c r="BJ116" i="12"/>
  <c r="BJ94" i="12"/>
  <c r="BJ113" i="12"/>
  <c r="BJ131" i="12"/>
  <c r="BJ150" i="12"/>
  <c r="BJ134" i="12"/>
  <c r="BJ153" i="12"/>
  <c r="BJ170" i="12"/>
  <c r="BJ196" i="12"/>
  <c r="BJ167" i="12"/>
  <c r="BJ186" i="12"/>
  <c r="BJ205" i="12"/>
  <c r="BJ48" i="12"/>
  <c r="BJ101" i="12"/>
  <c r="BJ135" i="12"/>
  <c r="BJ164" i="12"/>
  <c r="BJ197" i="12"/>
  <c r="BJ14" i="12"/>
  <c r="BJ18" i="12"/>
  <c r="BJ46" i="12"/>
  <c r="BJ43" i="12"/>
  <c r="BJ62" i="12"/>
  <c r="BJ61" i="12"/>
  <c r="BJ80" i="12"/>
  <c r="BJ99" i="12"/>
  <c r="BJ118" i="12"/>
  <c r="BJ96" i="12"/>
  <c r="BJ115" i="12"/>
  <c r="BJ133" i="12"/>
  <c r="BJ152" i="12"/>
  <c r="BJ136" i="12"/>
  <c r="BJ162" i="12"/>
  <c r="BJ179" i="12"/>
  <c r="BJ198" i="12"/>
  <c r="BJ169" i="12"/>
  <c r="BJ188" i="12"/>
  <c r="BJ13" i="12"/>
  <c r="BJ17" i="12"/>
  <c r="BJ29" i="12"/>
  <c r="BJ50" i="12"/>
  <c r="BJ47" i="12"/>
  <c r="BJ66" i="12"/>
  <c r="BJ65" i="12"/>
  <c r="BJ84" i="12"/>
  <c r="BJ103" i="12"/>
  <c r="BJ81" i="12"/>
  <c r="BJ100" i="12"/>
  <c r="BJ119" i="12"/>
  <c r="BJ137" i="12"/>
  <c r="BJ128" i="12"/>
  <c r="BJ147" i="12"/>
  <c r="BJ166" i="12"/>
  <c r="BJ183" i="12"/>
  <c r="BJ202" i="12"/>
  <c r="BJ180" i="12"/>
  <c r="BJ199" i="12"/>
  <c r="BJ27" i="12"/>
  <c r="BJ82" i="12"/>
  <c r="BJ98" i="12"/>
  <c r="BJ145" i="12"/>
  <c r="BJ171" i="12"/>
  <c r="BJ15" i="12"/>
  <c r="BJ26" i="12"/>
  <c r="BJ33" i="12"/>
  <c r="BJ31" i="12"/>
  <c r="BJ49" i="12"/>
  <c r="BJ68" i="12"/>
  <c r="BJ67" i="12"/>
  <c r="BJ86" i="12"/>
  <c r="BJ112" i="12"/>
  <c r="BJ83" i="12"/>
  <c r="BJ102" i="12"/>
  <c r="BJ120" i="12"/>
  <c r="BJ146" i="12"/>
  <c r="BJ130" i="12"/>
  <c r="BJ149" i="12"/>
  <c r="BJ165" i="12"/>
  <c r="BJ185" i="12"/>
  <c r="BJ204" i="12"/>
  <c r="BJ182" i="12"/>
  <c r="BJ201" i="12"/>
  <c r="BS14" i="12"/>
  <c r="BJ64" i="12"/>
  <c r="BJ117" i="12"/>
  <c r="BJ200" i="12"/>
  <c r="AT13" i="12"/>
  <c r="AI24" i="3"/>
  <c r="AJ24" i="3"/>
  <c r="AI25" i="3"/>
  <c r="AJ25" i="3"/>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25" i="23"/>
  <c r="W12" i="23"/>
  <c r="I26" i="23"/>
  <c r="I13" i="23"/>
  <c r="I51" i="23"/>
  <c r="Y51" i="23"/>
  <c r="F28" i="4"/>
  <c r="P39" i="23"/>
  <c r="I53" i="23"/>
  <c r="W27" i="23"/>
  <c r="W38" i="23"/>
  <c r="P52" i="23"/>
  <c r="AS179" i="12"/>
  <c r="AS186" i="12"/>
  <c r="AS95" i="12"/>
  <c r="AS84" i="12"/>
  <c r="AS29" i="12"/>
  <c r="AS100" i="12"/>
  <c r="AS49" i="12"/>
  <c r="AS165" i="12"/>
  <c r="AS114" i="12"/>
  <c r="I31" i="4"/>
  <c r="J31" i="4"/>
  <c r="I44" i="4"/>
  <c r="J44" i="4"/>
  <c r="W23" i="23"/>
  <c r="P33" i="23"/>
  <c r="P34" i="23"/>
  <c r="I36" i="23"/>
  <c r="I32" i="23"/>
  <c r="P36" i="23"/>
  <c r="W18"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Z14" i="23"/>
  <c r="I24" i="23"/>
  <c r="W20"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Z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W24" i="23"/>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P20" i="23"/>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H17"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34" i="23"/>
  <c r="AC33" i="23"/>
  <c r="AC37" i="23"/>
  <c r="AC35" i="23"/>
  <c r="AC31" i="23"/>
  <c r="AC36" i="23"/>
  <c r="AC11" i="23"/>
  <c r="AC24"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D130" i="12"/>
  <c r="BD198" i="12"/>
  <c r="BD11" i="12"/>
  <c r="BD14" i="12"/>
  <c r="BD111" i="12"/>
  <c r="BD29" i="12"/>
  <c r="BD164" i="12"/>
  <c r="BD48" i="12"/>
  <c r="BD166" i="12"/>
  <c r="BD85" i="12"/>
  <c r="BD201" i="12"/>
  <c r="BD187" i="12"/>
  <c r="BD203" i="12"/>
  <c r="BD185" i="12"/>
  <c r="BD204" i="12"/>
  <c r="BD114" i="12"/>
  <c r="BD167" i="12"/>
  <c r="BD69" i="12"/>
  <c r="BD44" i="12"/>
  <c r="BD116" i="12"/>
  <c r="BD101" i="12"/>
  <c r="BD205" i="12"/>
  <c r="BD35" i="12"/>
  <c r="BD62" i="12"/>
  <c r="BD200" i="12"/>
  <c r="BD117" i="12"/>
  <c r="BD146" i="12"/>
  <c r="BD137" i="12"/>
  <c r="BD165" i="12"/>
  <c r="BD12" i="12"/>
  <c r="BD65" i="12"/>
  <c r="BD120" i="12"/>
  <c r="BD66" i="12"/>
  <c r="BD151" i="12"/>
  <c r="BD112" i="12"/>
  <c r="BD118" i="12"/>
  <c r="BD96" i="12"/>
  <c r="BD46" i="12"/>
  <c r="BD188" i="12"/>
  <c r="BD83" i="12"/>
  <c r="BD27" i="12"/>
  <c r="BD154" i="12"/>
  <c r="BD199" i="12"/>
  <c r="BD182" i="12"/>
  <c r="BD95" i="12"/>
  <c r="BD196" i="12"/>
  <c r="BD34" i="12"/>
  <c r="BD79" i="12"/>
  <c r="BD186" i="12"/>
  <c r="BD67" i="12"/>
  <c r="BD78" i="12"/>
  <c r="BD10" i="12"/>
  <c r="BD50" i="12"/>
  <c r="BD8" i="12"/>
  <c r="BD179" i="12"/>
  <c r="BD168" i="12"/>
  <c r="BD98" i="12"/>
  <c r="BD128" i="12"/>
  <c r="BD82" i="12"/>
  <c r="BD86" i="12"/>
  <c r="BD9" i="12"/>
  <c r="BD134" i="12"/>
  <c r="BD132" i="12"/>
  <c r="BD147" i="12"/>
  <c r="BD84" i="12"/>
  <c r="BD32" i="12"/>
  <c r="BD103" i="12"/>
  <c r="BD150" i="12"/>
  <c r="BD115" i="12"/>
  <c r="BD197" i="12"/>
  <c r="BD99" i="12"/>
  <c r="BD119" i="12"/>
  <c r="BD16" i="12"/>
  <c r="BD15" i="12"/>
  <c r="BD49" i="12"/>
  <c r="BD80" i="12"/>
  <c r="BD61" i="12"/>
  <c r="BD17" i="12"/>
  <c r="BD202" i="12"/>
  <c r="BD63" i="12"/>
  <c r="BD13" i="12"/>
  <c r="BD60" i="12"/>
  <c r="BD102" i="12"/>
  <c r="BD131" i="12"/>
  <c r="BD153" i="12"/>
  <c r="BD183" i="12"/>
  <c r="BD145" i="12"/>
  <c r="BD169" i="12"/>
  <c r="BD133" i="12"/>
  <c r="BD181" i="12"/>
  <c r="BD100" i="12"/>
  <c r="BD81" i="12"/>
  <c r="BD30" i="12"/>
  <c r="BD162" i="12"/>
  <c r="BD170" i="12"/>
  <c r="BD94" i="12"/>
  <c r="BD43" i="12"/>
  <c r="BD77" i="12"/>
  <c r="BD18" i="12"/>
  <c r="BD45" i="12"/>
  <c r="BD33" i="12"/>
  <c r="BD163" i="12"/>
  <c r="BD47" i="12"/>
  <c r="BD171" i="12"/>
  <c r="BD149" i="12"/>
  <c r="BD31" i="12"/>
  <c r="BD26" i="12"/>
  <c r="BD113" i="12"/>
  <c r="BD184" i="12"/>
  <c r="BD148" i="12"/>
  <c r="BD51" i="12"/>
  <c r="BD136" i="12"/>
  <c r="BD97" i="12"/>
  <c r="BD129" i="12"/>
  <c r="BD180" i="12"/>
  <c r="BD68" i="12"/>
  <c r="BD28" i="12"/>
  <c r="BD64" i="12"/>
  <c r="BD135" i="12"/>
  <c r="BD52" i="12"/>
  <c r="BD152"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G62" i="10"/>
  <c r="I30" i="4"/>
  <c r="J30" i="4"/>
  <c r="G50" i="10"/>
  <c r="G67" i="10"/>
  <c r="AP30" i="1" a="1"/>
  <c r="AP30" i="1"/>
  <c r="AP26" i="1" a="1"/>
  <c r="AP26" i="1"/>
  <c r="AR28" i="1" a="1"/>
  <c r="AR28" i="1"/>
  <c r="AR29" i="1" a="1"/>
  <c r="AR29" i="1"/>
  <c r="D8" i="10"/>
  <c r="D3" i="10"/>
  <c r="Z52" i="23"/>
  <c r="Z51" i="23"/>
  <c r="Z53" i="23"/>
  <c r="Z49" i="23"/>
  <c r="Z23" i="23"/>
  <c r="L7" i="5"/>
  <c r="F6" i="10"/>
  <c r="I16" i="23"/>
  <c r="Y26" i="23"/>
  <c r="L6" i="5"/>
  <c r="F5" i="10"/>
  <c r="W3" i="23"/>
  <c r="AA10" i="23"/>
  <c r="D13" i="10"/>
  <c r="D11" i="10"/>
  <c r="Z45" i="23"/>
  <c r="Z19" i="23"/>
  <c r="L15" i="5"/>
  <c r="F14" i="10"/>
  <c r="W42" i="23"/>
  <c r="AA49" i="23"/>
  <c r="AC49" i="23"/>
  <c r="Y47" i="23"/>
  <c r="Z13" i="23"/>
  <c r="Z48" i="23"/>
  <c r="Y49" i="23"/>
  <c r="AB49" i="23"/>
  <c r="Z46" i="23"/>
  <c r="Y12" i="23"/>
  <c r="Y14" i="23"/>
  <c r="Y6" i="23"/>
  <c r="Y13" i="23"/>
  <c r="Y9" i="23"/>
  <c r="Y10" i="23"/>
  <c r="Y11" i="23"/>
  <c r="AA32" i="23"/>
  <c r="AA40" i="23"/>
  <c r="AA38" i="23"/>
  <c r="AA39" i="23"/>
  <c r="Z40" i="23"/>
  <c r="Z38" i="23"/>
  <c r="Z37" i="23"/>
  <c r="Z39" i="23"/>
  <c r="Y36" i="23"/>
  <c r="Y38" i="23"/>
  <c r="Y37" i="23"/>
  <c r="Y39" i="23"/>
  <c r="Y32" i="23"/>
  <c r="Y40" i="23"/>
  <c r="AA27" i="23"/>
  <c r="AA25" i="23"/>
  <c r="AA26" i="23"/>
  <c r="AB26" i="23"/>
  <c r="AA24" i="23"/>
  <c r="Z36" i="23"/>
  <c r="Y35" i="23"/>
  <c r="Y44" i="23"/>
  <c r="Z6" i="23"/>
  <c r="Y34" i="23"/>
  <c r="Z18" i="23"/>
  <c r="Y33" i="23"/>
  <c r="Z22" i="23"/>
  <c r="Z24" i="23"/>
  <c r="Y50" i="23"/>
  <c r="Z21" i="23"/>
  <c r="Z20" i="23"/>
  <c r="Z25" i="23"/>
  <c r="Z8" i="23"/>
  <c r="AA35" i="23"/>
  <c r="Z31" i="23"/>
  <c r="Y52" i="23"/>
  <c r="AA23" i="23"/>
  <c r="Y45" i="23"/>
  <c r="Z35" i="23"/>
  <c r="Y48" i="23"/>
  <c r="AA20" i="23"/>
  <c r="Z10" i="23"/>
  <c r="AB10" i="23"/>
  <c r="AC10" i="23"/>
  <c r="AA33" i="23"/>
  <c r="Z27" i="23"/>
  <c r="Z12" i="23"/>
  <c r="AA31" i="23"/>
  <c r="Z47" i="23"/>
  <c r="Z34" i="23"/>
  <c r="AA34" i="23"/>
  <c r="Z33" i="23"/>
  <c r="AA36" i="23"/>
  <c r="Z32" i="23"/>
  <c r="AA37" i="23"/>
  <c r="AA22" i="23"/>
  <c r="Y46" i="23"/>
  <c r="Z11" i="23"/>
  <c r="Y53" i="23"/>
  <c r="Y31" i="23"/>
  <c r="AB31" i="23"/>
  <c r="AA18" i="23"/>
  <c r="Z50" i="23"/>
  <c r="Z44" i="23"/>
  <c r="N5" i="12"/>
  <c r="M6" i="12"/>
  <c r="M22" i="12"/>
  <c r="D5" i="4"/>
  <c r="D6" i="4"/>
  <c r="E4" i="4"/>
  <c r="F4" i="4"/>
  <c r="E5" i="4"/>
  <c r="D7" i="4"/>
  <c r="D8" i="4"/>
  <c r="D9" i="4"/>
  <c r="D10" i="4"/>
  <c r="D11" i="4"/>
  <c r="D12" i="4"/>
  <c r="D13" i="4"/>
  <c r="D14" i="4"/>
  <c r="M39" i="12"/>
  <c r="BS12" i="12"/>
  <c r="BS11" i="12"/>
  <c r="BS13" i="12"/>
  <c r="BS9" i="12"/>
  <c r="BS16" i="12"/>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B34" i="23"/>
  <c r="AB36" i="23"/>
  <c r="AA50" i="23"/>
  <c r="AA9" i="23"/>
  <c r="AB48" i="23"/>
  <c r="AC48" i="23"/>
  <c r="Y19" i="23"/>
  <c r="Y25" i="23"/>
  <c r="AB25" i="23"/>
  <c r="AB35" i="23"/>
  <c r="Y20" i="23"/>
  <c r="AA45" i="23"/>
  <c r="AB45" i="23"/>
  <c r="AC45" i="23"/>
  <c r="AB33" i="23"/>
  <c r="AB40" i="23"/>
  <c r="AA13" i="23"/>
  <c r="AB13" i="23"/>
  <c r="AA14" i="23"/>
  <c r="AB14" i="23"/>
  <c r="AA12" i="23"/>
  <c r="AB12" i="23"/>
  <c r="AA47" i="23"/>
  <c r="AB47" i="23"/>
  <c r="AC47" i="23"/>
  <c r="Y24" i="23"/>
  <c r="AB24" i="23"/>
  <c r="Y27" i="23"/>
  <c r="AB27" i="23"/>
  <c r="AA11" i="23"/>
  <c r="AB11" i="23"/>
  <c r="AB37" i="23"/>
  <c r="AB38" i="23"/>
  <c r="AB44" i="23"/>
  <c r="AC44" i="23"/>
  <c r="AB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AK9" i="3"/>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J10" i="3"/>
  <c r="AO138" i="12"/>
  <c r="Q70" i="12"/>
  <c r="N70" i="12"/>
  <c r="AM53" i="12"/>
  <c r="AQ155" i="12"/>
  <c r="AM104" i="12"/>
  <c r="Y172" i="12"/>
  <c r="AC172" i="12"/>
  <c r="AA19" i="12"/>
  <c r="Q172" i="12"/>
  <c r="AP104" i="12"/>
  <c r="AL87" i="12"/>
  <c r="AL121" i="12"/>
  <c r="O70" i="12"/>
  <c r="AB138" i="12"/>
  <c r="S87" i="12"/>
  <c r="AA138" i="12"/>
  <c r="AL189" i="12"/>
  <c r="AJ87" i="12"/>
  <c r="N206" i="12"/>
  <c r="Q155" i="12"/>
  <c r="AP53" i="12"/>
  <c r="X121" i="12"/>
  <c r="P53" i="12"/>
  <c r="P70" i="12"/>
  <c r="S189" i="12"/>
  <c r="AP138" i="12"/>
  <c r="AQ206" i="12"/>
  <c r="AF206" i="12"/>
  <c r="AF138" i="12"/>
  <c r="AN138" i="12"/>
  <c r="AN155" i="12"/>
  <c r="AB155" i="12"/>
  <c r="W19" i="12"/>
  <c r="AC138" i="12"/>
  <c r="M206" i="12"/>
  <c r="AB53" i="12"/>
  <c r="AG19" i="12"/>
  <c r="AO104" i="12"/>
  <c r="W155" i="12"/>
  <c r="AL138" i="12"/>
  <c r="AO172" i="12"/>
  <c r="S155" i="12"/>
  <c r="Q206" i="12"/>
  <c r="AN189" i="12"/>
  <c r="Q189" i="12"/>
  <c r="N87" i="12"/>
  <c r="Z87" i="12"/>
  <c r="U172" i="12"/>
  <c r="AN172" i="12"/>
  <c r="Y121" i="12"/>
  <c r="AO189" i="12"/>
  <c r="AF155" i="12"/>
  <c r="AK206" i="12"/>
  <c r="AH104" i="12"/>
  <c r="AM36" i="12"/>
  <c r="T70" i="12"/>
  <c r="V53" i="12"/>
  <c r="AG121" i="12"/>
  <c r="AG104" i="12"/>
  <c r="S104" i="12"/>
  <c r="AF172" i="12"/>
  <c r="AH121" i="12"/>
  <c r="U87" i="12"/>
  <c r="AE121" i="12"/>
  <c r="AM172" i="12"/>
  <c r="M70" i="12"/>
  <c r="AL206" i="12"/>
  <c r="AP70" i="12"/>
  <c r="AA155" i="12"/>
  <c r="W172" i="12"/>
  <c r="AH138" i="12"/>
  <c r="AG70" i="12"/>
  <c r="AK121" i="12"/>
  <c r="X70" i="12"/>
  <c r="O206" i="12"/>
  <c r="T121" i="12"/>
  <c r="N121" i="12"/>
  <c r="AC155" i="12"/>
  <c r="AB189" i="12"/>
  <c r="O53" i="12"/>
  <c r="Z155" i="12"/>
  <c r="AH87" i="12"/>
  <c r="W53" i="12"/>
  <c r="AK155" i="12"/>
  <c r="W138" i="12"/>
  <c r="Y155" i="12"/>
  <c r="N53" i="12"/>
  <c r="AD36" i="12"/>
  <c r="W36" i="12"/>
  <c r="W87" i="12"/>
  <c r="T206" i="12"/>
  <c r="R70" i="12"/>
  <c r="AE19" i="12"/>
  <c r="AQ53" i="12"/>
  <c r="P36" i="12"/>
  <c r="X155" i="12"/>
  <c r="U189" i="12"/>
  <c r="AO206" i="12"/>
  <c r="AN53" i="12"/>
  <c r="T138" i="12"/>
  <c r="Y104" i="12"/>
  <c r="M104" i="12"/>
  <c r="S206" i="12"/>
  <c r="S53" i="12"/>
  <c r="O138" i="12"/>
  <c r="AL53" i="12"/>
  <c r="X36" i="12"/>
  <c r="AC53" i="12"/>
  <c r="Z138" i="12"/>
  <c r="Y206" i="12"/>
  <c r="AL104" i="12"/>
  <c r="AK104" i="12"/>
  <c r="O155" i="12"/>
  <c r="AJ138" i="12"/>
  <c r="Y189" i="12"/>
  <c r="R189" i="12"/>
  <c r="N104" i="12"/>
  <c r="AP19" i="12"/>
  <c r="W70" i="12"/>
  <c r="AE189" i="12"/>
  <c r="AJ36" i="12"/>
  <c r="Z121" i="12"/>
  <c r="AA104" i="12"/>
  <c r="X206" i="12"/>
  <c r="AJ104" i="12"/>
  <c r="Q87" i="12"/>
  <c r="AC121" i="12"/>
  <c r="O104" i="12"/>
  <c r="M189" i="12"/>
  <c r="N138" i="12"/>
  <c r="P121" i="12"/>
  <c r="AQ172" i="12"/>
  <c r="T155" i="12"/>
  <c r="AD172" i="12"/>
  <c r="Z104" i="12"/>
  <c r="AP189" i="12"/>
  <c r="AA206" i="12"/>
  <c r="AK87" i="12"/>
  <c r="Y53" i="12"/>
  <c r="AF70" i="12"/>
  <c r="N19" i="12"/>
  <c r="AE172" i="12"/>
  <c r="T19" i="12"/>
  <c r="Q36" i="12"/>
  <c r="AB121" i="12"/>
  <c r="AF121" i="12"/>
  <c r="AH36" i="12"/>
  <c r="AD189" i="12"/>
  <c r="R19" i="12"/>
  <c r="AO121" i="12"/>
  <c r="AG189" i="12"/>
  <c r="Z19" i="12"/>
  <c r="M138" i="12"/>
  <c r="Z53" i="12"/>
  <c r="AG53" i="12"/>
  <c r="Q19" i="12"/>
  <c r="S36" i="12"/>
  <c r="AO87" i="12"/>
  <c r="AJ189" i="12"/>
  <c r="AH172" i="12"/>
  <c r="T104" i="12"/>
  <c r="AA36" i="12"/>
  <c r="AH70" i="12"/>
  <c r="AC189" i="12"/>
  <c r="AE206" i="12"/>
  <c r="AH19" i="12"/>
  <c r="W104" i="12"/>
  <c r="AD104" i="12"/>
  <c r="AP206" i="12"/>
  <c r="Q138" i="12"/>
  <c r="AI155" i="12"/>
  <c r="AC36" i="12"/>
  <c r="AM138" i="12"/>
  <c r="N155" i="12"/>
  <c r="AH206" i="12"/>
  <c r="V155" i="12"/>
  <c r="AC87" i="12"/>
  <c r="M155" i="12"/>
  <c r="S138" i="12"/>
  <c r="AM155" i="12"/>
  <c r="AC19" i="12"/>
  <c r="O36" i="12"/>
  <c r="AN87" i="12"/>
  <c r="M172" i="12"/>
  <c r="AE36" i="12"/>
  <c r="AD70" i="12"/>
  <c r="M87" i="12"/>
  <c r="AQ36" i="12"/>
  <c r="R155" i="12"/>
  <c r="AP87" i="12"/>
  <c r="AD121" i="12"/>
  <c r="AG138" i="12"/>
  <c r="AI206" i="12"/>
  <c r="AC104" i="12"/>
  <c r="AG87" i="12"/>
  <c r="AI189" i="12"/>
  <c r="X172" i="12"/>
  <c r="AO53" i="12"/>
  <c r="AF19" i="12"/>
  <c r="U138" i="12"/>
  <c r="AI19" i="12"/>
  <c r="R87" i="12"/>
  <c r="AK172" i="12"/>
  <c r="AB19" i="12"/>
  <c r="AL19" i="12"/>
  <c r="AI87" i="12"/>
  <c r="AG172" i="12"/>
  <c r="AN70" i="12"/>
  <c r="T53" i="12"/>
  <c r="AP36" i="12"/>
  <c r="V189" i="12"/>
  <c r="AB87" i="12"/>
  <c r="AQ121" i="12"/>
  <c r="AQ19" i="12"/>
  <c r="AQ189" i="12"/>
  <c r="V138" i="12"/>
  <c r="M121" i="12"/>
  <c r="AP155" i="12"/>
  <c r="M53" i="12"/>
  <c r="AI53" i="12"/>
  <c r="AP121" i="12"/>
  <c r="AO70" i="12"/>
  <c r="X87" i="12"/>
  <c r="AQ138" i="12"/>
  <c r="AJ19" i="12"/>
  <c r="AO155" i="12"/>
  <c r="AF104" i="12"/>
  <c r="O87" i="12"/>
  <c r="O19" i="12"/>
  <c r="R36" i="12"/>
  <c r="AI172" i="12"/>
  <c r="AJ155" i="12"/>
  <c r="AI121" i="12"/>
  <c r="O172" i="12"/>
  <c r="Y70" i="12"/>
  <c r="AF53" i="12"/>
  <c r="S70" i="12"/>
  <c r="T36" i="12"/>
  <c r="Y138" i="12"/>
  <c r="V104" i="12"/>
  <c r="AM206" i="12"/>
  <c r="AE53" i="12"/>
  <c r="AA121" i="12"/>
  <c r="P206" i="12"/>
  <c r="O121" i="12"/>
  <c r="AC70" i="12"/>
  <c r="R53" i="12"/>
  <c r="X104" i="12"/>
  <c r="X138" i="12"/>
  <c r="V121" i="12"/>
  <c r="AJ206" i="12"/>
  <c r="AH53" i="12"/>
  <c r="R206" i="12"/>
  <c r="AL70" i="12"/>
  <c r="AI138" i="12"/>
  <c r="R138" i="12"/>
  <c r="AK53" i="12"/>
  <c r="AP172" i="12"/>
  <c r="W189" i="12"/>
  <c r="AD53" i="12"/>
  <c r="AG155" i="12"/>
  <c r="S19" i="12"/>
  <c r="N172" i="12"/>
  <c r="AJ70" i="12"/>
  <c r="Z36" i="12"/>
  <c r="V19" i="12"/>
  <c r="AB36" i="12"/>
  <c r="U206" i="12"/>
  <c r="AN104" i="12"/>
  <c r="P87" i="12"/>
  <c r="Q121" i="12"/>
  <c r="Y87" i="12"/>
  <c r="S172" i="12"/>
  <c r="AI70" i="12"/>
  <c r="AN19" i="12"/>
  <c r="AD19" i="12"/>
  <c r="AL155" i="12"/>
  <c r="AI36" i="12"/>
  <c r="AE104" i="12"/>
  <c r="AL36" i="12"/>
  <c r="AE138" i="12"/>
  <c r="AG206" i="12"/>
  <c r="V70" i="12"/>
  <c r="AM70" i="12"/>
  <c r="AL172" i="12"/>
  <c r="T189" i="12"/>
  <c r="Y36" i="12"/>
  <c r="V87" i="12"/>
  <c r="U121" i="12"/>
  <c r="Z206" i="12"/>
  <c r="X189" i="12"/>
  <c r="R104" i="12"/>
  <c r="N189" i="12"/>
  <c r="AK189" i="12"/>
  <c r="R172" i="12"/>
  <c r="Q104" i="12"/>
  <c r="AF36" i="12"/>
  <c r="Q53" i="12"/>
  <c r="T87" i="12"/>
  <c r="AE70" i="12"/>
  <c r="U36" i="12"/>
  <c r="R121" i="12"/>
  <c r="AH155" i="12"/>
  <c r="AM87" i="12"/>
  <c r="AK138" i="12"/>
  <c r="W121" i="12"/>
  <c r="W206" i="12"/>
  <c r="U155" i="12"/>
  <c r="M19" i="12"/>
  <c r="AJ121" i="12"/>
  <c r="P104" i="12"/>
  <c r="AK36" i="12"/>
  <c r="V172" i="12"/>
  <c r="AB104" i="12"/>
  <c r="AF87" i="12"/>
  <c r="U19" i="12"/>
  <c r="P155" i="12"/>
  <c r="AK70" i="12"/>
  <c r="V206" i="12"/>
  <c r="AJ172" i="12"/>
  <c r="AD87" i="12"/>
  <c r="AN206" i="12"/>
  <c r="AM121" i="12"/>
  <c r="S121" i="12"/>
  <c r="U70" i="12"/>
  <c r="AD138" i="12"/>
  <c r="X19" i="12"/>
  <c r="AM19" i="12"/>
  <c r="X53" i="12"/>
  <c r="AD206" i="12"/>
  <c r="AN36" i="12"/>
  <c r="AG36" i="12"/>
  <c r="Z189" i="12"/>
  <c r="AO36" i="12"/>
  <c r="AH189" i="12"/>
  <c r="M36" i="12"/>
  <c r="N36" i="12"/>
  <c r="AB70" i="12"/>
  <c r="Z172" i="12"/>
  <c r="AI104" i="12"/>
  <c r="U104" i="12"/>
  <c r="AQ70" i="12"/>
  <c r="P172" i="12"/>
  <c r="AN121" i="12"/>
  <c r="P138" i="12"/>
  <c r="AO19" i="12"/>
  <c r="P189" i="12"/>
  <c r="O189" i="12"/>
  <c r="Z70" i="12"/>
  <c r="AM189" i="12"/>
  <c r="AA189" i="12"/>
  <c r="P19" i="12"/>
  <c r="AA172" i="12"/>
  <c r="AJ53" i="12"/>
  <c r="V36" i="12"/>
  <c r="AF189" i="12"/>
  <c r="AA87" i="12"/>
  <c r="AQ104" i="12"/>
  <c r="AA53" i="12"/>
  <c r="AQ87" i="12"/>
  <c r="Y19" i="12"/>
  <c r="AC206" i="12"/>
  <c r="AE155" i="12"/>
  <c r="AA70" i="12"/>
  <c r="T172" i="12"/>
  <c r="AD155" i="12"/>
  <c r="AK19" i="12"/>
  <c r="AE87" i="12"/>
  <c r="U53" i="12"/>
  <c r="AB172" i="12"/>
  <c r="AB206" i="12"/>
  <c r="AE24" i="3"/>
  <c r="E24" i="3"/>
  <c r="S24" i="3"/>
  <c r="H25" i="3"/>
  <c r="N24" i="3"/>
  <c r="AF16" i="3"/>
  <c r="I24" i="3"/>
  <c r="AB25" i="3"/>
  <c r="M24" i="3"/>
  <c r="Q23" i="3"/>
  <c r="V16" i="3"/>
  <c r="Z22" i="3"/>
  <c r="AE25" i="3"/>
  <c r="G24" i="3"/>
  <c r="G22" i="3"/>
  <c r="C25" i="3"/>
  <c r="J23" i="3"/>
  <c r="X24" i="3"/>
  <c r="U25" i="3"/>
  <c r="R25" i="3"/>
  <c r="AD25" i="3"/>
  <c r="AC25" i="3"/>
  <c r="Q24" i="3"/>
  <c r="Y25" i="3"/>
  <c r="B22" i="3"/>
  <c r="AC24" i="3"/>
  <c r="AF25" i="3"/>
  <c r="U24" i="3"/>
  <c r="F25" i="3"/>
  <c r="J25" i="3"/>
  <c r="G25" i="3"/>
  <c r="L24" i="3"/>
  <c r="N19" i="3"/>
  <c r="W25" i="3"/>
  <c r="R18" i="3"/>
  <c r="O25" i="3"/>
  <c r="F20" i="3"/>
  <c r="P24" i="3"/>
  <c r="X16" i="3"/>
  <c r="AA23" i="3"/>
  <c r="E23" i="3"/>
  <c r="C22" i="3"/>
  <c r="W24" i="3"/>
  <c r="AF18" i="3"/>
  <c r="B25" i="3"/>
  <c r="AF24" i="3"/>
  <c r="AF23" i="3"/>
  <c r="J24" i="3"/>
  <c r="Z16" i="3"/>
  <c r="D22" i="3"/>
  <c r="F24" i="3"/>
  <c r="AA25" i="3"/>
  <c r="I25" i="3"/>
  <c r="AE19" i="3"/>
  <c r="AA24" i="3"/>
  <c r="Q25" i="3"/>
  <c r="E18" i="3"/>
  <c r="AA16" i="3"/>
  <c r="L25" i="3"/>
  <c r="K23" i="3"/>
  <c r="B24" i="3"/>
  <c r="T24" i="3"/>
  <c r="T16" i="3"/>
  <c r="L16" i="3"/>
  <c r="R24" i="3"/>
  <c r="AF22" i="3"/>
  <c r="N25" i="3"/>
  <c r="D24" i="3"/>
  <c r="Z24" i="3"/>
  <c r="B18" i="3"/>
  <c r="M25" i="3"/>
  <c r="B19" i="3"/>
  <c r="H22" i="3"/>
  <c r="AB24" i="3"/>
  <c r="S25" i="3"/>
  <c r="V24" i="3"/>
  <c r="X25" i="3"/>
  <c r="G18" i="3"/>
  <c r="E25" i="3"/>
  <c r="V18" i="3"/>
  <c r="M20" i="3"/>
  <c r="Z25" i="3"/>
  <c r="H24" i="3"/>
  <c r="Y24" i="3"/>
  <c r="E16" i="3"/>
  <c r="K25" i="3"/>
  <c r="V25" i="3"/>
  <c r="U19" i="3"/>
  <c r="K24" i="3"/>
  <c r="N16" i="3"/>
  <c r="C24" i="3"/>
  <c r="AA22" i="3"/>
  <c r="AD24" i="3"/>
  <c r="AB19" i="3"/>
  <c r="R23" i="3"/>
  <c r="E19" i="3"/>
  <c r="T20" i="3"/>
  <c r="G19" i="3"/>
  <c r="S16" i="3"/>
  <c r="AC23" i="3"/>
  <c r="F18" i="3"/>
  <c r="L19" i="3"/>
  <c r="J20" i="3"/>
  <c r="AF17" i="3"/>
  <c r="AD20" i="3"/>
  <c r="H19" i="3"/>
  <c r="AA20" i="3"/>
  <c r="O24" i="3"/>
  <c r="D25" i="3"/>
  <c r="P25" i="3"/>
  <c r="O16" i="3"/>
  <c r="T25" i="3"/>
  <c r="I19" i="3"/>
  <c r="L22" i="3"/>
  <c r="F16" i="3"/>
  <c r="I23" i="23"/>
  <c r="Y23" i="23"/>
  <c r="AB23" i="23"/>
  <c r="AC23" i="23"/>
  <c r="AB20" i="23"/>
  <c r="AC20" i="23"/>
  <c r="W19" i="23"/>
  <c r="AA19" i="23"/>
  <c r="AB19" i="23"/>
  <c r="AC19" i="23"/>
  <c r="AB9" i="23"/>
  <c r="AC9" i="23"/>
  <c r="W8" i="23"/>
  <c r="AA8" i="23"/>
  <c r="W7" i="23"/>
  <c r="AA7" i="23"/>
  <c r="AB6" i="23"/>
  <c r="AC6" i="23"/>
  <c r="AB5" i="23"/>
  <c r="AC5" i="23"/>
  <c r="AP31" i="1" a="1"/>
  <c r="AP31" i="1"/>
  <c r="AR27" i="1" a="1"/>
  <c r="AR27" i="1"/>
  <c r="BS10" i="12"/>
  <c r="BS18" i="12"/>
  <c r="BS15" i="12"/>
  <c r="BS17" i="12"/>
  <c r="AB8" i="23"/>
  <c r="AC8" i="23"/>
  <c r="AB7" i="23"/>
  <c r="AC7" i="23"/>
  <c r="AK5" i="3"/>
  <c r="AJ5" i="3"/>
  <c r="AK3" i="3"/>
  <c r="AK4" i="3"/>
  <c r="AK6" i="3"/>
  <c r="AK11" i="3"/>
  <c r="AK12" i="3"/>
  <c r="AK7" i="3"/>
  <c r="AK8" i="3"/>
  <c r="AK10" i="3"/>
  <c r="AM10" i="3"/>
  <c r="AJ4" i="3"/>
  <c r="AJ3" i="3"/>
  <c r="AJ7" i="3"/>
  <c r="AJ9" i="3"/>
  <c r="AM9" i="3"/>
  <c r="AJ6" i="3"/>
  <c r="AJ8" i="3"/>
  <c r="AJ12" i="3"/>
  <c r="AJ11" i="3"/>
  <c r="AM11" i="3"/>
  <c r="AG24" i="3"/>
  <c r="BL155" i="12"/>
  <c r="AV155" i="12"/>
  <c r="AX155" i="12"/>
  <c r="AZ155" i="12"/>
  <c r="BC155" i="12"/>
  <c r="AT155" i="12"/>
  <c r="BH155" i="12"/>
  <c r="BN155" i="12"/>
  <c r="BA155" i="12"/>
  <c r="BD155" i="12"/>
  <c r="BG155" i="12"/>
  <c r="BQ155" i="12"/>
  <c r="BB155" i="12"/>
  <c r="BF155" i="12"/>
  <c r="AS155" i="12"/>
  <c r="BI155" i="12"/>
  <c r="AY155" i="12"/>
  <c r="BJ155" i="12"/>
  <c r="AW155" i="12"/>
  <c r="BM155" i="12"/>
  <c r="AU155" i="12"/>
  <c r="BK155" i="12"/>
  <c r="BP155" i="12"/>
  <c r="BE155" i="12"/>
  <c r="BO155" i="12"/>
  <c r="AX36" i="12"/>
  <c r="BL36" i="12"/>
  <c r="BE36" i="12"/>
  <c r="AY36" i="12"/>
  <c r="BJ36" i="12"/>
  <c r="BI36" i="12"/>
  <c r="BM36" i="12"/>
  <c r="AU36" i="12"/>
  <c r="BP36" i="12"/>
  <c r="BN36" i="12"/>
  <c r="AV36" i="12"/>
  <c r="AT36" i="12"/>
  <c r="BO36" i="12"/>
  <c r="BH36" i="12"/>
  <c r="BG36" i="12"/>
  <c r="AS36" i="12"/>
  <c r="BC36" i="12"/>
  <c r="AZ36" i="12"/>
  <c r="BA36" i="12"/>
  <c r="BF36" i="12"/>
  <c r="BD36" i="12"/>
  <c r="BK36" i="12"/>
  <c r="BB36" i="12"/>
  <c r="BQ36" i="12"/>
  <c r="AW36" i="12"/>
  <c r="BK87" i="12"/>
  <c r="BM87" i="12"/>
  <c r="BL87" i="12"/>
  <c r="BF87" i="12"/>
  <c r="BA87" i="12"/>
  <c r="BQ87" i="12"/>
  <c r="BH87" i="12"/>
  <c r="BO87" i="12"/>
  <c r="BP87" i="12"/>
  <c r="BI87" i="12"/>
  <c r="AW87" i="12"/>
  <c r="BD87" i="12"/>
  <c r="BE87" i="12"/>
  <c r="AS87" i="12"/>
  <c r="BJ87" i="12"/>
  <c r="BN87" i="12"/>
  <c r="AZ87" i="12"/>
  <c r="BC87" i="12"/>
  <c r="AV87" i="12"/>
  <c r="AU87" i="12"/>
  <c r="AT87" i="12"/>
  <c r="BG87" i="12"/>
  <c r="AX87" i="12"/>
  <c r="BB87" i="12"/>
  <c r="AY87" i="12"/>
  <c r="AZ138" i="12"/>
  <c r="BQ138" i="12"/>
  <c r="BD138" i="12"/>
  <c r="AW138" i="12"/>
  <c r="AV138" i="12"/>
  <c r="BP138" i="12"/>
  <c r="BG138" i="12"/>
  <c r="BI138" i="12"/>
  <c r="AS138" i="12"/>
  <c r="BH138" i="12"/>
  <c r="BF138" i="12"/>
  <c r="BJ138" i="12"/>
  <c r="BB138" i="12"/>
  <c r="BO138" i="12"/>
  <c r="BL138" i="12"/>
  <c r="AX138" i="12"/>
  <c r="BN138" i="12"/>
  <c r="AT138" i="12"/>
  <c r="AY138" i="12"/>
  <c r="BE138" i="12"/>
  <c r="AU138" i="12"/>
  <c r="BA138" i="12"/>
  <c r="BM138" i="12"/>
  <c r="BC138" i="12"/>
  <c r="BK138" i="12"/>
  <c r="AX189" i="12"/>
  <c r="BE189" i="12"/>
  <c r="BD189" i="12"/>
  <c r="BL189" i="12"/>
  <c r="BA189" i="12"/>
  <c r="AZ189" i="12"/>
  <c r="AV189" i="12"/>
  <c r="AW189" i="12"/>
  <c r="AU189" i="12"/>
  <c r="AT189" i="12"/>
  <c r="BB189" i="12"/>
  <c r="BH189" i="12"/>
  <c r="BP189" i="12"/>
  <c r="BJ189" i="12"/>
  <c r="BG189" i="12"/>
  <c r="AY189" i="12"/>
  <c r="BM189" i="12"/>
  <c r="BQ189" i="12"/>
  <c r="BF189" i="12"/>
  <c r="BK189" i="12"/>
  <c r="BO189" i="12"/>
  <c r="BN189" i="12"/>
  <c r="BC189" i="12"/>
  <c r="AS189" i="12"/>
  <c r="BI189" i="12"/>
  <c r="AS19" i="12"/>
  <c r="BC19" i="12"/>
  <c r="AU19" i="12"/>
  <c r="BA19" i="12"/>
  <c r="BO19" i="12"/>
  <c r="BE19" i="12"/>
  <c r="BP19" i="12"/>
  <c r="BD19" i="12"/>
  <c r="BQ19" i="12"/>
  <c r="BK19" i="12"/>
  <c r="BL19" i="12"/>
  <c r="BB19" i="12"/>
  <c r="AY19" i="12"/>
  <c r="BM19" i="12"/>
  <c r="AW19" i="12"/>
  <c r="BG19" i="12"/>
  <c r="BF19" i="12"/>
  <c r="AT19" i="12"/>
  <c r="AX19" i="12"/>
  <c r="BN19" i="12"/>
  <c r="AV19" i="12"/>
  <c r="AZ19" i="12"/>
  <c r="BH19" i="12"/>
  <c r="BJ19" i="12"/>
  <c r="BI19" i="12"/>
  <c r="AW206" i="12"/>
  <c r="BI206" i="12"/>
  <c r="BJ206" i="12"/>
  <c r="BD206" i="12"/>
  <c r="BQ206" i="12"/>
  <c r="AT206" i="12"/>
  <c r="BE206" i="12"/>
  <c r="BC206" i="12"/>
  <c r="BP206" i="12"/>
  <c r="BB206" i="12"/>
  <c r="BH206" i="12"/>
  <c r="BF206" i="12"/>
  <c r="BG206" i="12"/>
  <c r="AZ206" i="12"/>
  <c r="AV206" i="12"/>
  <c r="BM206" i="12"/>
  <c r="BN206" i="12"/>
  <c r="AX206" i="12"/>
  <c r="BK206" i="12"/>
  <c r="BO206" i="12"/>
  <c r="AU206" i="12"/>
  <c r="AY206" i="12"/>
  <c r="BA206" i="12"/>
  <c r="AS206" i="12"/>
  <c r="BL206" i="12"/>
  <c r="BO172" i="12"/>
  <c r="AY172" i="12"/>
  <c r="AX172" i="12"/>
  <c r="BP172" i="12"/>
  <c r="AT172" i="12"/>
  <c r="BJ172" i="12"/>
  <c r="BB172" i="12"/>
  <c r="BC172" i="12"/>
  <c r="BA172" i="12"/>
  <c r="AV172" i="12"/>
  <c r="BG172" i="12"/>
  <c r="BE172" i="12"/>
  <c r="BK172" i="12"/>
  <c r="BL172" i="12"/>
  <c r="BN172" i="12"/>
  <c r="AS172" i="12"/>
  <c r="BD172" i="12"/>
  <c r="AW172" i="12"/>
  <c r="BQ172" i="12"/>
  <c r="BF172" i="12"/>
  <c r="BM172" i="12"/>
  <c r="BI172" i="12"/>
  <c r="AZ172" i="12"/>
  <c r="BH172" i="12"/>
  <c r="AU172" i="12"/>
  <c r="BK121" i="12"/>
  <c r="AT121" i="12"/>
  <c r="AW121" i="12"/>
  <c r="BN121" i="12"/>
  <c r="BF121" i="12"/>
  <c r="BH121" i="12"/>
  <c r="BC121" i="12"/>
  <c r="BI121" i="12"/>
  <c r="BE121" i="12"/>
  <c r="AZ121" i="12"/>
  <c r="AU121" i="12"/>
  <c r="BJ121" i="12"/>
  <c r="BO121" i="12"/>
  <c r="BQ121" i="12"/>
  <c r="AX121" i="12"/>
  <c r="BA121" i="12"/>
  <c r="BM121" i="12"/>
  <c r="BP121" i="12"/>
  <c r="AS121" i="12"/>
  <c r="BB121" i="12"/>
  <c r="BL121" i="12"/>
  <c r="BG121" i="12"/>
  <c r="BD121" i="12"/>
  <c r="AV121" i="12"/>
  <c r="AY121" i="12"/>
  <c r="AY104" i="12"/>
  <c r="BQ104" i="12"/>
  <c r="BG104" i="12"/>
  <c r="BK104" i="12"/>
  <c r="BL104" i="12"/>
  <c r="BO104" i="12"/>
  <c r="BM104" i="12"/>
  <c r="BA104" i="12"/>
  <c r="BP104" i="12"/>
  <c r="BC104" i="12"/>
  <c r="AU104" i="12"/>
  <c r="AV104" i="12"/>
  <c r="AX104" i="12"/>
  <c r="AZ104" i="12"/>
  <c r="BH104" i="12"/>
  <c r="BF104" i="12"/>
  <c r="BD104" i="12"/>
  <c r="AT104" i="12"/>
  <c r="BN104" i="12"/>
  <c r="BB104" i="12"/>
  <c r="BJ104" i="12"/>
  <c r="BE104" i="12"/>
  <c r="BI104" i="12"/>
  <c r="AW104" i="12"/>
  <c r="AS104" i="12"/>
  <c r="BA70" i="12"/>
  <c r="BL70" i="12"/>
  <c r="BH70" i="12"/>
  <c r="BN70" i="12"/>
  <c r="BC70" i="12"/>
  <c r="AY70" i="12"/>
  <c r="BD70" i="12"/>
  <c r="BF70" i="12"/>
  <c r="AV70" i="12"/>
  <c r="BP70" i="12"/>
  <c r="AX70" i="12"/>
  <c r="BG70" i="12"/>
  <c r="AS70" i="12"/>
  <c r="BK70" i="12"/>
  <c r="BJ70" i="12"/>
  <c r="BB70" i="12"/>
  <c r="BM70" i="12"/>
  <c r="BO70" i="12"/>
  <c r="AW70" i="12"/>
  <c r="AU70" i="12"/>
  <c r="BI70" i="12"/>
  <c r="BE70" i="12"/>
  <c r="AT70" i="12"/>
  <c r="BQ70" i="12"/>
  <c r="AZ70" i="12"/>
  <c r="AV53" i="12"/>
  <c r="BK53" i="12"/>
  <c r="BO53" i="12"/>
  <c r="BL53" i="12"/>
  <c r="BN53" i="12"/>
  <c r="BD53" i="12"/>
  <c r="BJ53" i="12"/>
  <c r="BF53" i="12"/>
  <c r="BE53" i="12"/>
  <c r="BB53" i="12"/>
  <c r="BC53" i="12"/>
  <c r="AY53" i="12"/>
  <c r="BP53" i="12"/>
  <c r="AU53" i="12"/>
  <c r="BQ53" i="12"/>
  <c r="BH53" i="12"/>
  <c r="BM53" i="12"/>
  <c r="BI53" i="12"/>
  <c r="AS53" i="12"/>
  <c r="BA53" i="12"/>
  <c r="AW53" i="12"/>
  <c r="AT53" i="12"/>
  <c r="AZ53" i="12"/>
  <c r="BG53" i="12"/>
  <c r="AX53" i="12"/>
  <c r="P16" i="3"/>
  <c r="AE21" i="3"/>
  <c r="C20" i="3"/>
  <c r="P18" i="3"/>
  <c r="AC19" i="3"/>
  <c r="AA19" i="3"/>
  <c r="Q20" i="3"/>
  <c r="W16" i="3"/>
  <c r="D21" i="3"/>
  <c r="B17" i="3"/>
  <c r="M17" i="3"/>
  <c r="B20" i="3"/>
  <c r="P19" i="3"/>
  <c r="C18" i="3"/>
  <c r="O18" i="3"/>
  <c r="P20" i="3"/>
  <c r="AC20" i="3"/>
  <c r="S21" i="3"/>
  <c r="AB20" i="3"/>
  <c r="K18" i="3"/>
  <c r="C16" i="3"/>
  <c r="J18" i="3"/>
  <c r="Y17" i="3"/>
  <c r="AC16" i="3"/>
  <c r="R16" i="3"/>
  <c r="R20" i="3"/>
  <c r="Q16" i="3"/>
  <c r="AE17" i="3"/>
  <c r="V19" i="3"/>
  <c r="AE20" i="3"/>
  <c r="T19" i="3"/>
  <c r="S18" i="3"/>
  <c r="S19" i="3"/>
  <c r="L20" i="3"/>
  <c r="J16" i="3"/>
  <c r="U18" i="3"/>
  <c r="AD19" i="3"/>
  <c r="D19" i="3"/>
  <c r="N18" i="3"/>
  <c r="L18" i="3"/>
  <c r="Z20" i="3"/>
  <c r="Z18" i="3"/>
  <c r="R17" i="3"/>
  <c r="Y18" i="3"/>
  <c r="X17" i="3"/>
  <c r="D17" i="3"/>
  <c r="Z19" i="3"/>
  <c r="AD16" i="3"/>
  <c r="Q18" i="3"/>
  <c r="M16" i="3"/>
  <c r="X18" i="3"/>
  <c r="J21" i="3"/>
  <c r="V21" i="3"/>
  <c r="K16" i="3"/>
  <c r="N21" i="3"/>
  <c r="I18" i="3"/>
  <c r="K19" i="3"/>
  <c r="M18" i="3"/>
  <c r="D16" i="3"/>
  <c r="U20" i="3"/>
  <c r="I16" i="3"/>
  <c r="AF21" i="3"/>
  <c r="C21" i="3"/>
  <c r="W19" i="3"/>
  <c r="Q17" i="3"/>
  <c r="T18" i="3"/>
  <c r="O19" i="3"/>
  <c r="W20" i="3"/>
  <c r="H18" i="3"/>
  <c r="G17" i="3"/>
  <c r="K21" i="3"/>
  <c r="AN42" i="12"/>
  <c r="AF161" i="12"/>
  <c r="V178" i="12"/>
  <c r="AA93" i="12"/>
  <c r="AE195" i="12"/>
  <c r="M42" i="12"/>
  <c r="AG178" i="12"/>
  <c r="AJ59" i="12"/>
  <c r="D18" i="10"/>
  <c r="Y42" i="12"/>
  <c r="P161" i="12"/>
  <c r="N93" i="12"/>
  <c r="AI127" i="12"/>
  <c r="AK110" i="12"/>
  <c r="S8" i="12"/>
  <c r="H16" i="5"/>
  <c r="V144" i="12"/>
  <c r="Y195" i="12"/>
  <c r="AI59" i="12"/>
  <c r="AF76" i="12"/>
  <c r="AB25" i="12"/>
  <c r="W76" i="12"/>
  <c r="B1" i="10"/>
  <c r="E2" i="5"/>
  <c r="W93" i="12"/>
  <c r="N161" i="12"/>
  <c r="B18" i="10"/>
  <c r="O144" i="12"/>
  <c r="AM144" i="12"/>
  <c r="A24" i="14"/>
  <c r="V76" i="12"/>
  <c r="AT13" i="1"/>
  <c r="Q144" i="12"/>
  <c r="AC76" i="12"/>
  <c r="H3" i="5"/>
  <c r="O110" i="12"/>
  <c r="AC144" i="12"/>
  <c r="AJ93" i="12"/>
  <c r="R25" i="12"/>
  <c r="AN127" i="12"/>
  <c r="S42" i="12"/>
  <c r="AJ76" i="12"/>
  <c r="AE110" i="12"/>
  <c r="A1" i="14"/>
  <c r="U8" i="12"/>
  <c r="Z8" i="12"/>
  <c r="A93" i="14"/>
  <c r="AF42" i="12"/>
  <c r="AP144" i="12"/>
  <c r="AK93" i="12"/>
  <c r="O8" i="12"/>
  <c r="N195" i="12"/>
  <c r="C41" i="12"/>
  <c r="Z195" i="12"/>
  <c r="AQ127" i="12"/>
  <c r="O93" i="12"/>
  <c r="M195" i="12"/>
  <c r="AO144" i="12"/>
  <c r="AA127" i="12"/>
  <c r="T144" i="12"/>
  <c r="P144" i="12"/>
  <c r="AP59" i="12"/>
  <c r="S178" i="12"/>
  <c r="AM42" i="12"/>
  <c r="F8" i="6"/>
  <c r="AH178" i="12"/>
  <c r="AA25" i="12"/>
  <c r="A47" i="14"/>
  <c r="AM127" i="12"/>
  <c r="B2" i="10"/>
  <c r="J177" i="12"/>
  <c r="AO76" i="12"/>
  <c r="AA8" i="12"/>
  <c r="AB59" i="12"/>
  <c r="D2" i="10"/>
  <c r="N110" i="12"/>
  <c r="AQ59" i="12"/>
  <c r="V161" i="12"/>
  <c r="K32" i="1"/>
  <c r="U76" i="12"/>
  <c r="L5" i="1"/>
  <c r="AM76" i="12"/>
  <c r="R32" i="1"/>
  <c r="AD42" i="12"/>
  <c r="R59" i="12"/>
  <c r="J143" i="12"/>
  <c r="AI76" i="12"/>
  <c r="AP25" i="12"/>
  <c r="AE178" i="12"/>
  <c r="AD127" i="12"/>
  <c r="H13" i="1"/>
  <c r="D34" i="10"/>
  <c r="W25" i="12"/>
  <c r="Y178" i="12"/>
  <c r="N144" i="12"/>
  <c r="U93" i="12"/>
  <c r="AM93" i="12"/>
  <c r="AJ144" i="12"/>
  <c r="H35" i="5"/>
  <c r="AN59" i="12"/>
  <c r="N25" i="12"/>
  <c r="A71" i="14"/>
  <c r="C7" i="12"/>
  <c r="J35" i="5"/>
  <c r="F5" i="6"/>
  <c r="AQ42" i="12"/>
  <c r="J126" i="12"/>
  <c r="U59" i="12"/>
  <c r="AP127" i="12"/>
  <c r="Z59" i="12"/>
  <c r="AE144" i="12"/>
  <c r="AQ8" i="12"/>
  <c r="AO8" i="12"/>
  <c r="Y110" i="12"/>
  <c r="B34" i="10"/>
  <c r="R8" i="12"/>
  <c r="S3" i="1"/>
  <c r="AH76" i="12"/>
  <c r="F6" i="6"/>
  <c r="O161" i="12"/>
  <c r="AB42" i="12"/>
  <c r="AQ195" i="12"/>
  <c r="AG76" i="12"/>
  <c r="X93" i="12"/>
  <c r="AD178" i="12"/>
  <c r="F12" i="6"/>
  <c r="M25" i="12"/>
  <c r="X76" i="12"/>
  <c r="AB110" i="12"/>
  <c r="AF195" i="12"/>
  <c r="AG25" i="12"/>
  <c r="AL161" i="12"/>
  <c r="AJ161" i="12"/>
  <c r="AG195" i="12"/>
  <c r="T195" i="12"/>
  <c r="H19" i="5"/>
  <c r="Y144" i="12"/>
  <c r="X144" i="12"/>
  <c r="AG110" i="12"/>
  <c r="Y161" i="12"/>
  <c r="AP93" i="12"/>
  <c r="V8" i="12"/>
  <c r="AJ195" i="12"/>
  <c r="W59" i="12"/>
  <c r="AI144" i="12"/>
  <c r="AO42" i="12"/>
  <c r="C126" i="12"/>
  <c r="X161" i="12"/>
  <c r="AC195" i="12"/>
  <c r="J24" i="12"/>
  <c r="A1" i="1"/>
  <c r="P195" i="12"/>
  <c r="A73" i="14"/>
  <c r="AM59" i="12"/>
  <c r="D43" i="5"/>
  <c r="AB144" i="12"/>
  <c r="AB178" i="12"/>
  <c r="V110" i="12"/>
  <c r="F7" i="6"/>
  <c r="AD161" i="12"/>
  <c r="AB161" i="12"/>
  <c r="AC59" i="12"/>
  <c r="AE59" i="12"/>
  <c r="AE76" i="12"/>
  <c r="N8" i="12"/>
  <c r="AL8" i="12"/>
  <c r="AA59" i="12"/>
  <c r="R127" i="12"/>
  <c r="AH59" i="12"/>
  <c r="AP76" i="12"/>
  <c r="T42" i="12"/>
  <c r="AI25" i="12"/>
  <c r="W178" i="12"/>
  <c r="AN144" i="12"/>
  <c r="I3" i="5"/>
  <c r="M161" i="12"/>
  <c r="AF178" i="12"/>
  <c r="AP42" i="12"/>
  <c r="O195" i="12"/>
  <c r="V93" i="12"/>
  <c r="AQ25" i="12"/>
  <c r="B2" i="5"/>
  <c r="AC110" i="12"/>
  <c r="R178" i="12"/>
  <c r="T178" i="12"/>
  <c r="Z42" i="12"/>
  <c r="AB93" i="12"/>
  <c r="Q161" i="12"/>
  <c r="AD25" i="12"/>
  <c r="S76" i="12"/>
  <c r="AM195" i="12"/>
  <c r="AH161" i="12"/>
  <c r="M144" i="12"/>
  <c r="W161" i="12"/>
  <c r="AO59" i="12"/>
  <c r="AF59" i="12"/>
  <c r="AF110" i="12"/>
  <c r="AL76" i="12"/>
  <c r="AE8" i="12"/>
  <c r="Y93" i="12"/>
  <c r="T161" i="12"/>
  <c r="R195" i="12"/>
  <c r="AH195" i="12"/>
  <c r="AQ178" i="12"/>
  <c r="U42" i="12"/>
  <c r="AN110" i="12"/>
  <c r="C75" i="12"/>
  <c r="AG144" i="12"/>
  <c r="AP110" i="12"/>
  <c r="Q25" i="12"/>
  <c r="AH110" i="12"/>
  <c r="AP178" i="12"/>
  <c r="O178" i="12"/>
  <c r="AA178" i="12"/>
  <c r="Z93" i="12"/>
  <c r="Z161" i="12"/>
  <c r="AA195" i="12"/>
  <c r="P127" i="12"/>
  <c r="P8" i="12"/>
  <c r="AQ161" i="12"/>
  <c r="AC93" i="12"/>
  <c r="AA161" i="12"/>
  <c r="U161" i="12"/>
  <c r="O25" i="12"/>
  <c r="U25" i="12"/>
  <c r="AF93" i="12"/>
  <c r="Q93" i="12"/>
  <c r="C194" i="12"/>
  <c r="O42" i="12"/>
  <c r="Y59" i="12"/>
  <c r="AE161" i="12"/>
  <c r="AJ25" i="12"/>
  <c r="AB127" i="12"/>
  <c r="R144" i="12"/>
  <c r="P59" i="12"/>
  <c r="W110" i="12"/>
  <c r="T76" i="12"/>
  <c r="AH25" i="12"/>
  <c r="F10" i="6"/>
  <c r="T59" i="12"/>
  <c r="T8" i="12"/>
  <c r="AH93" i="12"/>
  <c r="AB195" i="12"/>
  <c r="K3" i="5"/>
  <c r="X25" i="12"/>
  <c r="AC8" i="12"/>
  <c r="S25" i="12"/>
  <c r="R76" i="12"/>
  <c r="AQ76" i="12"/>
  <c r="I32" i="1"/>
  <c r="R161" i="12"/>
  <c r="AF8" i="12"/>
  <c r="AV13" i="1"/>
  <c r="AN161" i="12"/>
  <c r="AA42" i="12"/>
  <c r="A23" i="14"/>
  <c r="C160" i="12"/>
  <c r="AH8" i="12"/>
  <c r="F9" i="6"/>
  <c r="M59" i="12"/>
  <c r="O76" i="12"/>
  <c r="U110" i="12"/>
  <c r="AG161" i="12"/>
  <c r="H12" i="1"/>
  <c r="S195" i="12"/>
  <c r="AK178" i="12"/>
  <c r="U195" i="12"/>
  <c r="AN195" i="12"/>
  <c r="AD93" i="12"/>
  <c r="A110" i="14"/>
  <c r="A123" i="14"/>
  <c r="Z178" i="12"/>
  <c r="O127" i="12"/>
  <c r="C92" i="12"/>
  <c r="AI42" i="12"/>
  <c r="F11" i="6"/>
  <c r="J32" i="1"/>
  <c r="AM8" i="12"/>
  <c r="AH42" i="12"/>
  <c r="A8" i="14"/>
  <c r="T110" i="12"/>
  <c r="J3" i="5"/>
  <c r="AN76" i="12"/>
  <c r="Y8" i="12"/>
  <c r="Z110" i="12"/>
  <c r="Q8" i="12"/>
  <c r="T93" i="12"/>
  <c r="C177" i="12"/>
  <c r="AO110" i="12"/>
  <c r="AK76" i="12"/>
  <c r="N59" i="12"/>
  <c r="M178" i="12"/>
  <c r="F1" i="6"/>
  <c r="C1" i="12"/>
  <c r="AA76" i="12"/>
  <c r="P93" i="12"/>
  <c r="G70" i="7"/>
  <c r="F4" i="6"/>
  <c r="Q127" i="12"/>
  <c r="AQ93" i="12"/>
  <c r="X195" i="12"/>
  <c r="A10" i="14"/>
  <c r="Q2" i="6"/>
  <c r="AI93" i="12"/>
  <c r="A3" i="1"/>
  <c r="AC127" i="12"/>
  <c r="A33" i="14"/>
  <c r="S59" i="12"/>
  <c r="AH144" i="12"/>
  <c r="N178" i="12"/>
  <c r="V59" i="12"/>
  <c r="J58" i="12"/>
  <c r="AM161" i="12"/>
  <c r="R110" i="12"/>
  <c r="A13" i="1"/>
  <c r="AJ110" i="12"/>
  <c r="J19" i="5"/>
  <c r="AJ8" i="12"/>
  <c r="M76" i="12"/>
  <c r="AB76" i="12"/>
  <c r="R93" i="12"/>
  <c r="Q178" i="12"/>
  <c r="AD110" i="12"/>
  <c r="Y76" i="12"/>
  <c r="Q110" i="12"/>
  <c r="P178" i="12"/>
  <c r="S110" i="12"/>
  <c r="AI8" i="12"/>
  <c r="L4" i="1"/>
  <c r="AK42" i="12"/>
  <c r="AP161" i="12"/>
  <c r="J194" i="12"/>
  <c r="J75" i="12"/>
  <c r="Z144" i="12"/>
  <c r="S144" i="12"/>
  <c r="X42" i="12"/>
  <c r="V25" i="12"/>
  <c r="AE42" i="12"/>
  <c r="AO127" i="12"/>
  <c r="Q1" i="6"/>
  <c r="B15" i="10"/>
  <c r="AR13" i="1"/>
  <c r="AL59" i="12"/>
  <c r="AD76" i="12"/>
  <c r="W8" i="12"/>
  <c r="A106" i="14"/>
  <c r="AL178" i="12"/>
  <c r="AI178" i="12"/>
  <c r="AN178" i="12"/>
  <c r="Y127" i="12"/>
  <c r="AH127" i="12"/>
  <c r="AG127" i="12"/>
  <c r="X59" i="12"/>
  <c r="H18" i="5"/>
  <c r="Q42" i="12"/>
  <c r="AN25" i="12"/>
  <c r="AC178" i="12"/>
  <c r="AQ110" i="12"/>
  <c r="AO178" i="12"/>
  <c r="AK59" i="12"/>
  <c r="F2" i="6"/>
  <c r="AO25" i="12"/>
  <c r="AG8" i="12"/>
  <c r="S127" i="12"/>
  <c r="AK144" i="12"/>
  <c r="D3" i="5"/>
  <c r="E2" i="10"/>
  <c r="Z127" i="12"/>
  <c r="N42" i="12"/>
  <c r="AA144" i="12"/>
  <c r="J92" i="12"/>
  <c r="J160" i="12"/>
  <c r="AL144" i="12"/>
  <c r="H2" i="5"/>
  <c r="L3" i="5"/>
  <c r="AG42" i="12"/>
  <c r="AO195" i="12"/>
  <c r="P76" i="12"/>
  <c r="U144" i="12"/>
  <c r="V42" i="12"/>
  <c r="AI161" i="12"/>
  <c r="U178" i="12"/>
  <c r="AO161" i="12"/>
  <c r="J109" i="12"/>
  <c r="T127" i="12"/>
  <c r="AB8" i="12"/>
  <c r="AK25" i="12"/>
  <c r="AF144" i="12"/>
  <c r="AE93" i="12"/>
  <c r="P42" i="12"/>
  <c r="W42" i="12"/>
  <c r="B17" i="10"/>
  <c r="AK8" i="12"/>
  <c r="AI195" i="12"/>
  <c r="T25" i="12"/>
  <c r="J41" i="12"/>
  <c r="AF25" i="12"/>
  <c r="U127" i="12"/>
  <c r="AL127" i="12"/>
  <c r="Q76" i="12"/>
  <c r="V195" i="12"/>
  <c r="AL42" i="12"/>
  <c r="AM110" i="12"/>
  <c r="AP8" i="12"/>
  <c r="C109" i="12"/>
  <c r="G69" i="7"/>
  <c r="A119" i="14"/>
  <c r="AG59" i="12"/>
  <c r="M8" i="12"/>
  <c r="AL110" i="12"/>
  <c r="Z25" i="12"/>
  <c r="X127" i="12"/>
  <c r="F2" i="10"/>
  <c r="Q59" i="12"/>
  <c r="AQ144" i="12"/>
  <c r="A59" i="14"/>
  <c r="AK195" i="12"/>
  <c r="AA110" i="12"/>
  <c r="AG93" i="12"/>
  <c r="AJ42" i="12"/>
  <c r="A133" i="14"/>
  <c r="Q195" i="12"/>
  <c r="AC42" i="12"/>
  <c r="AD59" i="12"/>
  <c r="Z76" i="12"/>
  <c r="W144" i="12"/>
  <c r="X110" i="12"/>
  <c r="C2" i="10"/>
  <c r="M93" i="12"/>
  <c r="N127" i="12"/>
  <c r="S32" i="1"/>
  <c r="AN93" i="12"/>
  <c r="C32" i="1"/>
  <c r="X178" i="12"/>
  <c r="AM25" i="12"/>
  <c r="AE25" i="12"/>
  <c r="AM178" i="12"/>
  <c r="AC161" i="12"/>
  <c r="Y25" i="12"/>
  <c r="AD8" i="12"/>
  <c r="F3" i="6"/>
  <c r="O59" i="12"/>
  <c r="M110" i="12"/>
  <c r="S161" i="12"/>
  <c r="V127" i="12"/>
  <c r="AC25" i="12"/>
  <c r="AK127" i="12"/>
  <c r="L3" i="1"/>
  <c r="AK161" i="12"/>
  <c r="AD195" i="12"/>
  <c r="P25" i="12"/>
  <c r="C24" i="12"/>
  <c r="AL195" i="12"/>
  <c r="S93" i="12"/>
  <c r="G67" i="7"/>
  <c r="AE127" i="12"/>
  <c r="AJ178" i="12"/>
  <c r="X8" i="12"/>
  <c r="AJ127" i="12"/>
  <c r="W195" i="12"/>
  <c r="C58" i="12"/>
  <c r="AI110" i="12"/>
  <c r="AL25" i="12"/>
  <c r="AP13" i="1"/>
  <c r="C143" i="12"/>
  <c r="AO93" i="12"/>
  <c r="AP195" i="12"/>
  <c r="AN8" i="12"/>
  <c r="T32" i="1"/>
  <c r="AD144" i="12"/>
  <c r="A25" i="1"/>
  <c r="R42" i="12"/>
  <c r="AF127" i="12"/>
  <c r="W127" i="12"/>
  <c r="N76" i="12"/>
  <c r="AL93" i="12"/>
  <c r="P110" i="12"/>
  <c r="M127" i="12"/>
  <c r="J7" i="12"/>
  <c r="AM12" i="3"/>
  <c r="AG25" i="3"/>
  <c r="AR24" i="1"/>
  <c r="B8" i="10"/>
  <c r="H9" i="5"/>
  <c r="C88" i="12"/>
  <c r="B11" i="10"/>
  <c r="C139" i="12"/>
  <c r="H12" i="5"/>
  <c r="K48" i="1"/>
  <c r="P16" i="6"/>
  <c r="S16" i="6"/>
  <c r="K37" i="1"/>
  <c r="P5" i="6"/>
  <c r="K52" i="1"/>
  <c r="P20" i="6"/>
  <c r="S20" i="6"/>
  <c r="K40" i="1"/>
  <c r="P8" i="6"/>
  <c r="S8" i="6"/>
  <c r="K39" i="1"/>
  <c r="P7" i="6"/>
  <c r="S7" i="6"/>
  <c r="K45" i="1"/>
  <c r="P13" i="6"/>
  <c r="S13" i="6"/>
  <c r="K41" i="1"/>
  <c r="P9" i="6"/>
  <c r="S9" i="6"/>
  <c r="K33" i="1"/>
  <c r="P1" i="6"/>
  <c r="K47" i="1"/>
  <c r="P15" i="6"/>
  <c r="S15" i="6"/>
  <c r="K49" i="1"/>
  <c r="P17" i="6"/>
  <c r="S17" i="6"/>
  <c r="K51" i="1"/>
  <c r="P19" i="6"/>
  <c r="S19" i="6"/>
  <c r="K43" i="1"/>
  <c r="P11" i="6"/>
  <c r="S11" i="6"/>
  <c r="K50" i="1"/>
  <c r="P18" i="6"/>
  <c r="S18" i="6"/>
  <c r="K35" i="1"/>
  <c r="P3" i="6"/>
  <c r="K34" i="1"/>
  <c r="P2" i="6"/>
  <c r="K36" i="1"/>
  <c r="P4" i="6"/>
  <c r="S4" i="6"/>
  <c r="K44" i="1"/>
  <c r="P12" i="6"/>
  <c r="S12" i="6"/>
  <c r="K38" i="1"/>
  <c r="P6" i="6"/>
  <c r="S6" i="6"/>
  <c r="K46" i="1"/>
  <c r="P14" i="6"/>
  <c r="S14" i="6"/>
  <c r="K42" i="1"/>
  <c r="P10" i="6"/>
  <c r="S10" i="6"/>
  <c r="H13" i="5"/>
  <c r="B12" i="10"/>
  <c r="C156" i="12"/>
  <c r="B5" i="10"/>
  <c r="C37" i="12"/>
  <c r="H6" i="5"/>
  <c r="H15" i="5"/>
  <c r="C190" i="12"/>
  <c r="B14" i="10"/>
  <c r="C105" i="12"/>
  <c r="H10" i="5"/>
  <c r="B9" i="10"/>
  <c r="B7" i="10"/>
  <c r="H8" i="5"/>
  <c r="C71" i="12"/>
  <c r="AH15" i="3"/>
  <c r="AI15" i="3"/>
  <c r="A6" i="1"/>
  <c r="E3" i="4"/>
  <c r="K9" i="1"/>
  <c r="L1" i="4"/>
  <c r="B3" i="10"/>
  <c r="H4" i="5"/>
  <c r="C3" i="12"/>
  <c r="B6" i="10"/>
  <c r="H7" i="5"/>
  <c r="C54" i="12"/>
  <c r="H5" i="5"/>
  <c r="B4" i="10"/>
  <c r="C20" i="12"/>
  <c r="C173" i="12"/>
  <c r="H14" i="5"/>
  <c r="B13" i="10"/>
  <c r="H11" i="5"/>
  <c r="B10" i="10"/>
  <c r="C122" i="12"/>
  <c r="AM5" i="3"/>
  <c r="AM8" i="3"/>
  <c r="AM6" i="3"/>
  <c r="AM4" i="3"/>
  <c r="AM3" i="3"/>
  <c r="AM7" i="3"/>
  <c r="AK25" i="3"/>
  <c r="AT24" i="1"/>
  <c r="AL25" i="3"/>
  <c r="AV24" i="1"/>
  <c r="AK24" i="3"/>
  <c r="AT23" i="1"/>
  <c r="AL24" i="3"/>
  <c r="AV23" i="1"/>
  <c r="AR23" i="1"/>
  <c r="AA21" i="3"/>
  <c r="AE22" i="3"/>
  <c r="H20" i="3"/>
  <c r="AD22" i="3"/>
  <c r="I20" i="3"/>
  <c r="R22" i="3"/>
  <c r="AB18" i="3"/>
  <c r="W23" i="3"/>
  <c r="AD23" i="3"/>
  <c r="M22" i="3"/>
  <c r="Y22" i="3"/>
  <c r="X19" i="3"/>
  <c r="Y20" i="3"/>
  <c r="X22" i="3"/>
  <c r="Y16" i="3"/>
  <c r="F19" i="3"/>
  <c r="O22" i="3"/>
  <c r="I23" i="3"/>
  <c r="D23" i="3"/>
  <c r="AC22" i="3"/>
  <c r="AE23" i="3"/>
  <c r="V23" i="3"/>
  <c r="Q22" i="3"/>
  <c r="AB16" i="3"/>
  <c r="P23" i="3"/>
  <c r="I22" i="3"/>
  <c r="AF19" i="3"/>
  <c r="AA17" i="3"/>
  <c r="E21" i="3"/>
  <c r="L21" i="3"/>
  <c r="W21" i="3"/>
  <c r="Q19" i="3"/>
  <c r="S22" i="3"/>
  <c r="E20" i="3"/>
  <c r="N23" i="3"/>
  <c r="W22" i="3"/>
  <c r="U17" i="3"/>
  <c r="AE18" i="3"/>
  <c r="S20" i="3"/>
  <c r="N22" i="3"/>
  <c r="AF20" i="3"/>
  <c r="AC17" i="3"/>
  <c r="Z23" i="3"/>
  <c r="Q21" i="3"/>
  <c r="X21" i="3"/>
  <c r="J17" i="3"/>
  <c r="V17" i="3"/>
  <c r="S23" i="3"/>
  <c r="J19" i="3"/>
  <c r="U22" i="3"/>
  <c r="B23" i="3"/>
  <c r="I17" i="3"/>
  <c r="D18" i="3"/>
  <c r="AE16" i="3"/>
  <c r="R21" i="3"/>
  <c r="K22" i="3"/>
  <c r="Y23" i="3"/>
  <c r="G23" i="3"/>
  <c r="D20" i="3"/>
  <c r="AC21" i="3"/>
  <c r="L23" i="3"/>
  <c r="N20" i="3"/>
  <c r="E22" i="3"/>
  <c r="M23" i="3"/>
  <c r="U21" i="3"/>
  <c r="N17" i="3"/>
  <c r="Z21" i="3"/>
  <c r="W17" i="3"/>
  <c r="X20" i="3"/>
  <c r="AB23" i="3"/>
  <c r="I21" i="3"/>
  <c r="Y19" i="3"/>
  <c r="Y21" i="3"/>
  <c r="AB21" i="3"/>
  <c r="E17" i="3"/>
  <c r="U16" i="3"/>
  <c r="B21" i="3"/>
  <c r="AB17" i="3"/>
  <c r="AB22" i="3"/>
  <c r="T22" i="3"/>
  <c r="P21" i="3"/>
  <c r="T21" i="3"/>
  <c r="C17" i="3"/>
  <c r="B16" i="3"/>
  <c r="R19" i="3"/>
  <c r="O20" i="3"/>
  <c r="O17" i="3"/>
  <c r="K17" i="3"/>
  <c r="K20" i="3"/>
  <c r="M19" i="3"/>
  <c r="U23" i="3"/>
  <c r="G20" i="3"/>
  <c r="F17" i="3"/>
  <c r="S17" i="3"/>
  <c r="C19" i="3"/>
  <c r="W18" i="3"/>
  <c r="F23" i="3"/>
  <c r="AD21" i="3"/>
  <c r="H17" i="3"/>
  <c r="AA18" i="3"/>
  <c r="AD17" i="3"/>
  <c r="P22" i="3"/>
  <c r="F21" i="3"/>
  <c r="T17" i="3"/>
  <c r="V22" i="3"/>
  <c r="L17" i="3"/>
  <c r="H16" i="3"/>
  <c r="M21" i="3"/>
  <c r="G16" i="3"/>
  <c r="G21" i="3"/>
  <c r="J22" i="3"/>
  <c r="H21" i="3"/>
  <c r="AD18" i="3"/>
  <c r="O21" i="3"/>
  <c r="H23" i="3"/>
  <c r="AC18" i="3"/>
  <c r="Z17" i="3"/>
  <c r="C23" i="3"/>
  <c r="F22" i="3"/>
  <c r="V20" i="3"/>
  <c r="P17" i="3"/>
  <c r="T23" i="3"/>
  <c r="X23" i="3"/>
  <c r="S1" i="6"/>
  <c r="P3" i="1"/>
  <c r="P4" i="1"/>
  <c r="P5" i="1"/>
  <c r="K8" i="1"/>
  <c r="S2" i="6"/>
  <c r="K10" i="1"/>
  <c r="L9" i="1"/>
  <c r="M9" i="1"/>
  <c r="S5" i="6"/>
  <c r="S3" i="6"/>
  <c r="AI23" i="3"/>
  <c r="AJ23" i="3"/>
  <c r="AI22" i="3"/>
  <c r="AJ22" i="3"/>
  <c r="AG22" i="3"/>
  <c r="AG17" i="3"/>
  <c r="AR16" i="1"/>
  <c r="AG18" i="3"/>
  <c r="AR17" i="1"/>
  <c r="AG20" i="3"/>
  <c r="AR19" i="1"/>
  <c r="AG16" i="3"/>
  <c r="AR15" i="1"/>
  <c r="AG21" i="3"/>
  <c r="AR20" i="1"/>
  <c r="AG19" i="3"/>
  <c r="AR18" i="1"/>
  <c r="AI18" i="3"/>
  <c r="AJ18" i="3"/>
  <c r="AI16" i="3"/>
  <c r="AJ16" i="3"/>
  <c r="AI21" i="3"/>
  <c r="AJ21" i="3"/>
  <c r="AI17" i="3"/>
  <c r="AJ17" i="3"/>
  <c r="AI20" i="3"/>
  <c r="AJ20" i="3"/>
  <c r="AI19" i="3"/>
  <c r="AJ19" i="3"/>
  <c r="M1" i="4"/>
  <c r="L2" i="4"/>
  <c r="O23" i="3"/>
  <c r="K7" i="1"/>
  <c r="K6" i="1"/>
  <c r="L3" i="4"/>
  <c r="K14" i="1"/>
  <c r="AG23" i="3"/>
  <c r="AK23" i="3"/>
  <c r="AT22" i="1"/>
  <c r="L8" i="1"/>
  <c r="L10" i="1"/>
  <c r="AR21" i="1"/>
  <c r="AK22" i="3"/>
  <c r="AT21" i="1"/>
  <c r="AL22" i="3"/>
  <c r="AV21" i="1"/>
  <c r="M2" i="4"/>
  <c r="N1" i="4"/>
  <c r="N9" i="1"/>
  <c r="M8" i="1"/>
  <c r="M10" i="1"/>
  <c r="AK19" i="3"/>
  <c r="AT18" i="1"/>
  <c r="AL19" i="3"/>
  <c r="AV18" i="1"/>
  <c r="AL20" i="3"/>
  <c r="AV19" i="1"/>
  <c r="AK20" i="3"/>
  <c r="AT19" i="1"/>
  <c r="AL17" i="3"/>
  <c r="AV16" i="1"/>
  <c r="AK17" i="3"/>
  <c r="AT16" i="1"/>
  <c r="AL21" i="3"/>
  <c r="AV20" i="1"/>
  <c r="AK21" i="3"/>
  <c r="AT20" i="1"/>
  <c r="AL16" i="3"/>
  <c r="AV15" i="1"/>
  <c r="AK16" i="3"/>
  <c r="AT15" i="1"/>
  <c r="AK18" i="3"/>
  <c r="AT17" i="1"/>
  <c r="AL18" i="3"/>
  <c r="AV17" i="1"/>
  <c r="L7" i="1"/>
  <c r="M7" i="1"/>
  <c r="M6" i="1"/>
  <c r="L6" i="1"/>
  <c r="L14" i="1"/>
  <c r="M3" i="4"/>
  <c r="M14" i="1"/>
  <c r="AL23" i="3"/>
  <c r="AV22" i="1"/>
  <c r="AR22" i="1"/>
  <c r="N8" i="1"/>
  <c r="O9" i="1"/>
  <c r="N10" i="1"/>
  <c r="N2" i="4"/>
  <c r="O1" i="4"/>
  <c r="N7" i="1"/>
  <c r="N6" i="1"/>
  <c r="N14" i="1"/>
  <c r="N3" i="4"/>
  <c r="O2" i="4"/>
  <c r="P1" i="4"/>
  <c r="P9" i="1"/>
  <c r="O8" i="1"/>
  <c r="O10" i="1"/>
  <c r="O7" i="1"/>
  <c r="O6" i="1"/>
  <c r="O3" i="4"/>
  <c r="O14" i="1"/>
  <c r="Q9" i="1"/>
  <c r="P8" i="1"/>
  <c r="P10" i="1"/>
  <c r="Q1" i="4"/>
  <c r="P2" i="4"/>
  <c r="P7" i="1"/>
  <c r="P6" i="1"/>
  <c r="P14" i="1"/>
  <c r="P3" i="4"/>
  <c r="R1" i="4"/>
  <c r="Q2" i="4"/>
  <c r="Q10" i="1"/>
  <c r="Q8" i="1"/>
  <c r="R9" i="1"/>
  <c r="Q7" i="1"/>
  <c r="Q6" i="1"/>
  <c r="Q3" i="4"/>
  <c r="Q14" i="1"/>
  <c r="R10" i="1"/>
  <c r="S9" i="1"/>
  <c r="R8" i="1"/>
  <c r="S1" i="4"/>
  <c r="R2" i="4"/>
  <c r="R7" i="1"/>
  <c r="R6" i="1"/>
  <c r="R14" i="1"/>
  <c r="R3" i="4"/>
  <c r="S2" i="4"/>
  <c r="T1" i="4"/>
  <c r="T9" i="1"/>
  <c r="S8" i="1"/>
  <c r="S10" i="1"/>
  <c r="S7" i="1"/>
  <c r="S6" i="1"/>
  <c r="S3" i="4"/>
  <c r="S14" i="1"/>
  <c r="T8" i="1"/>
  <c r="U9" i="1"/>
  <c r="T10" i="1"/>
  <c r="T2" i="4"/>
  <c r="U1" i="4"/>
  <c r="T7" i="1"/>
  <c r="T6" i="1"/>
  <c r="T14" i="1"/>
  <c r="T3" i="4"/>
  <c r="U2" i="4"/>
  <c r="V1" i="4"/>
  <c r="V9" i="1"/>
  <c r="U8" i="1"/>
  <c r="U10" i="1"/>
  <c r="U7" i="1"/>
  <c r="U6" i="1"/>
  <c r="U3" i="4"/>
  <c r="U14" i="1"/>
  <c r="W9" i="1"/>
  <c r="V10" i="1"/>
  <c r="V8" i="1"/>
  <c r="V2" i="4"/>
  <c r="W1" i="4"/>
  <c r="V7" i="1"/>
  <c r="V6" i="1"/>
  <c r="V14" i="1"/>
  <c r="V3" i="4"/>
  <c r="W2" i="4"/>
  <c r="X1" i="4"/>
  <c r="W8" i="1"/>
  <c r="W10" i="1"/>
  <c r="X9" i="1"/>
  <c r="W6" i="1"/>
  <c r="W7" i="1"/>
  <c r="W3" i="4"/>
  <c r="W14" i="1"/>
  <c r="X10" i="1"/>
  <c r="Y9" i="1"/>
  <c r="X8" i="1"/>
  <c r="Y1" i="4"/>
  <c r="X2" i="4"/>
  <c r="X6" i="1"/>
  <c r="X7" i="1"/>
  <c r="X14" i="1"/>
  <c r="X3" i="4"/>
  <c r="Z1" i="4"/>
  <c r="Y2" i="4"/>
  <c r="Z9" i="1"/>
  <c r="Y8" i="1"/>
  <c r="Y10" i="1"/>
  <c r="Y7" i="1"/>
  <c r="Y6" i="1"/>
  <c r="Y3" i="4"/>
  <c r="Y14" i="1"/>
  <c r="Z10" i="1"/>
  <c r="AA9" i="1"/>
  <c r="Z8" i="1"/>
  <c r="AA1" i="4"/>
  <c r="Z2" i="4"/>
  <c r="Z7" i="1"/>
  <c r="Z6" i="1"/>
  <c r="Z14" i="1"/>
  <c r="Z3" i="4"/>
  <c r="AB1" i="4"/>
  <c r="AA2" i="4"/>
  <c r="AA10" i="1"/>
  <c r="AA8" i="1"/>
  <c r="AB9" i="1"/>
  <c r="AA7" i="1"/>
  <c r="AA6" i="1"/>
  <c r="AA3" i="4"/>
  <c r="AA14" i="1"/>
  <c r="AB10" i="1"/>
  <c r="AB8" i="1"/>
  <c r="AC9" i="1"/>
  <c r="AC1" i="4"/>
  <c r="AB2" i="4"/>
  <c r="AB7" i="1"/>
  <c r="AB6" i="1"/>
  <c r="AB14" i="1"/>
  <c r="AB3" i="4"/>
  <c r="AD1" i="4"/>
  <c r="AC2" i="4"/>
  <c r="AC10" i="1"/>
  <c r="AC8" i="1"/>
  <c r="AD9" i="1"/>
  <c r="AC7" i="1"/>
  <c r="AC6" i="1"/>
  <c r="AC3" i="4"/>
  <c r="AC14" i="1"/>
  <c r="AD8" i="1"/>
  <c r="AD10" i="1"/>
  <c r="AE9" i="1"/>
  <c r="AD2" i="4"/>
  <c r="AE1" i="4"/>
  <c r="AD6" i="1"/>
  <c r="AD7" i="1"/>
  <c r="AD14" i="1"/>
  <c r="AD3" i="4"/>
  <c r="AE2" i="4"/>
  <c r="AF1" i="4"/>
  <c r="AE8" i="1"/>
  <c r="AF9" i="1"/>
  <c r="AE10" i="1"/>
  <c r="AE7" i="1"/>
  <c r="AE6" i="1"/>
  <c r="AE3" i="4"/>
  <c r="AE14" i="1"/>
  <c r="AF10" i="1"/>
  <c r="AF8" i="1"/>
  <c r="AG9" i="1"/>
  <c r="AG1" i="4"/>
  <c r="AF2" i="4"/>
  <c r="AF6" i="1"/>
  <c r="AF7" i="1"/>
  <c r="AF14" i="1"/>
  <c r="AF3" i="4"/>
  <c r="AG10" i="1"/>
  <c r="AH9" i="1"/>
  <c r="AG8" i="1"/>
  <c r="AH1" i="4"/>
  <c r="AG2" i="4"/>
  <c r="AG6" i="1"/>
  <c r="AG7" i="1"/>
  <c r="AG3" i="4"/>
  <c r="AG14" i="1"/>
  <c r="AH2" i="4"/>
  <c r="AI1" i="4"/>
  <c r="AI9" i="1"/>
  <c r="AH8" i="1"/>
  <c r="AH10" i="1"/>
  <c r="AH6" i="1"/>
  <c r="AH7" i="1"/>
  <c r="AH3" i="4"/>
  <c r="AH14" i="1"/>
  <c r="AJ9" i="1"/>
  <c r="AI10" i="1"/>
  <c r="AI8" i="1"/>
  <c r="AI2" i="4"/>
  <c r="AJ1" i="4"/>
  <c r="AI6" i="1"/>
  <c r="AI7" i="1"/>
  <c r="AI14" i="1"/>
  <c r="AI3" i="4"/>
  <c r="AK1" i="4"/>
  <c r="AJ2" i="4"/>
  <c r="AK9" i="1"/>
  <c r="AJ10" i="1"/>
  <c r="AJ8" i="1"/>
  <c r="AJ7" i="1"/>
  <c r="AJ6" i="1"/>
  <c r="AJ3" i="4"/>
  <c r="AJ14" i="1"/>
  <c r="AL9" i="1"/>
  <c r="AK8" i="1"/>
  <c r="AK10" i="1"/>
  <c r="AK2" i="4"/>
  <c r="AL1" i="4"/>
  <c r="AK7" i="1"/>
  <c r="AK6" i="1"/>
  <c r="AK14" i="1"/>
  <c r="AK3" i="4"/>
  <c r="AM1" i="4"/>
  <c r="AL2" i="4"/>
  <c r="AL10" i="1"/>
  <c r="AM9" i="1"/>
  <c r="AL8" i="1"/>
  <c r="AL7" i="1"/>
  <c r="AL6" i="1"/>
  <c r="AL3" i="4"/>
  <c r="AL14" i="1"/>
  <c r="AM11" i="1"/>
  <c r="AN9" i="1"/>
  <c r="AM8" i="1"/>
  <c r="AM10" i="1"/>
  <c r="AN1" i="4"/>
  <c r="AM2" i="4"/>
  <c r="AM7" i="1"/>
  <c r="AM6" i="1"/>
  <c r="AM14" i="1"/>
  <c r="AM3" i="4"/>
  <c r="AO1" i="4"/>
  <c r="AN2" i="4"/>
  <c r="AN10" i="1"/>
  <c r="AO9" i="1"/>
  <c r="AN11" i="1"/>
  <c r="AN8" i="1"/>
  <c r="AN6" i="1"/>
  <c r="AN7" i="1"/>
  <c r="AN3" i="4"/>
  <c r="AN14" i="1"/>
  <c r="AO10" i="1"/>
  <c r="AO11" i="1"/>
  <c r="AO8" i="1"/>
  <c r="AO2" i="4"/>
  <c r="AP1" i="4"/>
  <c r="AP2" i="4"/>
  <c r="AO7" i="1"/>
  <c r="AO6" i="1"/>
  <c r="AO14" i="1"/>
  <c r="AO3" i="4"/>
  <c r="A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<sst xmlns="http://schemas.openxmlformats.org/spreadsheetml/2006/main" count="2251" uniqueCount="577">
  <si>
    <t>Maj</t>
  </si>
  <si>
    <t>EVENTS</t>
  </si>
  <si>
    <t>HOLIDAYS</t>
  </si>
  <si>
    <t>Day number</t>
  </si>
  <si>
    <t>DATES</t>
  </si>
  <si>
    <t>ADT's</t>
  </si>
  <si>
    <t>MANAGER</t>
  </si>
  <si>
    <t>FULL</t>
  </si>
  <si>
    <t>Dawid Szeluga</t>
  </si>
  <si>
    <t>CUSTOMER AND SALES MANAGER</t>
  </si>
  <si>
    <t>AM</t>
  </si>
  <si>
    <t>OFF</t>
  </si>
  <si>
    <t>NC</t>
  </si>
  <si>
    <t>MIB</t>
  </si>
  <si>
    <t>H</t>
  </si>
  <si>
    <t>Kamil Kamiński</t>
  </si>
  <si>
    <t>SSV</t>
  </si>
  <si>
    <t>PM</t>
  </si>
  <si>
    <t>SPM</t>
  </si>
  <si>
    <t>Zuzanna Makowska</t>
  </si>
  <si>
    <t>Weronika Bieńkowska</t>
  </si>
  <si>
    <t>Hanna Domachowska</t>
  </si>
  <si>
    <t>Aleksandra Płużyńska</t>
  </si>
  <si>
    <t>SAM</t>
  </si>
  <si>
    <t>Maciej Chlabicz</t>
  </si>
  <si>
    <t>T</t>
  </si>
  <si>
    <t>Weronika Stasiewicz</t>
  </si>
  <si>
    <t>Weronika szkolenie BAR | Otwarcie 10-20</t>
  </si>
  <si>
    <t>Weronika szkolenie BAR</t>
  </si>
  <si>
    <t>(Otwarcie 10-20)</t>
  </si>
  <si>
    <t>Maciek start szkolenia z prowadzenia zmiany | Support Ola SanPark</t>
  </si>
  <si>
    <t>Weronika certyfikacja BAR</t>
  </si>
  <si>
    <t>Weronika start szkolenia z prowadzenia zmiany | Dawid zastępstwo za Dma</t>
  </si>
  <si>
    <t>Dawid zastępstwo za Dma</t>
  </si>
  <si>
    <t>Coffee Show | Dawid zastępstwo za Dma</t>
  </si>
  <si>
    <t>Weronika FU z Dawidem | Dawid zastępstwo za Dma | Maciek Rekrutacja Białystok</t>
  </si>
  <si>
    <t>Maciek samodzielne otwarcie</t>
  </si>
  <si>
    <t>Weronika samodzielne zmaknięcie</t>
  </si>
  <si>
    <t>Maciek szkolenie ASM .Weronika samodzielne otwarcie + szkolenie z zamówień + dostawić bar | Support Sadyba</t>
  </si>
  <si>
    <t>Support `Sadyba\</t>
  </si>
  <si>
    <t>Weronika i Maciek - przygotowanie do certyfikacji</t>
  </si>
  <si>
    <t>Certyfikacja Maćka i Weroniki | Support Sadyba</t>
  </si>
  <si>
    <t>Maciek i Weronika szkolenie z inv | Werka Support | Dostawić bar + Maciek robi samodzielny zamek</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</si>
  <si>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</si>
  <si>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</si>
  <si>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</si>
  <si>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</si>
  <si>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</si>
  <si>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</si>
  <si>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</si>
  <si>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</si>
  <si>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</si>
  <si>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</si>
  <si>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</si>
  <si>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</si>
  <si>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</si>
  <si>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</si>
  <si>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</si>
  <si>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</si>
  <si>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</si>
  <si>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</si>
  <si>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</si>
  <si>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</si>
  <si>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</si>
  <si>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</si>
  <si>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</si>
  <si>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</si>
  <si>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</si>
  <si>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</si>
  <si>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</si>
  <si>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</si>
  <si>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</si>
  <si>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</si>
  <si>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</si>
  <si>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</si>
  <si>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</si>
  <si>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</si>
  <si>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</si>
  <si>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</si>
  <si>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</si>
  <si>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</si>
  <si>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</si>
  <si>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</si>
  <si>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</si>
  <si>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</si>
  <si>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</si>
  <si>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</si>
  <si>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</si>
  <si>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</si>
  <si>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</si>
  <si>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</si>
  <si>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</si>
  <si>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</si>
  <si>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</si>
  <si>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</si>
  <si>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</si>
  <si>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</si>
  <si>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</si>
  <si>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</si>
  <si>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</si>
  <si>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</si>
  <si>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</si>
  <si>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</si>
  <si>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</si>
  <si>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</si>
  <si>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</si>
  <si>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</si>
  <si>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</si>
  <si>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L4</t>
  </si>
  <si>
    <t>TOTAL H</t>
  </si>
  <si>
    <t>TOTAL</t>
  </si>
  <si>
    <t>Dawid</t>
  </si>
  <si>
    <t>Kamil</t>
  </si>
  <si>
    <t>175.5</t>
  </si>
  <si>
    <t>Zuza D.</t>
  </si>
  <si>
    <t>Weronika</t>
  </si>
  <si>
    <t>Hania</t>
  </si>
  <si>
    <t>Ola</t>
  </si>
  <si>
    <t>9/10</t>
  </si>
  <si>
    <t>KWIECIEŃ</t>
  </si>
  <si>
    <t>CZERWIEC</t>
  </si>
  <si>
    <t>Zuza</t>
  </si>
  <si>
    <t>83.5</t>
  </si>
  <si>
    <t>LIPIEC</t>
  </si>
  <si>
    <t>SIERPIEŃ</t>
  </si>
  <si>
    <t>WRZESIEŃ</t>
  </si>
  <si>
    <t xml:space="preserve">SIE </t>
  </si>
  <si>
    <t>PAŹDZIERNIK</t>
  </si>
  <si>
    <t>LISTOPAD</t>
  </si>
  <si>
    <t>GRUDZIEŃ</t>
  </si>
  <si>
    <t>PAMIĘTAJ ABY LICZBĘ DNI ABSENCJI WPISAĆ BEZ ŚWIĄT I WEEKENDÓW</t>
  </si>
  <si>
    <t>SSV IN TRAINING</t>
  </si>
  <si>
    <t>TAM</t>
  </si>
  <si>
    <t>TPM</t>
  </si>
  <si>
    <t>Supporty Wilanów</t>
  </si>
  <si>
    <t>AMB</t>
  </si>
  <si>
    <t>RET</t>
  </si>
  <si>
    <t>AMN</t>
  </si>
  <si>
    <t>PMB</t>
  </si>
  <si>
    <t>SUP</t>
  </si>
  <si>
    <t>MI4</t>
  </si>
  <si>
    <t>Opening</t>
  </si>
  <si>
    <t>Closing</t>
  </si>
  <si>
    <t>Language/Jezyk</t>
  </si>
  <si>
    <t xml:space="preserve">AM Niedziela </t>
  </si>
  <si>
    <t>Polski</t>
  </si>
  <si>
    <t>PM Niedziela</t>
  </si>
  <si>
    <t>PMN</t>
  </si>
  <si>
    <t>Support AM</t>
  </si>
  <si>
    <t>Support PM</t>
  </si>
  <si>
    <t>Support do oddania</t>
  </si>
  <si>
    <t>MID Bar</t>
  </si>
  <si>
    <t>AM Bar</t>
  </si>
  <si>
    <t>PM Bar</t>
  </si>
  <si>
    <t>MiD 4h</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</si>
  <si>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</si>
  <si>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</si>
  <si>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</si>
  <si>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</si>
  <si>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</si>
  <si>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</si>
  <si>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</si>
  <si>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</si>
  <si>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</si>
  <si>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</si>
  <si>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</si>
  <si>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</si>
  <si>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Training</t>
  </si>
  <si>
    <t>Boże Ciało</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</si>
  <si>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</si>
  <si>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</si>
  <si>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</si>
  <si>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</si>
  <si>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</si>
  <si>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</si>
  <si>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</si>
  <si>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</si>
  <si>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</si>
  <si>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</si>
  <si>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</si>
  <si>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</si>
  <si>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</si>
  <si>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</si>
  <si>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</si>
  <si>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</si>
  <si>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</si>
  <si>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</si>
  <si>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</si>
  <si>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</si>
  <si>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</si>
  <si>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</si>
  <si>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</si>
  <si>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</si>
  <si>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</si>
  <si>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</si>
  <si>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</si>
  <si>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</si>
  <si>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</si>
  <si>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</si>
  <si>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</si>
  <si>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</si>
  <si>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</si>
  <si>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</si>
  <si>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</si>
  <si>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</si>
  <si>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</si>
  <si>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</si>
  <si>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</si>
  <si>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</si>
  <si>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</si>
  <si>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</si>
  <si>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</si>
  <si>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</si>
  <si>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</si>
  <si>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</si>
  <si>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</si>
  <si>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</si>
  <si>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</si>
  <si>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</si>
  <si>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</si>
  <si>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</si>
  <si>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</si>
  <si>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</si>
  <si>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</si>
  <si>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</si>
  <si>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</si>
  <si>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</si>
  <si>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</si>
  <si>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</si>
  <si>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</si>
  <si>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</si>
  <si>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</si>
  <si>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</si>
  <si>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</si>
  <si>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</si>
  <si>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</si>
  <si>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</si>
  <si>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</si>
  <si>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</si>
  <si>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</si>
  <si>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</si>
  <si>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</si>
  <si>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</si>
  <si>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</si>
  <si>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</si>
  <si>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Marzec</t>
  </si>
  <si>
    <t>April</t>
  </si>
  <si>
    <t>Duben</t>
  </si>
  <si>
    <t>Április</t>
  </si>
  <si>
    <t>Kwiecień</t>
  </si>
  <si>
    <t>May</t>
  </si>
  <si>
    <t>Květen</t>
  </si>
  <si>
    <t>Május</t>
  </si>
  <si>
    <t>June</t>
  </si>
  <si>
    <t>Červen</t>
  </si>
  <si>
    <t>Június</t>
  </si>
  <si>
    <t>Czerwiec</t>
  </si>
  <si>
    <t>July</t>
  </si>
  <si>
    <t>Červenec</t>
  </si>
  <si>
    <t>Július</t>
  </si>
  <si>
    <t>Lipiec</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</si>
  <si>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</si>
  <si>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</si>
  <si>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</si>
  <si>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</si>
  <si>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</si>
  <si>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</si>
  <si>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</si>
  <si>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</si>
  <si>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</si>
  <si>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</si>
  <si>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</si>
  <si>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</si>
  <si>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</si>
  <si>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</si>
  <si>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</si>
  <si>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</si>
  <si>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</si>
  <si>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</si>
  <si>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</si>
  <si>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</si>
  <si>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</si>
  <si>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</si>
  <si>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</si>
  <si>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</si>
  <si>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</si>
  <si>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</si>
  <si>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</si>
  <si>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</si>
  <si>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</si>
  <si>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</si>
  <si>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</si>
  <si>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</si>
  <si>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</si>
  <si>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</si>
  <si>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</si>
  <si>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</si>
  <si>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</si>
  <si>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</si>
  <si>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</si>
  <si>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</si>
  <si>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</si>
  <si>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</si>
  <si>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</si>
  <si>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</si>
  <si>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</si>
  <si>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</si>
  <si>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</si>
  <si>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</si>
  <si>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</si>
  <si>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</si>
  <si>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</si>
  <si>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</si>
  <si>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</si>
  <si>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</si>
  <si>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</si>
  <si>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</si>
  <si>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</si>
  <si>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</si>
  <si>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</si>
  <si>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</si>
  <si>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</si>
  <si>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</si>
  <si>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</si>
  <si>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</si>
  <si>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</si>
  <si>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</si>
  <si>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</si>
  <si>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</si>
  <si>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</si>
  <si>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</si>
  <si>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</si>
  <si>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</si>
  <si>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</si>
  <si>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</si>
  <si>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</si>
  <si>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</si>
  <si>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</si>
  <si>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</si>
  <si>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</si>
  <si>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</si>
  <si>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</si>
  <si>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</si>
  <si>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</si>
  <si>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</si>
  <si>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</si>
  <si>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</si>
  <si>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</si>
  <si>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</si>
  <si>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</si>
  <si>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</si>
  <si>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</si>
  <si>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</si>
  <si>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</si>
  <si>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</si>
  <si>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</si>
  <si>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</si>
  <si>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</si>
  <si>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</si>
  <si>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</si>
  <si>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</si>
  <si>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</si>
  <si>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</si>
  <si>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</si>
  <si>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</si>
  <si>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</si>
  <si>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</si>
  <si>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</si>
  <si>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</si>
  <si>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</si>
  <si>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</si>
  <si>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</si>
  <si>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</si>
  <si>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</si>
  <si>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</si>
  <si>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</si>
  <si>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</si>
  <si>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</si>
  <si>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</si>
  <si>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</si>
  <si>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</si>
  <si>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</si>
  <si>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</si>
  <si>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</si>
  <si>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</si>
  <si>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</si>
  <si>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</si>
  <si>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</si>
  <si>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</si>
  <si>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</si>
  <si>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</si>
  <si>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</si>
  <si>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</si>
  <si>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</si>
  <si>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</si>
  <si>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</si>
  <si>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</si>
  <si>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</si>
  <si>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</si>
  <si>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</si>
  <si>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</si>
  <si>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</si>
  <si>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</si>
  <si>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</si>
  <si>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</si>
  <si>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</si>
  <si>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</si>
  <si>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</si>
  <si>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</si>
  <si>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</si>
  <si>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</si>
  <si>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</si>
  <si>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</si>
  <si>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</si>
  <si>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</si>
  <si>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</si>
  <si>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</si>
  <si>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</si>
  <si>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</si>
  <si>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</si>
  <si>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</si>
  <si>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</si>
  <si>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</si>
  <si>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</si>
  <si>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</si>
  <si>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</si>
  <si>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</si>
  <si>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</si>
  <si>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</si>
  <si>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</si>
  <si>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</si>
  <si>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</si>
  <si>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</si>
  <si>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</si>
  <si>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</si>
  <si>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</si>
  <si>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</si>
  <si>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</si>
  <si>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</si>
  <si>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</si>
  <si>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</si>
  <si>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</si>
  <si>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</si>
  <si>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</si>
  <si>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</si>
  <si>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</si>
  <si>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</si>
  <si>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</si>
  <si>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</si>
  <si>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</si>
  <si>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</si>
  <si>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</si>
  <si>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</si>
  <si>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</si>
  <si>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</si>
  <si>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</si>
  <si>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</si>
  <si>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</si>
  <si>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</si>
  <si>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</si>
  <si>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</si>
  <si>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</si>
  <si>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</si>
  <si>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</si>
  <si>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</si>
  <si>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</si>
  <si>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</si>
  <si>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</si>
  <si>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</si>
  <si>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</si>
  <si>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</si>
  <si>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</si>
  <si>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</si>
  <si>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</si>
  <si>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</si>
  <si>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</si>
  <si>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</si>
  <si>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</si>
  <si>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</si>
  <si>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</si>
  <si>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</si>
  <si>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</si>
  <si>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</si>
  <si>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</si>
  <si>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</si>
  <si>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</si>
  <si>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</si>
  <si>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</si>
  <si>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</si>
  <si>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</si>
  <si>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</si>
  <si>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</si>
  <si>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</si>
  <si>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</si>
  <si>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</si>
  <si>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</si>
  <si>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</si>
  <si>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</si>
  <si>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</si>
  <si>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</si>
  <si>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</si>
  <si>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</si>
  <si>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</si>
  <si>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</si>
  <si>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</si>
  <si>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</si>
  <si>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</si>
  <si>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</si>
  <si>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</si>
  <si>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</si>
  <si>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</si>
  <si>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</si>
  <si>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</si>
  <si>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</si>
  <si>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</si>
  <si>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</si>
  <si>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</si>
  <si>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</si>
  <si>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</si>
  <si>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</si>
  <si>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</si>
  <si>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</si>
  <si>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</si>
  <si>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</si>
  <si>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</si>
  <si>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</si>
  <si>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</si>
  <si>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</si>
  <si>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</si>
  <si>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</si>
  <si>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</si>
  <si>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</si>
  <si>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</si>
  <si>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</si>
  <si>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</si>
  <si>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</si>
  <si>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</si>
  <si>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</si>
  <si>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</si>
  <si>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</si>
  <si>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</si>
  <si>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</si>
  <si>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</si>
  <si>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</si>
  <si>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</si>
  <si>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</si>
  <si>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</si>
  <si>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</si>
  <si>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</si>
  <si>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</si>
  <si>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</si>
  <si>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</si>
  <si>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</si>
  <si>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</si>
  <si>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</si>
  <si>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</si>
  <si>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</si>
  <si>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</si>
  <si>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</si>
  <si>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</si>
  <si>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y</t>
  </si>
  <si>
    <t>Zmienne - stałe</t>
  </si>
  <si>
    <t>worked</t>
  </si>
  <si>
    <t>To do</t>
  </si>
  <si>
    <t>%</t>
  </si>
  <si>
    <t>Remain</t>
  </si>
  <si>
    <t xml:space="preserve">KEY PARTNER </t>
  </si>
  <si>
    <t>SM IN TRAINING</t>
  </si>
  <si>
    <t>ASM IN TRAINING</t>
  </si>
  <si>
    <t>KEY PARTNER IN TRAINING</t>
  </si>
  <si>
    <t>SUPPORT</t>
  </si>
  <si>
    <t>English</t>
  </si>
  <si>
    <t>Cesky</t>
  </si>
  <si>
    <t>ASSISTANT STORE MANAGER</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</si>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</sst>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4">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b/>
      <sz val="14"/>
      <name val="Arial CE"/>
      <charset val="238"/>
    </font>
    <font>
      <sz val="14"/>
      <name val="Arial CE"/>
      <charset val="238"/>
    </font>
    <font>
      <b/>
      <sz val="14"/>
      <color rgb="FF0F7330"/>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9">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
      <patternFill patternType="solid">
        <fgColor theme="0" tint="-0.249977111117893"/>
        <bgColor indexed="64"/>
      </patternFill>
    </fill>
  </fills>
  <borders count="9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86">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40" fillId="14" borderId="26" xfId="0" applyFont="1" applyFill="1" applyBorder="1" applyAlignment="1" applyProtection="1">
      <alignment horizontal="center" vertical="center"/>
      <protection locked="0"/>
    </xf>
    <xf numFmtId="0" fontId="40" fillId="14" borderId="2" xfId="0" applyFont="1" applyFill="1" applyBorder="1" applyAlignment="1" applyProtection="1">
      <alignment horizontal="center" vertical="center"/>
      <protection locked="0"/>
    </xf>
    <xf numFmtId="0" fontId="40" fillId="14" borderId="27" xfId="0" applyFont="1" applyFill="1" applyBorder="1" applyAlignment="1" applyProtection="1">
      <alignment horizontal="center" vertical="center"/>
      <protection locked="0"/>
    </xf>
    <xf numFmtId="0" fontId="74" fillId="13" borderId="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9"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9"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9" fillId="0" borderId="2" xfId="0" applyFont="1" applyBorder="1" applyAlignment="1" applyProtection="1">
      <alignment vertical="center" wrapText="1"/>
      <protection locked="0"/>
    </xf>
    <xf numFmtId="0" fontId="79"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9" fillId="0" borderId="2" xfId="0" applyFont="1" applyBorder="1" applyAlignment="1" applyProtection="1">
      <alignment horizontal="center" vertical="center"/>
      <protection locked="0"/>
    </xf>
    <xf numFmtId="0" fontId="79"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40" fillId="13" borderId="11" xfId="0" applyFont="1" applyFill="1" applyBorder="1" applyAlignment="1" applyProtection="1">
      <alignment horizontal="center" vertical="center"/>
      <protection locked="0"/>
    </xf>
    <xf numFmtId="0" fontId="40" fillId="13" borderId="45" xfId="0" applyFont="1" applyFill="1" applyBorder="1" applyAlignment="1" applyProtection="1">
      <alignment horizontal="center" vertical="center"/>
      <protection locked="0"/>
    </xf>
    <xf numFmtId="0" fontId="73" fillId="13" borderId="2" xfId="12" applyFont="1" applyFill="1" applyBorder="1" applyAlignment="1" applyProtection="1">
      <alignment horizontal="center" vertical="center"/>
      <protection locked="0"/>
    </xf>
    <xf numFmtId="0" fontId="40" fillId="13" borderId="13" xfId="0" applyFont="1" applyFill="1" applyBorder="1" applyAlignment="1" applyProtection="1">
      <alignment horizontal="center" vertical="center"/>
      <protection locked="0"/>
    </xf>
    <xf numFmtId="0" fontId="40" fillId="12" borderId="14" xfId="0" applyFont="1" applyFill="1" applyBorder="1" applyAlignment="1" applyProtection="1">
      <alignment horizontal="center" vertical="center"/>
      <protection locked="0"/>
    </xf>
    <xf numFmtId="0" fontId="40" fillId="12" borderId="52" xfId="0" applyFont="1" applyFill="1" applyBorder="1" applyAlignment="1" applyProtection="1">
      <alignment horizontal="center" vertical="center"/>
      <protection locked="0"/>
    </xf>
    <xf numFmtId="0" fontId="40" fillId="12" borderId="16" xfId="0" applyFont="1" applyFill="1" applyBorder="1" applyAlignment="1" applyProtection="1">
      <alignment horizontal="center" vertical="center"/>
      <protection locked="0"/>
    </xf>
    <xf numFmtId="0" fontId="40" fillId="12" borderId="18" xfId="0" applyFont="1" applyFill="1" applyBorder="1" applyAlignment="1" applyProtection="1">
      <alignment horizontal="center" vertical="center"/>
      <protection locked="0"/>
    </xf>
    <xf numFmtId="0" fontId="6" fillId="12" borderId="18" xfId="0" applyFont="1" applyFill="1" applyBorder="1" applyAlignment="1" applyProtection="1">
      <alignment horizontal="center" vertical="center"/>
      <protection locked="0"/>
    </xf>
    <xf numFmtId="0" fontId="40" fillId="12" borderId="24" xfId="0" applyFont="1" applyFill="1" applyBorder="1" applyAlignment="1" applyProtection="1">
      <alignment horizontal="center" vertical="center"/>
      <protection locked="0"/>
    </xf>
    <xf numFmtId="0" fontId="40" fillId="12" borderId="15" xfId="0" applyFont="1" applyFill="1" applyBorder="1" applyAlignment="1" applyProtection="1">
      <alignment horizontal="center" vertical="center"/>
      <protection locked="0"/>
    </xf>
    <xf numFmtId="0" fontId="40" fillId="12" borderId="17" xfId="0" applyFont="1" applyFill="1" applyBorder="1" applyAlignment="1" applyProtection="1">
      <alignment horizontal="center" vertical="center"/>
      <protection locked="0"/>
    </xf>
    <xf numFmtId="0" fontId="40" fillId="12" borderId="23" xfId="0" applyFont="1" applyFill="1" applyBorder="1" applyAlignment="1" applyProtection="1">
      <alignment horizontal="center" vertical="center"/>
      <protection locked="0"/>
    </xf>
    <xf numFmtId="0" fontId="6" fillId="14" borderId="2" xfId="0" applyFont="1" applyFill="1" applyBorder="1" applyAlignment="1" applyProtection="1">
      <alignment horizontal="center" vertical="center"/>
      <protection locked="0"/>
    </xf>
    <xf numFmtId="49" fontId="82" fillId="22" borderId="2" xfId="0" applyNumberFormat="1" applyFont="1" applyFill="1" applyBorder="1" applyAlignment="1">
      <alignment horizontal="center" vertical="center" wrapText="1"/>
    </xf>
    <xf numFmtId="49" fontId="82" fillId="0" borderId="2" xfId="0" applyNumberFormat="1" applyFont="1" applyBorder="1" applyAlignment="1">
      <alignment horizontal="center" vertical="center" wrapText="1"/>
    </xf>
    <xf numFmtId="167" fontId="70" fillId="18" borderId="11" xfId="0" applyNumberFormat="1" applyFont="1" applyFill="1" applyBorder="1" applyAlignment="1">
      <alignment horizontal="center" vertical="center" wrapText="1"/>
    </xf>
    <xf numFmtId="167" fontId="70" fillId="18" borderId="12" xfId="0" applyNumberFormat="1" applyFont="1" applyFill="1" applyBorder="1" applyAlignment="1">
      <alignment horizontal="center" vertical="center" wrapText="1"/>
    </xf>
    <xf numFmtId="167" fontId="70" fillId="18" borderId="13" xfId="0" applyNumberFormat="1" applyFont="1" applyFill="1" applyBorder="1" applyAlignment="1">
      <alignment horizontal="center" vertical="center" wrapText="1"/>
    </xf>
    <xf numFmtId="0" fontId="79" fillId="0" borderId="11" xfId="0" applyFont="1" applyBorder="1" applyAlignment="1">
      <alignment horizontal="center" vertical="center" wrapText="1"/>
    </xf>
    <xf numFmtId="0" fontId="79" fillId="0" borderId="48" xfId="0" applyFont="1" applyBorder="1" applyAlignment="1">
      <alignment horizontal="center" vertical="center" wrapText="1"/>
    </xf>
    <xf numFmtId="0" fontId="79" fillId="0" borderId="13" xfId="0" applyFont="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49" fontId="82" fillId="21" borderId="2" xfId="0" applyNumberFormat="1" applyFont="1" applyFill="1" applyBorder="1" applyAlignment="1">
      <alignment horizontal="center" vertical="center" wrapText="1"/>
    </xf>
    <xf numFmtId="49" fontId="82" fillId="23" borderId="2" xfId="0" applyNumberFormat="1" applyFont="1" applyFill="1" applyBorder="1" applyAlignment="1">
      <alignment horizontal="center" vertical="center" wrapText="1"/>
    </xf>
    <xf numFmtId="49" fontId="82" fillId="23" borderId="18" xfId="0" applyNumberFormat="1" applyFont="1" applyFill="1" applyBorder="1" applyAlignment="1">
      <alignment horizontal="center" vertical="center" wrapText="1"/>
    </xf>
    <xf numFmtId="0" fontId="81" fillId="21" borderId="11" xfId="0" applyFont="1" applyFill="1" applyBorder="1" applyAlignment="1">
      <alignment horizontal="center" vertical="center" wrapText="1"/>
    </xf>
    <xf numFmtId="0" fontId="81" fillId="21" borderId="12" xfId="0" applyFont="1" applyFill="1" applyBorder="1" applyAlignment="1">
      <alignment horizontal="center" vertical="center" wrapText="1"/>
    </xf>
    <xf numFmtId="0" fontId="81" fillId="21" borderId="48" xfId="0" applyFont="1" applyFill="1" applyBorder="1" applyAlignment="1">
      <alignment horizontal="center" vertical="center" wrapText="1"/>
    </xf>
    <xf numFmtId="0" fontId="81" fillId="22" borderId="11" xfId="0" applyFont="1" applyFill="1" applyBorder="1" applyAlignment="1">
      <alignment horizontal="center" vertical="center" wrapText="1"/>
    </xf>
    <xf numFmtId="0" fontId="81" fillId="22" borderId="12" xfId="0" applyFont="1" applyFill="1" applyBorder="1" applyAlignment="1">
      <alignment horizontal="center" vertical="center" wrapText="1"/>
    </xf>
    <xf numFmtId="0" fontId="81" fillId="22" borderId="13" xfId="0" applyFont="1" applyFill="1" applyBorder="1" applyAlignment="1">
      <alignment horizontal="center" vertical="center" wrapText="1"/>
    </xf>
    <xf numFmtId="0" fontId="81" fillId="26" borderId="11" xfId="0" applyFont="1" applyFill="1" applyBorder="1" applyAlignment="1">
      <alignment horizontal="center" vertical="center" wrapText="1"/>
    </xf>
    <xf numFmtId="0" fontId="81" fillId="26" borderId="12" xfId="0" applyFont="1" applyFill="1" applyBorder="1" applyAlignment="1">
      <alignment horizontal="center" vertical="center" wrapText="1"/>
    </xf>
    <xf numFmtId="0" fontId="81" fillId="26" borderId="13" xfId="0" applyFont="1" applyFill="1" applyBorder="1" applyAlignment="1">
      <alignment horizontal="center" vertical="center" wrapText="1"/>
    </xf>
    <xf numFmtId="0" fontId="81" fillId="25" borderId="11" xfId="0" applyFont="1" applyFill="1" applyBorder="1" applyAlignment="1">
      <alignment horizontal="center" vertical="center" wrapText="1"/>
    </xf>
    <xf numFmtId="0" fontId="81" fillId="25" borderId="12" xfId="0" applyFont="1" applyFill="1" applyBorder="1" applyAlignment="1">
      <alignment horizontal="center" vertical="center" wrapText="1"/>
    </xf>
    <xf numFmtId="0" fontId="81" fillId="25" borderId="13" xfId="0" applyFont="1" applyFill="1" applyBorder="1" applyAlignment="1">
      <alignment horizontal="center" vertical="center" wrapText="1"/>
    </xf>
    <xf numFmtId="0" fontId="80" fillId="20" borderId="85" xfId="0" applyFont="1" applyFill="1" applyBorder="1" applyAlignment="1">
      <alignment horizontal="center" vertical="center" wrapText="1"/>
    </xf>
    <xf numFmtId="0" fontId="80" fillId="20" borderId="86" xfId="0" applyFont="1" applyFill="1" applyBorder="1" applyAlignment="1">
      <alignment horizontal="center" vertical="center" wrapText="1"/>
    </xf>
    <xf numFmtId="49" fontId="82" fillId="25" borderId="2" xfId="0" applyNumberFormat="1" applyFont="1" applyFill="1" applyBorder="1" applyAlignment="1">
      <alignment horizontal="center" vertical="center"/>
    </xf>
    <xf numFmtId="49" fontId="82" fillId="0" borderId="2" xfId="0" applyNumberFormat="1" applyFont="1" applyBorder="1" applyAlignment="1">
      <alignment horizontal="center" vertical="center"/>
    </xf>
    <xf numFmtId="49" fontId="82" fillId="24" borderId="17" xfId="0" applyNumberFormat="1" applyFont="1" applyFill="1" applyBorder="1" applyAlignment="1">
      <alignment horizontal="center" vertical="center"/>
    </xf>
    <xf numFmtId="49" fontId="82" fillId="24" borderId="2" xfId="0" applyNumberFormat="1" applyFont="1" applyFill="1" applyBorder="1" applyAlignment="1">
      <alignment horizontal="center" vertical="center"/>
    </xf>
    <xf numFmtId="49" fontId="82" fillId="26" borderId="2" xfId="0" applyNumberFormat="1" applyFont="1" applyFill="1" applyBorder="1" applyAlignment="1">
      <alignment horizontal="center" vertical="center" wrapText="1"/>
    </xf>
    <xf numFmtId="0" fontId="79" fillId="19" borderId="11" xfId="0" applyFont="1" applyFill="1" applyBorder="1" applyAlignment="1">
      <alignment horizontal="center" vertical="center" wrapText="1"/>
    </xf>
    <xf numFmtId="0" fontId="79"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80" fillId="20" borderId="89" xfId="0" applyFont="1" applyFill="1" applyBorder="1" applyAlignment="1">
      <alignment horizontal="center" vertical="center"/>
    </xf>
    <xf numFmtId="0" fontId="80" fillId="20" borderId="85" xfId="0" applyFont="1" applyFill="1" applyBorder="1" applyAlignment="1">
      <alignment horizontal="center" vertical="center"/>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7" fontId="81" fillId="24" borderId="11" xfId="0" applyNumberFormat="1" applyFont="1" applyFill="1" applyBorder="1" applyAlignment="1">
      <alignment horizontal="center" vertical="center"/>
    </xf>
    <xf numFmtId="167" fontId="81" fillId="24" borderId="12" xfId="0" applyNumberFormat="1" applyFont="1" applyFill="1" applyBorder="1" applyAlignment="1">
      <alignment horizontal="center" vertical="center"/>
    </xf>
    <xf numFmtId="167" fontId="81" fillId="24" borderId="13" xfId="0" applyNumberFormat="1" applyFont="1" applyFill="1" applyBorder="1" applyAlignment="1">
      <alignment horizontal="center" vertical="center"/>
    </xf>
    <xf numFmtId="0" fontId="81" fillId="23" borderId="47" xfId="0" applyFont="1" applyFill="1" applyBorder="1" applyAlignment="1">
      <alignment horizontal="center" vertical="center" wrapText="1"/>
    </xf>
    <xf numFmtId="0" fontId="81" fillId="23" borderId="12" xfId="0" applyFont="1" applyFill="1" applyBorder="1" applyAlignment="1">
      <alignment horizontal="center" vertical="center" wrapText="1"/>
    </xf>
    <xf numFmtId="0" fontId="81" fillId="23" borderId="13" xfId="0" applyFont="1" applyFill="1" applyBorder="1" applyAlignment="1">
      <alignment horizontal="center" vertical="center" wrapText="1"/>
    </xf>
    <xf numFmtId="49" fontId="82" fillId="0" borderId="17" xfId="0" applyNumberFormat="1" applyFont="1" applyBorder="1" applyAlignment="1">
      <alignment horizontal="center" vertical="center"/>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8" fillId="0" borderId="0" xfId="0" applyFont="1" applyAlignment="1">
      <alignment horizontal="left" vertical="center" wrapText="1" indent="1"/>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35" fillId="0" borderId="0" xfId="0" applyFont="1" applyAlignment="1">
      <alignment horizontal="left" vertical="center" indent="3"/>
    </xf>
    <xf numFmtId="0" fontId="0" fillId="0" borderId="0" xfId="0" applyAlignment="1">
      <alignment horizontal="left"/>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47" fillId="0" borderId="4" xfId="0" applyFont="1" applyBorder="1" applyAlignment="1">
      <alignment horizontal="center"/>
    </xf>
    <xf numFmtId="0" fontId="12" fillId="0" borderId="9" xfId="0" applyFont="1" applyBorder="1" applyAlignment="1">
      <alignment horizontal="left" indent="3"/>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0" fontId="45" fillId="0" borderId="0" xfId="0" applyFont="1" applyAlignment="1">
      <alignment horizontal="center" vertical="center"/>
    </xf>
    <xf numFmtId="0" fontId="67" fillId="0" borderId="0" xfId="0" applyFont="1" applyAlignment="1">
      <alignment horizontal="center" vertical="center"/>
    </xf>
    <xf numFmtId="0" fontId="82" fillId="23" borderId="2" xfId="0" applyFont="1" applyFill="1" applyBorder="1" applyAlignment="1">
      <alignment horizontal="center" vertical="center"/>
    </xf>
    <xf numFmtId="0" fontId="70" fillId="0" borderId="2" xfId="0" applyFont="1" applyBorder="1" applyAlignment="1">
      <alignment horizontal="center" vertical="center"/>
    </xf>
    <xf numFmtId="167" fontId="82" fillId="24"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82" fillId="25" borderId="2" xfId="0" applyFont="1" applyFill="1" applyBorder="1" applyAlignment="1">
      <alignment horizontal="center" vertical="center" wrapText="1"/>
    </xf>
    <xf numFmtId="0" fontId="79" fillId="0" borderId="2" xfId="0" applyFont="1" applyBorder="1" applyAlignment="1">
      <alignment horizontal="center" vertical="center" wrapText="1"/>
    </xf>
    <xf numFmtId="0" fontId="82" fillId="26" borderId="2" xfId="0" applyFont="1" applyFill="1" applyBorder="1" applyAlignment="1">
      <alignment horizontal="center" vertical="center" wrapText="1"/>
    </xf>
    <xf numFmtId="0" fontId="82" fillId="22" borderId="2" xfId="0" applyFont="1" applyFill="1" applyBorder="1" applyAlignment="1">
      <alignment horizontal="center" vertical="center" wrapText="1"/>
    </xf>
    <xf numFmtId="0" fontId="82" fillId="21" borderId="2" xfId="0" applyFont="1" applyFill="1" applyBorder="1" applyAlignment="1">
      <alignment horizontal="center" vertical="center" wrapText="1"/>
    </xf>
    <xf numFmtId="0" fontId="79" fillId="0" borderId="18" xfId="0" applyFont="1" applyBorder="1" applyAlignment="1">
      <alignment horizontal="center" vertical="center" wrapText="1"/>
    </xf>
    <xf numFmtId="0" fontId="80" fillId="20" borderId="3" xfId="0" applyFont="1" applyFill="1" applyBorder="1" applyAlignment="1">
      <alignment horizontal="center" vertical="center" wrapText="1"/>
    </xf>
    <xf numFmtId="0" fontId="80" fillId="20" borderId="4" xfId="0" applyFont="1" applyFill="1" applyBorder="1" applyAlignment="1">
      <alignment horizontal="center" vertical="center" wrapText="1"/>
    </xf>
    <xf numFmtId="0" fontId="80" fillId="20" borderId="90" xfId="0" applyFont="1" applyFill="1" applyBorder="1" applyAlignment="1">
      <alignment horizontal="center" vertical="center" wrapText="1"/>
    </xf>
    <xf numFmtId="0" fontId="83" fillId="20" borderId="87" xfId="0" applyFont="1" applyFill="1" applyBorder="1" applyAlignment="1">
      <alignment horizontal="center" vertical="center" wrapText="1"/>
    </xf>
    <xf numFmtId="0" fontId="83" fillId="20" borderId="88" xfId="0" applyFont="1" applyFill="1" applyBorder="1" applyAlignment="1">
      <alignment horizontal="center" vertical="center" wrapText="1"/>
    </xf>
    <xf numFmtId="0" fontId="83"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66" fillId="0" borderId="0" xfId="0" applyFont="1" applyAlignment="1">
      <alignment horizontal="center" vertical="center"/>
    </xf>
    <xf numFmtId="0" fontId="69" fillId="0" borderId="0" xfId="0" applyFont="1" applyAlignment="1">
      <alignment horizontal="center" vertical="center" wrapText="1"/>
    </xf>
    <xf numFmtId="0" fontId="35" fillId="0" borderId="27" xfId="0" applyFont="1" applyBorder="1" applyAlignment="1">
      <alignment horizontal="center" vertical="center"/>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0" fontId="35" fillId="0" borderId="18" xfId="0" applyFont="1" applyBorder="1" applyAlignment="1">
      <alignment horizontal="center" vertical="center"/>
    </xf>
    <xf numFmtId="0" fontId="35" fillId="0" borderId="24" xfId="0" applyFont="1" applyBorder="1" applyAlignment="1">
      <alignment horizontal="center" vertical="center"/>
    </xf>
    <xf numFmtId="10" fontId="35" fillId="0" borderId="2" xfId="0" applyNumberFormat="1" applyFont="1" applyBorder="1" applyAlignment="1">
      <alignment horizontal="center" vertical="center"/>
    </xf>
    <xf numFmtId="10" fontId="35" fillId="0" borderId="27"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76" fillId="12" borderId="57" xfId="0" applyFont="1" applyFill="1" applyBorder="1" applyAlignment="1" applyProtection="1">
      <alignment horizontal="center" textRotation="90" wrapText="1"/>
      <protection locked="0"/>
    </xf>
    <xf numFmtId="0" fontId="76" fillId="14" borderId="83" xfId="0" applyFont="1" applyFill="1" applyBorder="1" applyAlignment="1" applyProtection="1">
      <alignment horizontal="center" textRotation="90" wrapText="1"/>
      <protection locked="0"/>
    </xf>
    <xf numFmtId="0" fontId="76" fillId="14" borderId="60" xfId="0" applyFont="1" applyFill="1" applyBorder="1" applyAlignment="1" applyProtection="1">
      <alignment horizontal="center" textRotation="90" wrapText="1"/>
      <protection locked="0"/>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8" fillId="0" borderId="9" xfId="0" applyFont="1" applyBorder="1" applyAlignment="1">
      <alignment horizontal="center"/>
    </xf>
    <xf numFmtId="0" fontId="76" fillId="14" borderId="58" xfId="0" applyFont="1" applyFill="1" applyBorder="1" applyAlignment="1" applyProtection="1">
      <alignment horizontal="center" textRotation="90" wrapText="1"/>
      <protection locked="0"/>
    </xf>
    <xf numFmtId="0" fontId="76" fillId="13" borderId="53" xfId="0" applyFont="1" applyFill="1" applyBorder="1" applyAlignment="1" applyProtection="1">
      <alignment horizontal="center" textRotation="90" wrapText="1"/>
      <protection locked="0"/>
    </xf>
    <xf numFmtId="0" fontId="76" fillId="13" borderId="28" xfId="0" applyFont="1" applyFill="1" applyBorder="1" applyAlignment="1" applyProtection="1">
      <alignment horizontal="center" textRotation="90" wrapText="1"/>
      <protection locked="0"/>
    </xf>
    <xf numFmtId="0" fontId="77" fillId="12" borderId="59" xfId="0" applyFont="1" applyFill="1" applyBorder="1" applyAlignment="1" applyProtection="1">
      <alignment horizontal="center" textRotation="90" wrapText="1"/>
      <protection locked="0"/>
    </xf>
    <xf numFmtId="0" fontId="77" fillId="12" borderId="84" xfId="0" applyFont="1" applyFill="1" applyBorder="1" applyAlignment="1" applyProtection="1">
      <alignment horizontal="center" textRotation="90" wrapText="1"/>
      <protection locked="0"/>
    </xf>
    <xf numFmtId="0" fontId="77" fillId="12" borderId="29" xfId="0" applyFont="1" applyFill="1" applyBorder="1" applyAlignment="1" applyProtection="1">
      <alignment horizontal="center" textRotation="90" wrapText="1"/>
      <protection locked="0"/>
    </xf>
    <xf numFmtId="0" fontId="76" fillId="12" borderId="58" xfId="0" applyFont="1" applyFill="1" applyBorder="1" applyAlignment="1" applyProtection="1">
      <alignment horizontal="center" textRotation="90" wrapText="1"/>
      <protection locked="0"/>
    </xf>
    <xf numFmtId="0" fontId="76" fillId="13" borderId="58" xfId="0" applyFont="1" applyFill="1" applyBorder="1" applyAlignment="1" applyProtection="1">
      <alignment horizontal="center" textRotation="90" wrapText="1"/>
      <protection locked="0"/>
    </xf>
    <xf numFmtId="0" fontId="67" fillId="13" borderId="58" xfId="0" applyFont="1" applyFill="1" applyBorder="1" applyAlignment="1" applyProtection="1">
      <alignment horizontal="center" textRotation="90" wrapText="1"/>
      <protection locked="0"/>
    </xf>
    <xf numFmtId="0" fontId="67" fillId="13" borderId="53" xfId="0" applyFont="1" applyFill="1" applyBorder="1" applyAlignment="1" applyProtection="1">
      <alignment horizontal="center" textRotation="90" wrapText="1"/>
      <protection locked="0"/>
    </xf>
    <xf numFmtId="0" fontId="67" fillId="13" borderId="28" xfId="0" applyFont="1" applyFill="1" applyBorder="1" applyAlignment="1" applyProtection="1">
      <alignment horizontal="center" textRotation="90" wrapText="1"/>
      <protection locked="0"/>
    </xf>
    <xf numFmtId="0" fontId="75" fillId="13"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67" fillId="14" borderId="58" xfId="0" applyFont="1" applyFill="1" applyBorder="1" applyAlignment="1" applyProtection="1">
      <alignment horizontal="center" textRotation="90" wrapText="1"/>
      <protection locked="0"/>
    </xf>
    <xf numFmtId="0" fontId="67" fillId="14" borderId="53" xfId="0" applyFont="1" applyFill="1" applyBorder="1" applyAlignment="1" applyProtection="1">
      <alignment horizontal="center" textRotation="90" wrapText="1"/>
      <protection locked="0"/>
    </xf>
    <xf numFmtId="0" fontId="67" fillId="14" borderId="28" xfId="0" applyFont="1" applyFill="1" applyBorder="1" applyAlignment="1" applyProtection="1">
      <alignment horizontal="center" textRotation="90" wrapText="1"/>
      <protection locked="0"/>
    </xf>
    <xf numFmtId="0" fontId="76" fillId="12" borderId="53" xfId="0" applyFont="1" applyFill="1" applyBorder="1" applyAlignment="1" applyProtection="1">
      <alignment horizontal="center" textRotation="90" wrapText="1"/>
      <protection locked="0"/>
    </xf>
    <xf numFmtId="0" fontId="76" fillId="12" borderId="28" xfId="0" applyFont="1" applyFill="1" applyBorder="1" applyAlignment="1" applyProtection="1">
      <alignment horizontal="center" textRotation="90" wrapText="1"/>
      <protection locked="0"/>
    </xf>
    <xf numFmtId="0" fontId="76" fillId="14" borderId="53" xfId="0" applyFont="1" applyFill="1" applyBorder="1" applyAlignment="1" applyProtection="1">
      <alignment horizontal="center" textRotation="90" wrapText="1"/>
      <protection locked="0"/>
    </xf>
    <xf numFmtId="0" fontId="76" fillId="14" borderId="28" xfId="0" applyFont="1" applyFill="1" applyBorder="1" applyAlignment="1" applyProtection="1">
      <alignment horizontal="center" textRotation="90" wrapText="1"/>
      <protection locked="0"/>
    </xf>
    <xf numFmtId="0" fontId="75" fillId="28" borderId="53" xfId="0" applyFont="1" applyFill="1" applyBorder="1" applyAlignment="1" applyProtection="1">
      <alignment horizontal="center" textRotation="90" wrapText="1"/>
      <protection locked="0"/>
    </xf>
    <xf numFmtId="0" fontId="75" fillId="28" borderId="28" xfId="0" applyFont="1" applyFill="1" applyBorder="1" applyAlignment="1" applyProtection="1">
      <alignment horizontal="center" textRotation="90" wrapText="1"/>
      <protection locked="0"/>
    </xf>
    <xf numFmtId="0" fontId="75" fillId="14" borderId="58" xfId="0" applyFont="1" applyFill="1" applyBorder="1" applyAlignment="1" applyProtection="1">
      <alignment horizontal="center" textRotation="90" wrapText="1"/>
      <protection locked="0"/>
    </xf>
    <xf numFmtId="0" fontId="76" fillId="2" borderId="53" xfId="0" applyFont="1" applyFill="1" applyBorder="1" applyAlignment="1" applyProtection="1">
      <alignment horizontal="center" textRotation="90" wrapText="1"/>
      <protection locked="0"/>
    </xf>
    <xf numFmtId="0" fontId="76" fillId="2" borderId="28" xfId="0" applyFont="1" applyFill="1" applyBorder="1" applyAlignment="1" applyProtection="1">
      <alignment horizontal="center" textRotation="90" wrapText="1"/>
      <protection locked="0"/>
    </xf>
    <xf numFmtId="16" fontId="76" fillId="12" borderId="58" xfId="0" applyNumberFormat="1" applyFont="1" applyFill="1" applyBorder="1" applyAlignment="1" applyProtection="1">
      <alignment horizontal="center" textRotation="90" wrapText="1"/>
      <protection locked="0"/>
    </xf>
    <xf numFmtId="16" fontId="76" fillId="13" borderId="53" xfId="0" applyNumberFormat="1" applyFont="1" applyFill="1" applyBorder="1" applyAlignment="1" applyProtection="1">
      <alignment horizontal="center" textRotation="90" wrapText="1"/>
      <protection locked="0"/>
    </xf>
    <xf numFmtId="16" fontId="76" fillId="13" borderId="28" xfId="0" applyNumberFormat="1" applyFont="1" applyFill="1" applyBorder="1" applyAlignment="1" applyProtection="1">
      <alignment horizontal="center" textRotation="90" wrapText="1"/>
      <protection locked="0"/>
    </xf>
    <xf numFmtId="0" fontId="47" fillId="0" borderId="9" xfId="0" applyFont="1" applyBorder="1" applyAlignment="1">
      <alignment horizontal="left" indent="1"/>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0" fillId="0" borderId="6"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0" fillId="0" borderId="7" xfId="0"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xf>
    <xf numFmtId="0" fontId="0" fillId="0" borderId="7" xfId="0" applyBorder="1" applyAlignment="1">
      <alignment horizontal="left" vertical="top"/>
    </xf>
    <xf numFmtId="0" fontId="49" fillId="0" borderId="78" xfId="10" applyFont="1" applyBorder="1" applyAlignment="1">
      <alignment horizontal="center" vertical="center"/>
    </xf>
    <xf numFmtId="0" fontId="49" fillId="0" borderId="81" xfId="10" applyFont="1" applyBorder="1" applyAlignment="1">
      <alignment horizontal="center" vertical="center"/>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3">
    <cellStyle name="Dziesiętny" xfId="1" builtinId="3"/>
    <cellStyle name="Dziesiętny 2" xfId="5" xr:uid="{00000000-0005-0000-0000-000001000000}"/>
    <cellStyle name="Dziesiętny 3" xfId="8" xr:uid="{00000000-0005-0000-0000-000002000000}"/>
    <cellStyle name="Neutralny" xfId="12" builtinId="28"/>
    <cellStyle name="Normalny"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rocentowy" xfId="2" builtinId="5"/>
    <cellStyle name="Procentowy 2" xfId="6" xr:uid="{00000000-0005-0000-0000-00000A000000}"/>
    <cellStyle name="Procentowy 3" xfId="9" xr:uid="{00000000-0005-0000-0000-00000B000000}"/>
    <cellStyle name="Procentowy 4" xfId="11" xr:uid="{00000000-0005-0000-0000-00000C000000}"/>
  </cellStyles>
  <dxfs count="61">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theme="0"/>
      </font>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177800</xdr:rowOff>
        </xdr:from>
        <xdr:to>
          <xdr:col>2</xdr:col>
          <xdr:colOff>12700</xdr:colOff>
          <xdr:row>9</xdr:row>
          <xdr:rowOff>139700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Calibri" pitchFamily="2" charset="0"/>
                  <a:cs typeface="Calibri" pitchFamily="2" charset="0"/>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31" t="str">
        <f ca="1">INDIRECT("T!"&amp;T!A1&amp;"75")</f>
        <v>1. Uruchom Makra. Uwaga! Jeżeli nie uruchomisz makr plik nie będzie działał prawidłowo.</v>
      </c>
      <c r="B1" s="532"/>
      <c r="C1" s="532"/>
      <c r="D1" s="532"/>
      <c r="E1" s="532"/>
      <c r="F1" s="532"/>
      <c r="G1" s="532"/>
      <c r="H1" s="532"/>
      <c r="I1" s="533"/>
    </row>
    <row r="2" spans="1:9">
      <c r="A2" s="534"/>
      <c r="B2" s="535"/>
      <c r="C2" s="535"/>
      <c r="D2" s="535"/>
      <c r="E2" s="535"/>
      <c r="F2" s="535"/>
      <c r="G2" s="535"/>
      <c r="H2" s="535"/>
      <c r="I2" s="536"/>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41" t="str">
        <f ca="1">INDIRECT("T!"&amp;T!A1&amp;"76")</f>
        <v>2. Edycja kalendarza pracy</v>
      </c>
      <c r="B8" s="542"/>
      <c r="C8" s="542"/>
      <c r="D8" s="542"/>
      <c r="E8" s="542"/>
      <c r="F8" s="542"/>
      <c r="G8" s="542"/>
      <c r="H8" s="542"/>
      <c r="I8" s="543"/>
    </row>
    <row r="9" spans="1:9" hidden="1">
      <c r="A9" s="52"/>
      <c r="I9" s="53"/>
    </row>
    <row r="10" spans="1:9" ht="15" hidden="1" customHeight="1">
      <c r="A10" s="537"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38"/>
      <c r="C10" s="538"/>
      <c r="D10" s="538"/>
      <c r="E10" s="538"/>
      <c r="I10" s="53"/>
    </row>
    <row r="11" spans="1:9" hidden="1">
      <c r="A11" s="537"/>
      <c r="B11" s="538"/>
      <c r="C11" s="538"/>
      <c r="D11" s="538"/>
      <c r="E11" s="538"/>
      <c r="I11" s="53"/>
    </row>
    <row r="12" spans="1:9" hidden="1">
      <c r="A12" s="537"/>
      <c r="B12" s="538"/>
      <c r="C12" s="538"/>
      <c r="D12" s="538"/>
      <c r="E12" s="538"/>
      <c r="I12" s="53"/>
    </row>
    <row r="13" spans="1:9" hidden="1">
      <c r="A13" s="537"/>
      <c r="B13" s="538"/>
      <c r="C13" s="538"/>
      <c r="D13" s="538"/>
      <c r="E13" s="538"/>
      <c r="I13" s="53"/>
    </row>
    <row r="14" spans="1:9" hidden="1">
      <c r="A14" s="537"/>
      <c r="B14" s="538"/>
      <c r="C14" s="538"/>
      <c r="D14" s="538"/>
      <c r="E14" s="538"/>
      <c r="I14" s="53"/>
    </row>
    <row r="15" spans="1:9" hidden="1">
      <c r="A15" s="537"/>
      <c r="B15" s="538"/>
      <c r="C15" s="538"/>
      <c r="D15" s="538"/>
      <c r="E15" s="538"/>
      <c r="I15" s="53"/>
    </row>
    <row r="16" spans="1:9" hidden="1">
      <c r="A16" s="537"/>
      <c r="B16" s="538"/>
      <c r="C16" s="538"/>
      <c r="D16" s="538"/>
      <c r="E16" s="538"/>
      <c r="I16" s="53"/>
    </row>
    <row r="17" spans="1:9" hidden="1">
      <c r="A17" s="537"/>
      <c r="B17" s="538"/>
      <c r="C17" s="538"/>
      <c r="D17" s="538"/>
      <c r="E17" s="538"/>
      <c r="I17" s="53"/>
    </row>
    <row r="18" spans="1:9" hidden="1">
      <c r="A18" s="537"/>
      <c r="B18" s="538"/>
      <c r="C18" s="538"/>
      <c r="D18" s="538"/>
      <c r="E18" s="538"/>
      <c r="I18" s="53"/>
    </row>
    <row r="19" spans="1:9" hidden="1">
      <c r="A19" s="537"/>
      <c r="B19" s="538"/>
      <c r="C19" s="538"/>
      <c r="D19" s="538"/>
      <c r="E19" s="538"/>
      <c r="I19" s="53"/>
    </row>
    <row r="20" spans="1:9" hidden="1">
      <c r="A20" s="537"/>
      <c r="B20" s="538"/>
      <c r="C20" s="538"/>
      <c r="D20" s="538"/>
      <c r="E20" s="538"/>
      <c r="I20" s="53"/>
    </row>
    <row r="21" spans="1:9" ht="15.75" hidden="1" thickBot="1">
      <c r="A21" s="539"/>
      <c r="B21" s="540"/>
      <c r="C21" s="540"/>
      <c r="D21" s="540"/>
      <c r="E21" s="540"/>
      <c r="F21" s="55"/>
      <c r="G21" s="55"/>
      <c r="H21" s="55"/>
      <c r="I21" s="56"/>
    </row>
    <row r="22" spans="1:9" ht="15.75" hidden="1" thickBot="1">
      <c r="A22" s="57"/>
      <c r="B22" s="57"/>
      <c r="C22" s="57"/>
      <c r="D22" s="57"/>
      <c r="E22" s="57"/>
    </row>
    <row r="23" spans="1:9">
      <c r="A23" s="544" t="str">
        <f ca="1">INDIRECT("T!"&amp;T!A1&amp;"78")</f>
        <v>2. Ustalanie nazw zmian</v>
      </c>
      <c r="B23" s="545"/>
      <c r="C23" s="545"/>
      <c r="D23" s="545"/>
      <c r="E23" s="545"/>
      <c r="F23" s="545"/>
      <c r="G23" s="545"/>
      <c r="H23" s="545"/>
      <c r="I23" s="546"/>
    </row>
    <row r="24" spans="1:9">
      <c r="A24" s="537" t="str">
        <f ca="1">INDIRECT("T!"&amp;T!A1&amp;"79")</f>
        <v>W panelu administratora możesz zmienić nazwy zmian. Jako administrator powinieneś ustalić ich nazwy jednakowe dla całego regionu.</v>
      </c>
      <c r="B24" s="538"/>
      <c r="C24" s="538"/>
      <c r="D24" s="538"/>
      <c r="E24" s="538"/>
      <c r="I24" s="53"/>
    </row>
    <row r="25" spans="1:9">
      <c r="A25" s="537"/>
      <c r="B25" s="538"/>
      <c r="C25" s="538"/>
      <c r="D25" s="538"/>
      <c r="E25" s="538"/>
      <c r="I25" s="53"/>
    </row>
    <row r="26" spans="1:9">
      <c r="A26" s="537"/>
      <c r="B26" s="538"/>
      <c r="C26" s="538"/>
      <c r="D26" s="538"/>
      <c r="E26" s="538"/>
      <c r="I26" s="53"/>
    </row>
    <row r="27" spans="1:9">
      <c r="A27" s="537"/>
      <c r="B27" s="538"/>
      <c r="C27" s="538"/>
      <c r="D27" s="538"/>
      <c r="E27" s="538"/>
      <c r="I27" s="53"/>
    </row>
    <row r="28" spans="1:9">
      <c r="A28" s="537"/>
      <c r="B28" s="538"/>
      <c r="C28" s="538"/>
      <c r="D28" s="538"/>
      <c r="E28" s="538"/>
      <c r="I28" s="53"/>
    </row>
    <row r="29" spans="1:9">
      <c r="A29" s="537"/>
      <c r="B29" s="538"/>
      <c r="C29" s="538"/>
      <c r="D29" s="538"/>
      <c r="E29" s="538"/>
      <c r="I29" s="53"/>
    </row>
    <row r="30" spans="1:9">
      <c r="A30" s="537"/>
      <c r="B30" s="538"/>
      <c r="C30" s="538"/>
      <c r="D30" s="538"/>
      <c r="E30" s="538"/>
      <c r="I30" s="53"/>
    </row>
    <row r="31" spans="1:9" ht="15.75" thickBot="1">
      <c r="A31" s="54"/>
      <c r="B31" s="55"/>
      <c r="C31" s="55"/>
      <c r="D31" s="55"/>
      <c r="E31" s="55"/>
      <c r="F31" s="55"/>
      <c r="G31" s="55"/>
      <c r="H31" s="55"/>
      <c r="I31" s="56"/>
    </row>
    <row r="32" spans="1:9" ht="15.75" thickBot="1"/>
    <row r="33" spans="1:9">
      <c r="A33" s="541" t="str">
        <f ca="1">INDIRECT("T!"&amp;T!A1&amp;"81")</f>
        <v>3. Wprowadź nazwę kawiarni</v>
      </c>
      <c r="B33" s="542"/>
      <c r="C33" s="542"/>
      <c r="D33" s="542"/>
      <c r="E33" s="542"/>
      <c r="F33" s="542"/>
      <c r="G33" s="542"/>
      <c r="H33" s="542"/>
      <c r="I33" s="543"/>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41" t="str">
        <f ca="1">INDIRECT("T!"&amp;T!A1&amp;"82")</f>
        <v>4. Wybierz pierwszy miesiąc</v>
      </c>
      <c r="B47" s="542"/>
      <c r="C47" s="542"/>
      <c r="D47" s="542"/>
      <c r="E47" s="542"/>
      <c r="F47" s="542"/>
      <c r="G47" s="542"/>
      <c r="H47" s="542"/>
      <c r="I47" s="543"/>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41" t="str">
        <f ca="1">INDIRECT("T!"&amp;T!A1&amp;"83")</f>
        <v>5. Wprowadź imiona, pozycje i etaty managerów</v>
      </c>
      <c r="B59" s="542"/>
      <c r="C59" s="542"/>
      <c r="D59" s="542"/>
      <c r="E59" s="542"/>
      <c r="F59" s="542"/>
      <c r="G59" s="542"/>
      <c r="H59" s="542"/>
      <c r="I59" s="543"/>
    </row>
    <row r="60" spans="1:9">
      <c r="A60" s="52"/>
      <c r="I60" s="53"/>
    </row>
    <row r="61" spans="1:9">
      <c r="A61" s="52"/>
      <c r="I61" s="53"/>
    </row>
    <row r="62" spans="1:9">
      <c r="A62" s="52"/>
      <c r="F62" s="549"/>
      <c r="G62" s="549"/>
      <c r="H62" s="549"/>
      <c r="I62" s="550"/>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41" t="str">
        <f ca="1">INDIRECT("T!"&amp;T!A1&amp;"85")</f>
        <v>6. Ustaw czas trwania zmian oraz pół-godzinne przerwy</v>
      </c>
      <c r="B71" s="542"/>
      <c r="C71" s="542"/>
      <c r="D71" s="542"/>
      <c r="E71" s="542"/>
      <c r="F71" s="542"/>
      <c r="G71" s="542"/>
      <c r="H71" s="542"/>
      <c r="I71" s="543"/>
    </row>
    <row r="72" spans="1:9">
      <c r="A72" s="52"/>
      <c r="I72" s="53"/>
    </row>
    <row r="73" spans="1:9">
      <c r="A73" s="537"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38"/>
      <c r="C73" s="538"/>
      <c r="D73" s="538"/>
      <c r="I73" s="53"/>
    </row>
    <row r="74" spans="1:9">
      <c r="A74" s="537"/>
      <c r="B74" s="538"/>
      <c r="C74" s="538"/>
      <c r="D74" s="538"/>
      <c r="I74" s="53"/>
    </row>
    <row r="75" spans="1:9">
      <c r="A75" s="537"/>
      <c r="B75" s="538"/>
      <c r="C75" s="538"/>
      <c r="D75" s="538"/>
      <c r="I75" s="53"/>
    </row>
    <row r="76" spans="1:9">
      <c r="A76" s="537"/>
      <c r="B76" s="538"/>
      <c r="C76" s="538"/>
      <c r="D76" s="538"/>
      <c r="I76" s="53"/>
    </row>
    <row r="77" spans="1:9">
      <c r="A77" s="537"/>
      <c r="B77" s="538"/>
      <c r="C77" s="538"/>
      <c r="D77" s="538"/>
      <c r="I77" s="53"/>
    </row>
    <row r="78" spans="1:9">
      <c r="A78" s="537"/>
      <c r="B78" s="538"/>
      <c r="C78" s="538"/>
      <c r="D78" s="538"/>
      <c r="I78" s="53"/>
    </row>
    <row r="79" spans="1:9">
      <c r="A79" s="537"/>
      <c r="B79" s="538"/>
      <c r="C79" s="538"/>
      <c r="D79" s="538"/>
      <c r="I79" s="53"/>
    </row>
    <row r="80" spans="1:9">
      <c r="A80" s="537"/>
      <c r="B80" s="538"/>
      <c r="C80" s="538"/>
      <c r="D80" s="538"/>
      <c r="I80" s="53"/>
    </row>
    <row r="81" spans="1:9">
      <c r="A81" s="537"/>
      <c r="B81" s="538"/>
      <c r="C81" s="538"/>
      <c r="D81" s="538"/>
      <c r="I81" s="53"/>
    </row>
    <row r="82" spans="1:9">
      <c r="A82" s="537"/>
      <c r="B82" s="538"/>
      <c r="C82" s="538"/>
      <c r="D82" s="538"/>
      <c r="I82" s="53"/>
    </row>
    <row r="83" spans="1:9">
      <c r="A83" s="537"/>
      <c r="B83" s="538"/>
      <c r="C83" s="538"/>
      <c r="D83" s="538"/>
      <c r="I83" s="53"/>
    </row>
    <row r="84" spans="1:9">
      <c r="A84" s="537"/>
      <c r="B84" s="538"/>
      <c r="C84" s="538"/>
      <c r="D84" s="538"/>
      <c r="I84" s="53"/>
    </row>
    <row r="85" spans="1:9">
      <c r="A85" s="537"/>
      <c r="B85" s="538"/>
      <c r="C85" s="538"/>
      <c r="D85" s="538"/>
      <c r="I85" s="53"/>
    </row>
    <row r="86" spans="1:9">
      <c r="A86" s="537"/>
      <c r="B86" s="538"/>
      <c r="C86" s="538"/>
      <c r="D86" s="538"/>
      <c r="I86" s="53"/>
    </row>
    <row r="87" spans="1:9">
      <c r="A87" s="537"/>
      <c r="B87" s="538"/>
      <c r="C87" s="538"/>
      <c r="D87" s="538"/>
      <c r="I87" s="53"/>
    </row>
    <row r="88" spans="1:9">
      <c r="A88" s="537"/>
      <c r="B88" s="538"/>
      <c r="C88" s="538"/>
      <c r="D88" s="538"/>
      <c r="I88" s="53"/>
    </row>
    <row r="89" spans="1:9">
      <c r="A89" s="537"/>
      <c r="B89" s="538"/>
      <c r="C89" s="538"/>
      <c r="D89" s="538"/>
      <c r="I89" s="53"/>
    </row>
    <row r="90" spans="1:9" ht="15.75" thickBot="1">
      <c r="A90" s="54"/>
      <c r="B90" s="55"/>
      <c r="C90" s="55"/>
      <c r="D90" s="55"/>
      <c r="E90" s="55"/>
      <c r="F90" s="55"/>
      <c r="G90" s="55"/>
      <c r="H90" s="55"/>
      <c r="I90" s="56"/>
    </row>
    <row r="93" spans="1:9" hidden="1">
      <c r="A93" s="541" t="str">
        <f ca="1">INDIRECT("T!"&amp;T!A1&amp;"87")</f>
        <v>8. Urlopy</v>
      </c>
      <c r="B93" s="542"/>
      <c r="C93" s="542"/>
      <c r="D93" s="542"/>
      <c r="E93" s="542"/>
      <c r="F93" s="542"/>
      <c r="G93" s="542"/>
      <c r="H93" s="542"/>
      <c r="I93" s="543"/>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37" t="str">
        <f ca="1">INDIRECT("T!"&amp;T!A1&amp;"88")</f>
        <v>W tym miejscu możesz ustalić ogólną ilość dni urlopowych dla każdego managera, oraz zobaczyć jaka ilość urlopów jest zaplanowana oraz odebrana.</v>
      </c>
      <c r="B106" s="538"/>
      <c r="C106" s="538"/>
      <c r="D106" s="538"/>
      <c r="E106" s="538"/>
      <c r="F106" s="538"/>
      <c r="G106" s="538"/>
      <c r="H106" s="538"/>
      <c r="I106" s="547"/>
    </row>
    <row r="107" spans="1:9" hidden="1">
      <c r="A107" s="537"/>
      <c r="B107" s="538"/>
      <c r="C107" s="538"/>
      <c r="D107" s="538"/>
      <c r="E107" s="538"/>
      <c r="F107" s="538"/>
      <c r="G107" s="538"/>
      <c r="H107" s="538"/>
      <c r="I107" s="547"/>
    </row>
    <row r="108" spans="1:9" ht="15.75" hidden="1" thickBot="1">
      <c r="A108" s="539"/>
      <c r="B108" s="540"/>
      <c r="C108" s="540"/>
      <c r="D108" s="540"/>
      <c r="E108" s="540"/>
      <c r="F108" s="540"/>
      <c r="G108" s="540"/>
      <c r="H108" s="540"/>
      <c r="I108" s="548"/>
    </row>
    <row r="109" spans="1:9" ht="15.75" thickBot="1"/>
    <row r="110" spans="1:9">
      <c r="A110" s="541" t="str">
        <f ca="1">INDIRECT("T!"&amp;T!A1&amp;"89")</f>
        <v>7. Układanie grafiku</v>
      </c>
      <c r="B110" s="542"/>
      <c r="C110" s="542"/>
      <c r="D110" s="542"/>
      <c r="E110" s="542"/>
      <c r="F110" s="542"/>
      <c r="G110" s="542"/>
      <c r="H110" s="542"/>
      <c r="I110" s="543"/>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37"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38"/>
      <c r="C119" s="538"/>
      <c r="D119" s="538"/>
      <c r="E119" s="538"/>
      <c r="F119" s="538"/>
      <c r="G119" s="538"/>
      <c r="H119" s="538"/>
      <c r="I119" s="547"/>
    </row>
    <row r="120" spans="1:9">
      <c r="A120" s="537"/>
      <c r="B120" s="538"/>
      <c r="C120" s="538"/>
      <c r="D120" s="538"/>
      <c r="E120" s="538"/>
      <c r="F120" s="538"/>
      <c r="G120" s="538"/>
      <c r="H120" s="538"/>
      <c r="I120" s="547"/>
    </row>
    <row r="121" spans="1:9" ht="15.75" thickBot="1">
      <c r="A121" s="539"/>
      <c r="B121" s="540"/>
      <c r="C121" s="540"/>
      <c r="D121" s="540"/>
      <c r="E121" s="540"/>
      <c r="F121" s="540"/>
      <c r="G121" s="540"/>
      <c r="H121" s="540"/>
      <c r="I121" s="548"/>
    </row>
    <row r="122" spans="1:9"/>
    <row r="123" spans="1:9" hidden="1">
      <c r="A123" s="541" t="str">
        <f ca="1">INDIRECT("T!"&amp;T!A1&amp;"91")</f>
        <v>10. Planowanie urlopów</v>
      </c>
      <c r="B123" s="542"/>
      <c r="C123" s="542"/>
      <c r="D123" s="542"/>
      <c r="E123" s="542"/>
      <c r="F123" s="542"/>
      <c r="G123" s="542"/>
      <c r="H123" s="542"/>
      <c r="I123" s="543"/>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37" t="str">
        <f ca="1">INDIRECT("T!"&amp;T!A1&amp;"92")</f>
        <v>W zakładce "Holidays" możesz zaplanować urlopy dla każdego managera. Kiedy w zakładce "Schedule" zaczniesz planować grafik na następny miesiąc, wcześniej zaplanowany grafik pojawi się automatycznie w arkuszu "Schedules"</v>
      </c>
      <c r="B133" s="538"/>
      <c r="C133" s="538"/>
      <c r="D133" s="538"/>
      <c r="E133" s="538"/>
      <c r="F133" s="538"/>
      <c r="G133" s="538"/>
      <c r="H133" s="538"/>
      <c r="I133" s="547"/>
    </row>
    <row r="134" spans="1:9" hidden="1">
      <c r="A134" s="537"/>
      <c r="B134" s="538"/>
      <c r="C134" s="538"/>
      <c r="D134" s="538"/>
      <c r="E134" s="538"/>
      <c r="F134" s="538"/>
      <c r="G134" s="538"/>
      <c r="H134" s="538"/>
      <c r="I134" s="547"/>
    </row>
    <row r="135" spans="1:9" hidden="1">
      <c r="A135" s="537"/>
      <c r="B135" s="538"/>
      <c r="C135" s="538"/>
      <c r="D135" s="538"/>
      <c r="E135" s="538"/>
      <c r="F135" s="538"/>
      <c r="G135" s="538"/>
      <c r="H135" s="538"/>
      <c r="I135" s="547"/>
    </row>
    <row r="136" spans="1:9" hidden="1">
      <c r="A136" s="537"/>
      <c r="B136" s="538"/>
      <c r="C136" s="538"/>
      <c r="D136" s="538"/>
      <c r="E136" s="538"/>
      <c r="F136" s="538"/>
      <c r="G136" s="538"/>
      <c r="H136" s="538"/>
      <c r="I136" s="547"/>
    </row>
    <row r="137" spans="1:9" hidden="1">
      <c r="A137" s="537"/>
      <c r="B137" s="538"/>
      <c r="C137" s="538"/>
      <c r="D137" s="538"/>
      <c r="E137" s="538"/>
      <c r="F137" s="538"/>
      <c r="G137" s="538"/>
      <c r="H137" s="538"/>
      <c r="I137" s="547"/>
    </row>
    <row r="138" spans="1:9" ht="15.75" hidden="1" thickBot="1">
      <c r="A138" s="539"/>
      <c r="B138" s="540"/>
      <c r="C138" s="540"/>
      <c r="D138" s="540"/>
      <c r="E138" s="540"/>
      <c r="F138" s="540"/>
      <c r="G138" s="540"/>
      <c r="H138" s="540"/>
      <c r="I138" s="548"/>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33:I138"/>
    <mergeCell ref="A33:I33"/>
    <mergeCell ref="A47:I47"/>
    <mergeCell ref="A59:I59"/>
    <mergeCell ref="F62:I62"/>
    <mergeCell ref="A71:I71"/>
    <mergeCell ref="A73:D89"/>
    <mergeCell ref="A93:I93"/>
    <mergeCell ref="A106:I108"/>
    <mergeCell ref="A110:I110"/>
    <mergeCell ref="A119:I121"/>
    <mergeCell ref="A123:I123"/>
    <mergeCell ref="A1:I2"/>
    <mergeCell ref="A10:E21"/>
    <mergeCell ref="A8:I8"/>
    <mergeCell ref="A23:I23"/>
    <mergeCell ref="A24:E30"/>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AH1" zoomScale="80" zoomScaleNormal="80" workbookViewId="0">
      <selection activeCell="Y22" sqref="Y22"/>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412" t="str">
        <f ca="1">INDIRECT("T!"&amp;T!A1&amp;"5")</f>
        <v>Grafik Managerski</v>
      </c>
      <c r="B1" s="412"/>
      <c r="C1" s="412"/>
      <c r="D1" s="412"/>
      <c r="E1" s="412"/>
      <c r="F1" s="412"/>
      <c r="G1" s="412"/>
      <c r="H1" s="412"/>
      <c r="I1" s="412"/>
      <c r="J1" s="412"/>
    </row>
    <row r="2" spans="1:81" ht="14.1" customHeight="1" thickBot="1">
      <c r="A2" s="413"/>
      <c r="B2" s="413"/>
      <c r="C2" s="413"/>
      <c r="D2" s="413"/>
      <c r="E2" s="413"/>
      <c r="F2" s="413"/>
      <c r="G2" s="413"/>
      <c r="H2" s="413"/>
      <c r="I2" s="413"/>
      <c r="J2" s="413"/>
    </row>
    <row r="3" spans="1:81" ht="18" customHeight="1" thickBot="1">
      <c r="A3" s="414" t="str">
        <f ca="1">INDIRECT("T!"&amp;T!A1&amp;"6")</f>
        <v>Wybierz Miesiąc</v>
      </c>
      <c r="B3" s="415"/>
      <c r="C3" s="415"/>
      <c r="D3" s="415"/>
      <c r="E3" s="415"/>
      <c r="F3" s="415"/>
      <c r="G3" s="415"/>
      <c r="H3" s="415"/>
      <c r="I3" s="415"/>
      <c r="J3" s="416"/>
      <c r="L3" s="449" t="str">
        <f ca="1">INDIRECT("T!"&amp;T!A1&amp;"60")</f>
        <v>Ilość Godzin</v>
      </c>
      <c r="M3" s="450"/>
      <c r="N3" s="450"/>
      <c r="O3" s="450"/>
      <c r="P3" s="451" t="str">
        <f ca="1">IF(V!AH15=1,Calendar!F3,IF(V!AH15=2,Calendar!F4,IF(V!AH15=3,Calendar!F5,IF(V!AH15=4,Calendar!F6,IF(V!AH15=5,Calendar!F7,IF(V!AH15=6,Calendar!F8,IF(V!AH15=7,Calendar!F9,IF(V!AH15=8,Calendar!F10,IF(V!AH15=9,Calendar!F11,IF(V!AH15=10,Calendar!F12,IF(V!AH15=11,Calendar!F13,IF(V!AH15=12,Calendar!F14,0)))))))))))) &amp; " h"</f>
        <v>160 h</v>
      </c>
      <c r="Q3" s="452"/>
      <c r="S3" s="459" t="str">
        <f ca="1">INDIRECT("T!"&amp;T!A1&amp;"80")</f>
        <v>Nazwa kawiarni:</v>
      </c>
      <c r="T3" s="459"/>
      <c r="U3" s="459"/>
      <c r="V3" s="460"/>
      <c r="W3" s="461">
        <v>108120</v>
      </c>
      <c r="X3" s="462"/>
      <c r="Y3" s="462"/>
      <c r="Z3" s="462"/>
      <c r="AA3" s="462"/>
      <c r="AB3" s="462"/>
      <c r="AC3" s="462"/>
      <c r="AD3" s="462"/>
      <c r="AE3" s="462"/>
      <c r="AF3" s="463"/>
    </row>
    <row r="4" spans="1:81" ht="18" customHeight="1" thickBot="1">
      <c r="A4" s="417" t="s">
        <v>0</v>
      </c>
      <c r="B4" s="418"/>
      <c r="C4" s="418"/>
      <c r="D4" s="418"/>
      <c r="E4" s="418"/>
      <c r="F4" s="418"/>
      <c r="G4" s="418"/>
      <c r="H4" s="418"/>
      <c r="I4" s="418"/>
      <c r="J4" s="419"/>
      <c r="L4" s="449" t="str">
        <f ca="1">INDIRECT("T!"&amp;T!A1&amp;"61")</f>
        <v>Dni Robocze</v>
      </c>
      <c r="M4" s="450"/>
      <c r="N4" s="450"/>
      <c r="O4" s="450"/>
      <c r="P4" s="451">
        <f ca="1">IF(V!AH15=1,Calendar!D3,IF(V!AH15=2,Calendar!D4,IF(V!AH15=3,Calendar!D5,IF(V!AH15=4,Calendar!D6,IF(V!AH15=5,Calendar!D7,IF(V!AH15=6,Calendar!D8,IF(V!AH15=7,Calendar!D9,IF(V!AH15=8,Calendar!D10,IF(V!AH15=9,Calendar!D11,IF(V!AH15=10,Calendar!D12,IF(V!AH15=11,Calendar!D13,IF(V!AH15=12,Calendar!D14,0))))))))))))</f>
        <v>20</v>
      </c>
      <c r="Q4" s="452"/>
      <c r="S4" s="459"/>
      <c r="T4" s="459"/>
      <c r="U4" s="459"/>
      <c r="V4" s="460"/>
      <c r="W4" s="464"/>
      <c r="X4" s="465"/>
      <c r="Y4" s="465"/>
      <c r="Z4" s="465"/>
      <c r="AA4" s="465"/>
      <c r="AB4" s="465"/>
      <c r="AC4" s="465"/>
      <c r="AD4" s="465"/>
      <c r="AE4" s="465"/>
      <c r="AF4" s="466"/>
    </row>
    <row r="5" spans="1:81" ht="18" customHeight="1" thickBot="1">
      <c r="A5" s="420"/>
      <c r="B5" s="421"/>
      <c r="C5" s="421"/>
      <c r="D5" s="421"/>
      <c r="E5" s="421"/>
      <c r="F5" s="421"/>
      <c r="G5" s="421"/>
      <c r="H5" s="421"/>
      <c r="I5" s="421"/>
      <c r="J5" s="422"/>
      <c r="L5" s="449" t="str">
        <f ca="1">INDIRECT("T!"&amp;T!A1&amp;"62")</f>
        <v>Ilość dni wolnych</v>
      </c>
      <c r="M5" s="450"/>
      <c r="N5" s="450"/>
      <c r="O5" s="450"/>
      <c r="P5" s="451">
        <f ca="1">IF(V!AH15=1,Calendar!E3,IF(V!AH15=2,Calendar!E4,IF(V!AH15=3,Calendar!E5,IF(V!AH15=4,Calendar!E6,IF(V!AH15=5,Calendar!E7,IF(V!AH15=6,Calendar!E8,IF(V!AH15=7,Calendar!E9,IF(V!AH15=8,Calendar!E10,IF(V!AH15=9,Calendar!E11,IF(V!AH15=10,Calendar!E12,IF(V!AH15=11,Calendar!E13,IF(V!AH15=12,Calendar!E14,0))))))))))))</f>
        <v>11</v>
      </c>
      <c r="Q5" s="452"/>
    </row>
    <row r="6" spans="1:81" ht="18.75" hidden="1" customHeight="1">
      <c r="A6" s="65">
        <f ca="1">IF(A4=Lists!F1,1,IF(A4=Lists!F2,2,IF(A4=Lists!F3,3,IF(A4=Lists!F4,4,IF(A4=Lists!F5,5,IF(A4=Lists!F6,6,IF(A4=Lists!F7,7,IF(A4=Lists!F8,8,IF(A4=Lists!F9,9,IF(A4=Lists!F10,10,IF(A4=Lists!F11,11,IF(A4=Lists!F12,12,0))))))))))))</f>
        <v>5</v>
      </c>
      <c r="B6" s="147">
        <f>COUNTA(C15:G24)</f>
        <v>8</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429" t="s">
        <v>2</v>
      </c>
      <c r="I7" s="429"/>
      <c r="J7" s="429"/>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429" t="s">
        <v>3</v>
      </c>
      <c r="I8" s="429"/>
      <c r="J8" s="429"/>
      <c r="K8" s="18">
        <f ca="1">K9</f>
        <v>46143</v>
      </c>
      <c r="L8" s="18">
        <f t="shared" ref="L8:AN8" ca="1" si="0">L9</f>
        <v>46144</v>
      </c>
      <c r="M8" s="18">
        <f t="shared" ca="1" si="0"/>
        <v>46145</v>
      </c>
      <c r="N8" s="18">
        <f t="shared" ca="1" si="0"/>
        <v>46146</v>
      </c>
      <c r="O8" s="18">
        <f t="shared" ca="1" si="0"/>
        <v>46147</v>
      </c>
      <c r="P8" s="18">
        <f t="shared" ca="1" si="0"/>
        <v>46148</v>
      </c>
      <c r="Q8" s="18">
        <f t="shared" ca="1" si="0"/>
        <v>46149</v>
      </c>
      <c r="R8" s="18">
        <f t="shared" ca="1" si="0"/>
        <v>46150</v>
      </c>
      <c r="S8" s="18">
        <f t="shared" ca="1" si="0"/>
        <v>46151</v>
      </c>
      <c r="T8" s="18">
        <f t="shared" ca="1" si="0"/>
        <v>46152</v>
      </c>
      <c r="U8" s="18">
        <f t="shared" ca="1" si="0"/>
        <v>46153</v>
      </c>
      <c r="V8" s="18">
        <f t="shared" ca="1" si="0"/>
        <v>46154</v>
      </c>
      <c r="W8" s="18">
        <f t="shared" ca="1" si="0"/>
        <v>46155</v>
      </c>
      <c r="X8" s="18">
        <f t="shared" ca="1" si="0"/>
        <v>46156</v>
      </c>
      <c r="Y8" s="18">
        <f t="shared" ca="1" si="0"/>
        <v>46157</v>
      </c>
      <c r="Z8" s="18">
        <f t="shared" ca="1" si="0"/>
        <v>46158</v>
      </c>
      <c r="AA8" s="18">
        <f t="shared" ca="1" si="0"/>
        <v>46159</v>
      </c>
      <c r="AB8" s="18">
        <f t="shared" ca="1" si="0"/>
        <v>46160</v>
      </c>
      <c r="AC8" s="18">
        <f t="shared" ca="1" si="0"/>
        <v>46161</v>
      </c>
      <c r="AD8" s="18">
        <f t="shared" ca="1" si="0"/>
        <v>46162</v>
      </c>
      <c r="AE8" s="18">
        <f t="shared" ca="1" si="0"/>
        <v>46163</v>
      </c>
      <c r="AF8" s="18">
        <f t="shared" ca="1" si="0"/>
        <v>46164</v>
      </c>
      <c r="AG8" s="18">
        <f t="shared" ca="1" si="0"/>
        <v>46165</v>
      </c>
      <c r="AH8" s="18">
        <f t="shared" ca="1" si="0"/>
        <v>46166</v>
      </c>
      <c r="AI8" s="18">
        <f t="shared" ca="1" si="0"/>
        <v>46167</v>
      </c>
      <c r="AJ8" s="18">
        <f t="shared" ca="1" si="0"/>
        <v>46168</v>
      </c>
      <c r="AK8" s="18">
        <f t="shared" ca="1" si="0"/>
        <v>46169</v>
      </c>
      <c r="AL8" s="18">
        <f t="shared" ca="1" si="0"/>
        <v>46170</v>
      </c>
      <c r="AM8" s="18">
        <f t="shared" ca="1" si="0"/>
        <v>46171</v>
      </c>
      <c r="AN8" s="18">
        <f t="shared" ca="1" si="0"/>
        <v>46172</v>
      </c>
      <c r="AO8" s="18">
        <f ca="1">AO9</f>
        <v>46173</v>
      </c>
    </row>
    <row r="9" spans="1:81" ht="57.75" hidden="1" customHeight="1">
      <c r="H9" s="429" t="s">
        <v>4</v>
      </c>
      <c r="I9" s="429"/>
      <c r="J9" s="429"/>
      <c r="K9" s="13">
        <f ca="1">IF(YK!E3=1,YK!D3,IF(YK!E3=2,YK!D4,IF(YK!E3=3,YK!D5,IF(YK!E3=4,YK!D6,IF(YK!E3=5,YK!D7,IF(YK!E3=6,YK!D8,IF(YK!E3=7,YK!D9,IF(YK!E3=8,YK!D10,IF(YK!E3=9,YK!D11,IF(YK!E3=10,YK!D12,IF(YK!E3=11,YK!D13,IF(YK!E3=12,YK!D14,0))))))))))))</f>
        <v>46143</v>
      </c>
      <c r="L9" s="13">
        <f ca="1">K9+1</f>
        <v>46144</v>
      </c>
      <c r="M9" s="13">
        <f t="shared" ref="M9:AJ9" ca="1" si="1">L9+1</f>
        <v>46145</v>
      </c>
      <c r="N9" s="13">
        <f t="shared" ca="1" si="1"/>
        <v>46146</v>
      </c>
      <c r="O9" s="13">
        <f t="shared" ca="1" si="1"/>
        <v>46147</v>
      </c>
      <c r="P9" s="13">
        <f t="shared" ca="1" si="1"/>
        <v>46148</v>
      </c>
      <c r="Q9" s="13">
        <f t="shared" ca="1" si="1"/>
        <v>46149</v>
      </c>
      <c r="R9" s="13">
        <f t="shared" ca="1" si="1"/>
        <v>46150</v>
      </c>
      <c r="S9" s="13">
        <f t="shared" ca="1" si="1"/>
        <v>46151</v>
      </c>
      <c r="T9" s="13">
        <f t="shared" ca="1" si="1"/>
        <v>46152</v>
      </c>
      <c r="U9" s="13">
        <f t="shared" ca="1" si="1"/>
        <v>46153</v>
      </c>
      <c r="V9" s="13">
        <f t="shared" ca="1" si="1"/>
        <v>46154</v>
      </c>
      <c r="W9" s="13">
        <f t="shared" ca="1" si="1"/>
        <v>46155</v>
      </c>
      <c r="X9" s="13">
        <f t="shared" ca="1" si="1"/>
        <v>46156</v>
      </c>
      <c r="Y9" s="13">
        <f t="shared" ca="1" si="1"/>
        <v>46157</v>
      </c>
      <c r="Z9" s="13">
        <f t="shared" ca="1" si="1"/>
        <v>46158</v>
      </c>
      <c r="AA9" s="13">
        <f t="shared" ca="1" si="1"/>
        <v>46159</v>
      </c>
      <c r="AB9" s="13">
        <f t="shared" ca="1" si="1"/>
        <v>46160</v>
      </c>
      <c r="AC9" s="13">
        <f t="shared" ca="1" si="1"/>
        <v>46161</v>
      </c>
      <c r="AD9" s="13">
        <f t="shared" ca="1" si="1"/>
        <v>46162</v>
      </c>
      <c r="AE9" s="13">
        <f t="shared" ca="1" si="1"/>
        <v>46163</v>
      </c>
      <c r="AF9" s="13">
        <f t="shared" ca="1" si="1"/>
        <v>46164</v>
      </c>
      <c r="AG9" s="13">
        <f t="shared" ca="1" si="1"/>
        <v>46165</v>
      </c>
      <c r="AH9" s="13">
        <f t="shared" ca="1" si="1"/>
        <v>46166</v>
      </c>
      <c r="AI9" s="13">
        <f t="shared" ca="1" si="1"/>
        <v>46167</v>
      </c>
      <c r="AJ9" s="13">
        <f t="shared" ca="1" si="1"/>
        <v>46168</v>
      </c>
      <c r="AK9" s="13">
        <f ca="1">AJ9+1</f>
        <v>46169</v>
      </c>
      <c r="AL9" s="13">
        <f ca="1">AK9+1</f>
        <v>46170</v>
      </c>
      <c r="AM9" s="13">
        <f ca="1">AL9+1</f>
        <v>46171</v>
      </c>
      <c r="AN9" s="13">
        <f ca="1">AM9+1</f>
        <v>46172</v>
      </c>
      <c r="AO9" s="13">
        <f ca="1">AN9+1</f>
        <v>46173</v>
      </c>
    </row>
    <row r="10" spans="1:81" ht="13.5" hidden="1" customHeight="1">
      <c r="K10" s="9">
        <f ca="1">WEEKDAY(K9,2)</f>
        <v>5</v>
      </c>
      <c r="L10" s="9">
        <f t="shared" ref="L10:AN10" ca="1" si="2">WEEKDAY(L9,2)</f>
        <v>6</v>
      </c>
      <c r="M10" s="9">
        <f t="shared" ca="1" si="2"/>
        <v>7</v>
      </c>
      <c r="N10" s="9">
        <f t="shared" ca="1" si="2"/>
        <v>1</v>
      </c>
      <c r="O10" s="9">
        <f t="shared" ca="1" si="2"/>
        <v>2</v>
      </c>
      <c r="P10" s="9">
        <f t="shared" ca="1" si="2"/>
        <v>3</v>
      </c>
      <c r="Q10" s="9">
        <f t="shared" ca="1" si="2"/>
        <v>4</v>
      </c>
      <c r="R10" s="9">
        <f t="shared" ca="1" si="2"/>
        <v>5</v>
      </c>
      <c r="S10" s="9">
        <f t="shared" ca="1" si="2"/>
        <v>6</v>
      </c>
      <c r="T10" s="9">
        <f t="shared" ca="1" si="2"/>
        <v>7</v>
      </c>
      <c r="U10" s="9">
        <f t="shared" ca="1" si="2"/>
        <v>1</v>
      </c>
      <c r="V10" s="9">
        <f t="shared" ca="1" si="2"/>
        <v>2</v>
      </c>
      <c r="W10" s="9">
        <f t="shared" ca="1" si="2"/>
        <v>3</v>
      </c>
      <c r="X10" s="9">
        <f t="shared" ca="1" si="2"/>
        <v>4</v>
      </c>
      <c r="Y10" s="9">
        <f t="shared" ca="1" si="2"/>
        <v>5</v>
      </c>
      <c r="Z10" s="9">
        <f t="shared" ca="1" si="2"/>
        <v>6</v>
      </c>
      <c r="AA10" s="9">
        <f t="shared" ca="1" si="2"/>
        <v>7</v>
      </c>
      <c r="AB10" s="9">
        <f t="shared" ca="1" si="2"/>
        <v>1</v>
      </c>
      <c r="AC10" s="9">
        <f t="shared" ca="1" si="2"/>
        <v>2</v>
      </c>
      <c r="AD10" s="9">
        <f t="shared" ca="1" si="2"/>
        <v>3</v>
      </c>
      <c r="AE10" s="9">
        <f t="shared" ca="1" si="2"/>
        <v>4</v>
      </c>
      <c r="AF10" s="9">
        <f t="shared" ca="1" si="2"/>
        <v>5</v>
      </c>
      <c r="AG10" s="9">
        <f t="shared" ca="1" si="2"/>
        <v>6</v>
      </c>
      <c r="AH10" s="9">
        <f t="shared" ca="1" si="2"/>
        <v>7</v>
      </c>
      <c r="AI10" s="9">
        <f t="shared" ca="1" si="2"/>
        <v>1</v>
      </c>
      <c r="AJ10" s="9">
        <f t="shared" ca="1" si="2"/>
        <v>2</v>
      </c>
      <c r="AK10" s="9">
        <f t="shared" ca="1" si="2"/>
        <v>3</v>
      </c>
      <c r="AL10" s="9">
        <f t="shared" ca="1" si="2"/>
        <v>4</v>
      </c>
      <c r="AM10" s="9">
        <f t="shared" ca="1" si="2"/>
        <v>5</v>
      </c>
      <c r="AN10" s="9">
        <f t="shared" ca="1" si="2"/>
        <v>6</v>
      </c>
      <c r="AO10" s="9">
        <f ca="1">WEEKDAY(AO9,2)</f>
        <v>7</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1</v>
      </c>
    </row>
    <row r="12" spans="1:81" ht="25.5" hidden="1" customHeight="1" thickBot="1">
      <c r="A12" s="444" t="s">
        <v>5</v>
      </c>
      <c r="B12" s="440"/>
      <c r="C12" s="442" t="e">
        <f>#REF!</f>
        <v>#REF!</v>
      </c>
      <c r="D12" s="440"/>
      <c r="E12" s="440"/>
      <c r="F12" s="440"/>
      <c r="G12" s="443"/>
      <c r="H12" s="440" t="str">
        <f ca="1">INDIRECT("T!"&amp;T!A1&amp;"66")</f>
        <v>Plan transakcji:</v>
      </c>
      <c r="I12" s="440"/>
      <c r="J12" s="441"/>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436" t="str">
        <f ca="1">INDIRECT("T!"&amp;T!A1&amp;"33")</f>
        <v>Etat</v>
      </c>
      <c r="B13" s="437"/>
      <c r="C13" s="430" t="s">
        <v>6</v>
      </c>
      <c r="D13" s="431"/>
      <c r="E13" s="431"/>
      <c r="F13" s="431"/>
      <c r="G13" s="432"/>
      <c r="H13" s="423" t="str">
        <f ca="1">INDIRECT("T!"&amp;T!A1&amp;"34")</f>
        <v>Pozycja</v>
      </c>
      <c r="I13" s="424"/>
      <c r="J13" s="425"/>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455" t="str">
        <f ca="1">INDIRECT("T!"&amp;T!A1&amp;"47")</f>
        <v>Ilość dni OFF</v>
      </c>
      <c r="AQ13" s="456"/>
      <c r="AR13" s="453" t="str">
        <f ca="1">INDIRECT("T!"&amp;T!A1&amp;"55")</f>
        <v>Ilość godzin wypracowanych</v>
      </c>
      <c r="AS13" s="453"/>
      <c r="AT13" s="471" t="str">
        <f ca="1">INDIRECT("T!"&amp;T!A1&amp;"56")</f>
        <v>Pokrycie%</v>
      </c>
      <c r="AU13" s="471"/>
      <c r="AV13" s="467" t="str">
        <f ca="1">INDIRECT("T!"&amp;T!A1&amp;"57")</f>
        <v>Pozostało</v>
      </c>
      <c r="AW13" s="468"/>
    </row>
    <row r="14" spans="1:81" ht="20.100000000000001" customHeight="1" thickBot="1">
      <c r="A14" s="438"/>
      <c r="B14" s="439"/>
      <c r="C14" s="433"/>
      <c r="D14" s="434"/>
      <c r="E14" s="434"/>
      <c r="F14" s="434"/>
      <c r="G14" s="435"/>
      <c r="H14" s="426"/>
      <c r="I14" s="427"/>
      <c r="J14" s="428"/>
      <c r="K14" s="98" t="str">
        <f ca="1">IF(K10=1,INDIRECT("T!"&amp;T!$A$1&amp;"26"),IF(K10=2,INDIRECT("T!"&amp;T!$A$1&amp;"27"),IF(K10=3,INDIRECT("T!"&amp;T!$A$1&amp;"28"),IF(K10=4,INDIRECT("T!"&amp;T!$A$1&amp;"29"),IF(K10=5,INDIRECT("T!"&amp;T!$A$1&amp;"30"),IF(K10=6,INDIRECT("T!"&amp;T!$A$1&amp;"31"),IF(K10=7,INDIRECT("T!"&amp;T!$A$1&amp;"32"),0)))))))</f>
        <v>Pt</v>
      </c>
      <c r="L14" s="99" t="str">
        <f ca="1">IF(L10=1,INDIRECT("T!"&amp;T!$A$1&amp;"26"),IF(L10=2,INDIRECT("T!"&amp;T!$A$1&amp;"27"),IF(L10=3,INDIRECT("T!"&amp;T!$A$1&amp;"28"),IF(L10=4,INDIRECT("T!"&amp;T!$A$1&amp;"29"),IF(L10=5,INDIRECT("T!"&amp;T!$A$1&amp;"30"),IF(L10=6,INDIRECT("T!"&amp;T!$A$1&amp;"31"),IF(L10=7,INDIRECT("T!"&amp;T!$A$1&amp;"32"),0)))))))</f>
        <v>So</v>
      </c>
      <c r="M14" s="99" t="str">
        <f ca="1">IF(M10=1,INDIRECT("T!"&amp;T!$A$1&amp;"26"),IF(M10=2,INDIRECT("T!"&amp;T!$A$1&amp;"27"),IF(M10=3,INDIRECT("T!"&amp;T!$A$1&amp;"28"),IF(M10=4,INDIRECT("T!"&amp;T!$A$1&amp;"29"),IF(M10=5,INDIRECT("T!"&amp;T!$A$1&amp;"30"),IF(M10=6,INDIRECT("T!"&amp;T!$A$1&amp;"31"),IF(M10=7,INDIRECT("T!"&amp;T!$A$1&amp;"32"),0)))))))</f>
        <v>Nd</v>
      </c>
      <c r="N14" s="99" t="str">
        <f ca="1">IF(N10=1,INDIRECT("T!"&amp;T!$A$1&amp;"26"),IF(N10=2,INDIRECT("T!"&amp;T!$A$1&amp;"27"),IF(N10=3,INDIRECT("T!"&amp;T!$A$1&amp;"28"),IF(N10=4,INDIRECT("T!"&amp;T!$A$1&amp;"29"),IF(N10=5,INDIRECT("T!"&amp;T!$A$1&amp;"30"),IF(N10=6,INDIRECT("T!"&amp;T!$A$1&amp;"31"),IF(N10=7,INDIRECT("T!"&amp;T!$A$1&amp;"32"),0)))))))</f>
        <v>Pn</v>
      </c>
      <c r="O14" s="99" t="str">
        <f ca="1">IF(O10=1,INDIRECT("T!"&amp;T!$A$1&amp;"26"),IF(O10=2,INDIRECT("T!"&amp;T!$A$1&amp;"27"),IF(O10=3,INDIRECT("T!"&amp;T!$A$1&amp;"28"),IF(O10=4,INDIRECT("T!"&amp;T!$A$1&amp;"29"),IF(O10=5,INDIRECT("T!"&amp;T!$A$1&amp;"30"),IF(O10=6,INDIRECT("T!"&amp;T!$A$1&amp;"31"),IF(O10=7,INDIRECT("T!"&amp;T!$A$1&amp;"32"),0)))))))</f>
        <v>Wt</v>
      </c>
      <c r="P14" s="99" t="str">
        <f ca="1">IF(P10=1,INDIRECT("T!"&amp;T!$A$1&amp;"26"),IF(P10=2,INDIRECT("T!"&amp;T!$A$1&amp;"27"),IF(P10=3,INDIRECT("T!"&amp;T!$A$1&amp;"28"),IF(P10=4,INDIRECT("T!"&amp;T!$A$1&amp;"29"),IF(P10=5,INDIRECT("T!"&amp;T!$A$1&amp;"30"),IF(P10=6,INDIRECT("T!"&amp;T!$A$1&amp;"31"),IF(P10=7,INDIRECT("T!"&amp;T!$A$1&amp;"32"),0)))))))</f>
        <v>Śr</v>
      </c>
      <c r="Q14" s="99" t="str">
        <f ca="1">IF(Q10=1,INDIRECT("T!"&amp;T!$A$1&amp;"26"),IF(Q10=2,INDIRECT("T!"&amp;T!$A$1&amp;"27"),IF(Q10=3,INDIRECT("T!"&amp;T!$A$1&amp;"28"),IF(Q10=4,INDIRECT("T!"&amp;T!$A$1&amp;"29"),IF(Q10=5,INDIRECT("T!"&amp;T!$A$1&amp;"30"),IF(Q10=6,INDIRECT("T!"&amp;T!$A$1&amp;"31"),IF(Q10=7,INDIRECT("T!"&amp;T!$A$1&amp;"32"),0)))))))</f>
        <v>Cz</v>
      </c>
      <c r="R14" s="99" t="str">
        <f ca="1">IF(R10=1,INDIRECT("T!"&amp;T!$A$1&amp;"26"),IF(R10=2,INDIRECT("T!"&amp;T!$A$1&amp;"27"),IF(R10=3,INDIRECT("T!"&amp;T!$A$1&amp;"28"),IF(R10=4,INDIRECT("T!"&amp;T!$A$1&amp;"29"),IF(R10=5,INDIRECT("T!"&amp;T!$A$1&amp;"30"),IF(R10=6,INDIRECT("T!"&amp;T!$A$1&amp;"31"),IF(R10=7,INDIRECT("T!"&amp;T!$A$1&amp;"32"),0)))))))</f>
        <v>Pt</v>
      </c>
      <c r="S14" s="99" t="str">
        <f ca="1">IF(S10=1,INDIRECT("T!"&amp;T!$A$1&amp;"26"),IF(S10=2,INDIRECT("T!"&amp;T!$A$1&amp;"27"),IF(S10=3,INDIRECT("T!"&amp;T!$A$1&amp;"28"),IF(S10=4,INDIRECT("T!"&amp;T!$A$1&amp;"29"),IF(S10=5,INDIRECT("T!"&amp;T!$A$1&amp;"30"),IF(S10=6,INDIRECT("T!"&amp;T!$A$1&amp;"31"),IF(S10=7,INDIRECT("T!"&amp;T!$A$1&amp;"32"),0)))))))</f>
        <v>So</v>
      </c>
      <c r="T14" s="99" t="str">
        <f ca="1">IF(T10=1,INDIRECT("T!"&amp;T!$A$1&amp;"26"),IF(T10=2,INDIRECT("T!"&amp;T!$A$1&amp;"27"),IF(T10=3,INDIRECT("T!"&amp;T!$A$1&amp;"28"),IF(T10=4,INDIRECT("T!"&amp;T!$A$1&amp;"29"),IF(T10=5,INDIRECT("T!"&amp;T!$A$1&amp;"30"),IF(T10=6,INDIRECT("T!"&amp;T!$A$1&amp;"31"),IF(T10=7,INDIRECT("T!"&amp;T!$A$1&amp;"32"),0)))))))</f>
        <v>Nd</v>
      </c>
      <c r="U14" s="99" t="str">
        <f ca="1">IF(U10=1,INDIRECT("T!"&amp;T!$A$1&amp;"26"),IF(U10=2,INDIRECT("T!"&amp;T!$A$1&amp;"27"),IF(U10=3,INDIRECT("T!"&amp;T!$A$1&amp;"28"),IF(U10=4,INDIRECT("T!"&amp;T!$A$1&amp;"29"),IF(U10=5,INDIRECT("T!"&amp;T!$A$1&amp;"30"),IF(U10=6,INDIRECT("T!"&amp;T!$A$1&amp;"31"),IF(U10=7,INDIRECT("T!"&amp;T!$A$1&amp;"32"),0)))))))</f>
        <v>Pn</v>
      </c>
      <c r="V14" s="99" t="str">
        <f ca="1">IF(V10=1,INDIRECT("T!"&amp;T!$A$1&amp;"26"),IF(V10=2,INDIRECT("T!"&amp;T!$A$1&amp;"27"),IF(V10=3,INDIRECT("T!"&amp;T!$A$1&amp;"28"),IF(V10=4,INDIRECT("T!"&amp;T!$A$1&amp;"29"),IF(V10=5,INDIRECT("T!"&amp;T!$A$1&amp;"30"),IF(V10=6,INDIRECT("T!"&amp;T!$A$1&amp;"31"),IF(V10=7,INDIRECT("T!"&amp;T!$A$1&amp;"32"),0)))))))</f>
        <v>Wt</v>
      </c>
      <c r="W14" s="99" t="str">
        <f ca="1">IF(W10=1,INDIRECT("T!"&amp;T!$A$1&amp;"26"),IF(W10=2,INDIRECT("T!"&amp;T!$A$1&amp;"27"),IF(W10=3,INDIRECT("T!"&amp;T!$A$1&amp;"28"),IF(W10=4,INDIRECT("T!"&amp;T!$A$1&amp;"29"),IF(W10=5,INDIRECT("T!"&amp;T!$A$1&amp;"30"),IF(W10=6,INDIRECT("T!"&amp;T!$A$1&amp;"31"),IF(W10=7,INDIRECT("T!"&amp;T!$A$1&amp;"32"),0)))))))</f>
        <v>Śr</v>
      </c>
      <c r="X14" s="99" t="str">
        <f ca="1">IF(X10=1,INDIRECT("T!"&amp;T!$A$1&amp;"26"),IF(X10=2,INDIRECT("T!"&amp;T!$A$1&amp;"27"),IF(X10=3,INDIRECT("T!"&amp;T!$A$1&amp;"28"),IF(X10=4,INDIRECT("T!"&amp;T!$A$1&amp;"29"),IF(X10=5,INDIRECT("T!"&amp;T!$A$1&amp;"30"),IF(X10=6,INDIRECT("T!"&amp;T!$A$1&amp;"31"),IF(X10=7,INDIRECT("T!"&amp;T!$A$1&amp;"32"),0)))))))</f>
        <v>Cz</v>
      </c>
      <c r="Y14" s="99" t="str">
        <f ca="1">IF(Y10=1,INDIRECT("T!"&amp;T!$A$1&amp;"26"),IF(Y10=2,INDIRECT("T!"&amp;T!$A$1&amp;"27"),IF(Y10=3,INDIRECT("T!"&amp;T!$A$1&amp;"28"),IF(Y10=4,INDIRECT("T!"&amp;T!$A$1&amp;"29"),IF(Y10=5,INDIRECT("T!"&amp;T!$A$1&amp;"30"),IF(Y10=6,INDIRECT("T!"&amp;T!$A$1&amp;"31"),IF(Y10=7,INDIRECT("T!"&amp;T!$A$1&amp;"32"),0)))))))</f>
        <v>Pt</v>
      </c>
      <c r="Z14" s="99" t="str">
        <f ca="1">IF(Z10=1,INDIRECT("T!"&amp;T!$A$1&amp;"26"),IF(Z10=2,INDIRECT("T!"&amp;T!$A$1&amp;"27"),IF(Z10=3,INDIRECT("T!"&amp;T!$A$1&amp;"28"),IF(Z10=4,INDIRECT("T!"&amp;T!$A$1&amp;"29"),IF(Z10=5,INDIRECT("T!"&amp;T!$A$1&amp;"30"),IF(Z10=6,INDIRECT("T!"&amp;T!$A$1&amp;"31"),IF(Z10=7,INDIRECT("T!"&amp;T!$A$1&amp;"32"),0)))))))</f>
        <v>So</v>
      </c>
      <c r="AA14" s="99" t="str">
        <f ca="1">IF(AA10=1,INDIRECT("T!"&amp;T!$A$1&amp;"26"),IF(AA10=2,INDIRECT("T!"&amp;T!$A$1&amp;"27"),IF(AA10=3,INDIRECT("T!"&amp;T!$A$1&amp;"28"),IF(AA10=4,INDIRECT("T!"&amp;T!$A$1&amp;"29"),IF(AA10=5,INDIRECT("T!"&amp;T!$A$1&amp;"30"),IF(AA10=6,INDIRECT("T!"&amp;T!$A$1&amp;"31"),IF(AA10=7,INDIRECT("T!"&amp;T!$A$1&amp;"32"),0)))))))</f>
        <v>Nd</v>
      </c>
      <c r="AB14" s="99" t="str">
        <f ca="1">IF(AB10=1,INDIRECT("T!"&amp;T!$A$1&amp;"26"),IF(AB10=2,INDIRECT("T!"&amp;T!$A$1&amp;"27"),IF(AB10=3,INDIRECT("T!"&amp;T!$A$1&amp;"28"),IF(AB10=4,INDIRECT("T!"&amp;T!$A$1&amp;"29"),IF(AB10=5,INDIRECT("T!"&amp;T!$A$1&amp;"30"),IF(AB10=6,INDIRECT("T!"&amp;T!$A$1&amp;"31"),IF(AB10=7,INDIRECT("T!"&amp;T!$A$1&amp;"32"),0)))))))</f>
        <v>Pn</v>
      </c>
      <c r="AC14" s="99" t="str">
        <f ca="1">IF(AC10=1,INDIRECT("T!"&amp;T!$A$1&amp;"26"),IF(AC10=2,INDIRECT("T!"&amp;T!$A$1&amp;"27"),IF(AC10=3,INDIRECT("T!"&amp;T!$A$1&amp;"28"),IF(AC10=4,INDIRECT("T!"&amp;T!$A$1&amp;"29"),IF(AC10=5,INDIRECT("T!"&amp;T!$A$1&amp;"30"),IF(AC10=6,INDIRECT("T!"&amp;T!$A$1&amp;"31"),IF(AC10=7,INDIRECT("T!"&amp;T!$A$1&amp;"32"),0)))))))</f>
        <v>Wt</v>
      </c>
      <c r="AD14" s="99" t="str">
        <f ca="1">IF(AD10=1,INDIRECT("T!"&amp;T!$A$1&amp;"26"),IF(AD10=2,INDIRECT("T!"&amp;T!$A$1&amp;"27"),IF(AD10=3,INDIRECT("T!"&amp;T!$A$1&amp;"28"),IF(AD10=4,INDIRECT("T!"&amp;T!$A$1&amp;"29"),IF(AD10=5,INDIRECT("T!"&amp;T!$A$1&amp;"30"),IF(AD10=6,INDIRECT("T!"&amp;T!$A$1&amp;"31"),IF(AD10=7,INDIRECT("T!"&amp;T!$A$1&amp;"32"),0)))))))</f>
        <v>Śr</v>
      </c>
      <c r="AE14" s="99" t="str">
        <f ca="1">IF(AE10=1,INDIRECT("T!"&amp;T!$A$1&amp;"26"),IF(AE10=2,INDIRECT("T!"&amp;T!$A$1&amp;"27"),IF(AE10=3,INDIRECT("T!"&amp;T!$A$1&amp;"28"),IF(AE10=4,INDIRECT("T!"&amp;T!$A$1&amp;"29"),IF(AE10=5,INDIRECT("T!"&amp;T!$A$1&amp;"30"),IF(AE10=6,INDIRECT("T!"&amp;T!$A$1&amp;"31"),IF(AE10=7,INDIRECT("T!"&amp;T!$A$1&amp;"32"),0)))))))</f>
        <v>Cz</v>
      </c>
      <c r="AF14" s="99" t="str">
        <f ca="1">IF(AF10=1,INDIRECT("T!"&amp;T!$A$1&amp;"26"),IF(AF10=2,INDIRECT("T!"&amp;T!$A$1&amp;"27"),IF(AF10=3,INDIRECT("T!"&amp;T!$A$1&amp;"28"),IF(AF10=4,INDIRECT("T!"&amp;T!$A$1&amp;"29"),IF(AF10=5,INDIRECT("T!"&amp;T!$A$1&amp;"30"),IF(AF10=6,INDIRECT("T!"&amp;T!$A$1&amp;"31"),IF(AF10=7,INDIRECT("T!"&amp;T!$A$1&amp;"32"),0)))))))</f>
        <v>Pt</v>
      </c>
      <c r="AG14" s="99" t="str">
        <f ca="1">IF(AG10=1,INDIRECT("T!"&amp;T!$A$1&amp;"26"),IF(AG10=2,INDIRECT("T!"&amp;T!$A$1&amp;"27"),IF(AG10=3,INDIRECT("T!"&amp;T!$A$1&amp;"28"),IF(AG10=4,INDIRECT("T!"&amp;T!$A$1&amp;"29"),IF(AG10=5,INDIRECT("T!"&amp;T!$A$1&amp;"30"),IF(AG10=6,INDIRECT("T!"&amp;T!$A$1&amp;"31"),IF(AG10=7,INDIRECT("T!"&amp;T!$A$1&amp;"32"),0)))))))</f>
        <v>So</v>
      </c>
      <c r="AH14" s="99" t="str">
        <f ca="1">IF(AH10=1,INDIRECT("T!"&amp;T!$A$1&amp;"26"),IF(AH10=2,INDIRECT("T!"&amp;T!$A$1&amp;"27"),IF(AH10=3,INDIRECT("T!"&amp;T!$A$1&amp;"28"),IF(AH10=4,INDIRECT("T!"&amp;T!$A$1&amp;"29"),IF(AH10=5,INDIRECT("T!"&amp;T!$A$1&amp;"30"),IF(AH10=6,INDIRECT("T!"&amp;T!$A$1&amp;"31"),IF(AH10=7,INDIRECT("T!"&amp;T!$A$1&amp;"32"),0)))))))</f>
        <v>Nd</v>
      </c>
      <c r="AI14" s="99" t="str">
        <f ca="1">IF(AI10=1,INDIRECT("T!"&amp;T!$A$1&amp;"26"),IF(AI10=2,INDIRECT("T!"&amp;T!$A$1&amp;"27"),IF(AI10=3,INDIRECT("T!"&amp;T!$A$1&amp;"28"),IF(AI10=4,INDIRECT("T!"&amp;T!$A$1&amp;"29"),IF(AI10=5,INDIRECT("T!"&amp;T!$A$1&amp;"30"),IF(AI10=6,INDIRECT("T!"&amp;T!$A$1&amp;"31"),IF(AI10=7,INDIRECT("T!"&amp;T!$A$1&amp;"32"),0)))))))</f>
        <v>Pn</v>
      </c>
      <c r="AJ14" s="99" t="str">
        <f ca="1">IF(AJ10=1,INDIRECT("T!"&amp;T!$A$1&amp;"26"),IF(AJ10=2,INDIRECT("T!"&amp;T!$A$1&amp;"27"),IF(AJ10=3,INDIRECT("T!"&amp;T!$A$1&amp;"28"),IF(AJ10=4,INDIRECT("T!"&amp;T!$A$1&amp;"29"),IF(AJ10=5,INDIRECT("T!"&amp;T!$A$1&amp;"30"),IF(AJ10=6,INDIRECT("T!"&amp;T!$A$1&amp;"31"),IF(AJ10=7,INDIRECT("T!"&amp;T!$A$1&amp;"32"),0)))))))</f>
        <v>Wt</v>
      </c>
      <c r="AK14" s="99" t="str">
        <f ca="1">IF(AK10=1,INDIRECT("T!"&amp;T!$A$1&amp;"26"),IF(AK10=2,INDIRECT("T!"&amp;T!$A$1&amp;"27"),IF(AK10=3,INDIRECT("T!"&amp;T!$A$1&amp;"28"),IF(AK10=4,INDIRECT("T!"&amp;T!$A$1&amp;"29"),IF(AK10=5,INDIRECT("T!"&amp;T!$A$1&amp;"30"),IF(AK10=6,INDIRECT("T!"&amp;T!$A$1&amp;"31"),IF(AK10=7,INDIRECT("T!"&amp;T!$A$1&amp;"32"),0)))))))</f>
        <v>Śr</v>
      </c>
      <c r="AL14" s="99" t="str">
        <f ca="1">IF(AL10=1,INDIRECT("T!"&amp;T!$A$1&amp;"26"),IF(AL10=2,INDIRECT("T!"&amp;T!$A$1&amp;"27"),IF(AL10=3,INDIRECT("T!"&amp;T!$A$1&amp;"28"),IF(AL10=4,INDIRECT("T!"&amp;T!$A$1&amp;"29"),IF(AL10=5,INDIRECT("T!"&amp;T!$A$1&amp;"30"),IF(AL10=6,INDIRECT("T!"&amp;T!$A$1&amp;"31"),IF(AL10=7,INDIRECT("T!"&amp;T!$A$1&amp;"32"),0)))))))</f>
        <v>Cz</v>
      </c>
      <c r="AM14" s="99" t="str">
        <f ca="1">IF(AM10=1,INDIRECT("T!"&amp;T!$A$1&amp;"26"),IF(AM10=2,INDIRECT("T!"&amp;T!$A$1&amp;"27"),IF(AM10=3,INDIRECT("T!"&amp;T!$A$1&amp;"28"),IF(AM10=4,INDIRECT("T!"&amp;T!$A$1&amp;"29"),IF(AM10=5,INDIRECT("T!"&amp;T!$A$1&amp;"30"),IF(AM10=6,INDIRECT("T!"&amp;T!$A$1&amp;"31"),IF(AM10=7,INDIRECT("T!"&amp;T!$A$1&amp;"32"),0)))))))</f>
        <v>Pt</v>
      </c>
      <c r="AN14" s="100" t="str">
        <f ca="1">IF(AN10=1,INDIRECT("T!"&amp;T!$A$1&amp;"26"),IF(AN10=2,INDIRECT("T!"&amp;T!$A$1&amp;"27"),IF(AN10=3,INDIRECT("T!"&amp;T!$A$1&amp;"28"),IF(AN10=4,INDIRECT("T!"&amp;T!$A$1&amp;"29"),IF(AN10=5,INDIRECT("T!"&amp;T!$A$1&amp;"30"),IF(AN10=6,INDIRECT("T!"&amp;T!$A$1&amp;"31"),IF(AN10=7,INDIRECT("T!"&amp;T!$A$1&amp;"32"),0)))))))</f>
        <v>So</v>
      </c>
      <c r="AO14" s="101" t="str">
        <f ca="1">IF(AO10=1,INDIRECT("T!"&amp;T!$A$1&amp;"26"),IF(AO10=2,INDIRECT("T!"&amp;T!$A$1&amp;"27"),IF(AO10=3,INDIRECT("T!"&amp;T!$A$1&amp;"28"),IF(AO10=4,INDIRECT("T!"&amp;T!$A$1&amp;"29"),IF(AO10=5,INDIRECT("T!"&amp;T!$A$1&amp;"30"),IF(AO10=6,INDIRECT("T!"&amp;T!$A$1&amp;"31"),IF(AO10=7,INDIRECT("T!"&amp;T!$A$1&amp;"32"),0)))))))</f>
        <v>Nd</v>
      </c>
      <c r="AP14" s="457"/>
      <c r="AQ14" s="458"/>
      <c r="AR14" s="454"/>
      <c r="AS14" s="454"/>
      <c r="AT14" s="472"/>
      <c r="AU14" s="472"/>
      <c r="AV14" s="469"/>
      <c r="AW14" s="470"/>
    </row>
    <row r="15" spans="1:81" ht="27.95" customHeight="1">
      <c r="A15" s="385" t="s">
        <v>7</v>
      </c>
      <c r="B15" s="386"/>
      <c r="C15" s="473" t="s">
        <v>8</v>
      </c>
      <c r="D15" s="474"/>
      <c r="E15" s="474"/>
      <c r="F15" s="474"/>
      <c r="G15" s="475"/>
      <c r="H15" s="476" t="s">
        <v>9</v>
      </c>
      <c r="I15" s="477"/>
      <c r="J15" s="478"/>
      <c r="K15" s="274" t="s">
        <v>10</v>
      </c>
      <c r="L15" s="232" t="s">
        <v>11</v>
      </c>
      <c r="M15" s="227" t="s">
        <v>11</v>
      </c>
      <c r="N15" s="174" t="s">
        <v>12</v>
      </c>
      <c r="O15" s="174" t="s">
        <v>12</v>
      </c>
      <c r="P15" s="174" t="s">
        <v>10</v>
      </c>
      <c r="Q15" s="174" t="s">
        <v>13</v>
      </c>
      <c r="R15" s="174" t="s">
        <v>12</v>
      </c>
      <c r="S15" s="227" t="s">
        <v>11</v>
      </c>
      <c r="T15" s="227" t="s">
        <v>11</v>
      </c>
      <c r="U15" s="174" t="s">
        <v>12</v>
      </c>
      <c r="V15" s="174" t="s">
        <v>12</v>
      </c>
      <c r="W15" s="174" t="s">
        <v>12</v>
      </c>
      <c r="X15" s="174" t="s">
        <v>12</v>
      </c>
      <c r="Y15" s="174" t="s">
        <v>12</v>
      </c>
      <c r="Z15" s="227" t="s">
        <v>11</v>
      </c>
      <c r="AA15" s="232" t="s">
        <v>11</v>
      </c>
      <c r="AB15" s="174" t="s">
        <v>12</v>
      </c>
      <c r="AC15" s="174" t="s">
        <v>12</v>
      </c>
      <c r="AD15" s="174" t="s">
        <v>10</v>
      </c>
      <c r="AE15" s="174" t="s">
        <v>14</v>
      </c>
      <c r="AF15" s="174" t="s">
        <v>14</v>
      </c>
      <c r="AG15" s="227" t="s">
        <v>11</v>
      </c>
      <c r="AH15" s="227" t="s">
        <v>11</v>
      </c>
      <c r="AI15" s="174" t="s">
        <v>12</v>
      </c>
      <c r="AJ15" s="232" t="s">
        <v>12</v>
      </c>
      <c r="AK15" s="174" t="s">
        <v>11</v>
      </c>
      <c r="AL15" s="174" t="s">
        <v>12</v>
      </c>
      <c r="AM15" s="174" t="s">
        <v>12</v>
      </c>
      <c r="AN15" s="227" t="s">
        <v>10</v>
      </c>
      <c r="AO15" s="270" t="s">
        <v>11</v>
      </c>
      <c r="AP15" s="381">
        <f>COUNTIF(K15:AO15,H81)</f>
        <v>10</v>
      </c>
      <c r="AQ15" s="382"/>
      <c r="AR15" s="382" t="e">
        <f ca="1">TEXT(V!AG16&amp;" h",)</f>
        <v>#NAME?</v>
      </c>
      <c r="AS15" s="382"/>
      <c r="AT15" s="447">
        <f ca="1">V!AK16</f>
        <v>0</v>
      </c>
      <c r="AU15" s="382"/>
      <c r="AV15" s="382" t="e">
        <f ca="1">TEXT(V!AL16 &amp; " h",)</f>
        <v>#VALUE!</v>
      </c>
      <c r="AW15" s="445"/>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387" t="s">
        <v>7</v>
      </c>
      <c r="B16" s="388"/>
      <c r="C16" s="389" t="s">
        <v>15</v>
      </c>
      <c r="D16" s="390"/>
      <c r="E16" s="390"/>
      <c r="F16" s="390"/>
      <c r="G16" s="391"/>
      <c r="H16" s="406" t="s">
        <v>16</v>
      </c>
      <c r="I16" s="407"/>
      <c r="J16" s="408"/>
      <c r="K16" s="275" t="s">
        <v>11</v>
      </c>
      <c r="L16" s="233" t="s">
        <v>10</v>
      </c>
      <c r="M16" s="228" t="s">
        <v>11</v>
      </c>
      <c r="N16" s="175" t="s">
        <v>10</v>
      </c>
      <c r="O16" s="175" t="s">
        <v>17</v>
      </c>
      <c r="P16" s="175" t="s">
        <v>11</v>
      </c>
      <c r="Q16" s="175" t="s">
        <v>10</v>
      </c>
      <c r="R16" s="175" t="s">
        <v>10</v>
      </c>
      <c r="S16" s="228" t="s">
        <v>17</v>
      </c>
      <c r="T16" s="228" t="s">
        <v>17</v>
      </c>
      <c r="U16" s="175" t="s">
        <v>17</v>
      </c>
      <c r="V16" s="175" t="s">
        <v>11</v>
      </c>
      <c r="W16" s="175" t="s">
        <v>17</v>
      </c>
      <c r="X16" s="175" t="s">
        <v>13</v>
      </c>
      <c r="Y16" s="175" t="s">
        <v>10</v>
      </c>
      <c r="Z16" s="228" t="s">
        <v>11</v>
      </c>
      <c r="AA16" s="233" t="s">
        <v>11</v>
      </c>
      <c r="AB16" s="175" t="s">
        <v>17</v>
      </c>
      <c r="AC16" s="266" t="s">
        <v>17</v>
      </c>
      <c r="AD16" s="175" t="s">
        <v>13</v>
      </c>
      <c r="AE16" s="175" t="s">
        <v>10</v>
      </c>
      <c r="AF16" s="175" t="s">
        <v>13</v>
      </c>
      <c r="AG16" s="228" t="s">
        <v>11</v>
      </c>
      <c r="AH16" s="228" t="s">
        <v>11</v>
      </c>
      <c r="AI16" s="175" t="s">
        <v>18</v>
      </c>
      <c r="AJ16" s="233" t="s">
        <v>17</v>
      </c>
      <c r="AK16" s="175" t="s">
        <v>18</v>
      </c>
      <c r="AL16" s="175" t="s">
        <v>13</v>
      </c>
      <c r="AM16" s="175" t="s">
        <v>10</v>
      </c>
      <c r="AN16" s="228" t="s">
        <v>11</v>
      </c>
      <c r="AO16" s="271" t="s">
        <v>11</v>
      </c>
      <c r="AP16" s="381">
        <f>COUNTIF(K16:AO16,H81)</f>
        <v>10</v>
      </c>
      <c r="AQ16" s="382"/>
      <c r="AR16" s="382" t="e">
        <f ca="1">TEXT(V!AG17&amp;" h",)</f>
        <v>#NAME?</v>
      </c>
      <c r="AS16" s="382"/>
      <c r="AT16" s="447">
        <f ca="1">V!AK17</f>
        <v>0</v>
      </c>
      <c r="AU16" s="382"/>
      <c r="AV16" s="382" t="e">
        <f ca="1">TEXT(V!AL17 &amp; " h",)</f>
        <v>#VALUE!</v>
      </c>
      <c r="AW16" s="445"/>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387">
        <v>0.75</v>
      </c>
      <c r="B17" s="388"/>
      <c r="C17" s="389" t="s">
        <v>19</v>
      </c>
      <c r="D17" s="390"/>
      <c r="E17" s="390"/>
      <c r="F17" s="390"/>
      <c r="G17" s="391"/>
      <c r="H17" s="406" t="s">
        <v>16</v>
      </c>
      <c r="I17" s="407"/>
      <c r="J17" s="408"/>
      <c r="K17" s="275" t="s">
        <v>11</v>
      </c>
      <c r="L17" s="233" t="s">
        <v>11</v>
      </c>
      <c r="M17" s="228" t="s">
        <v>10</v>
      </c>
      <c r="N17" s="175" t="s">
        <v>14</v>
      </c>
      <c r="O17" s="175" t="s">
        <v>14</v>
      </c>
      <c r="P17" s="175" t="s">
        <v>14</v>
      </c>
      <c r="Q17" s="175" t="s">
        <v>14</v>
      </c>
      <c r="R17" s="230" t="s">
        <v>14</v>
      </c>
      <c r="S17" s="228" t="s">
        <v>11</v>
      </c>
      <c r="T17" s="228" t="s">
        <v>11</v>
      </c>
      <c r="U17" s="175" t="s">
        <v>14</v>
      </c>
      <c r="V17" s="175" t="s">
        <v>14</v>
      </c>
      <c r="W17" s="175" t="s">
        <v>14</v>
      </c>
      <c r="X17" s="175" t="s">
        <v>14</v>
      </c>
      <c r="Y17" s="175" t="s">
        <v>14</v>
      </c>
      <c r="Z17" s="228" t="s">
        <v>11</v>
      </c>
      <c r="AA17" s="277" t="s">
        <v>11</v>
      </c>
      <c r="AB17" s="175" t="s">
        <v>14</v>
      </c>
      <c r="AC17" s="175" t="s">
        <v>11</v>
      </c>
      <c r="AD17" s="175" t="s">
        <v>11</v>
      </c>
      <c r="AE17" s="175" t="s">
        <v>11</v>
      </c>
      <c r="AF17" s="175" t="s">
        <v>17</v>
      </c>
      <c r="AG17" s="228" t="s">
        <v>11</v>
      </c>
      <c r="AH17" s="228" t="s">
        <v>11</v>
      </c>
      <c r="AI17" s="175" t="s">
        <v>12</v>
      </c>
      <c r="AJ17" s="233" t="s">
        <v>10</v>
      </c>
      <c r="AK17" s="175" t="s">
        <v>11</v>
      </c>
      <c r="AL17" s="175" t="s">
        <v>10</v>
      </c>
      <c r="AM17" s="175" t="s">
        <v>18</v>
      </c>
      <c r="AN17" s="228" t="s">
        <v>17</v>
      </c>
      <c r="AO17" s="271" t="s">
        <v>12</v>
      </c>
      <c r="AP17" s="381">
        <f>COUNTIF(K17:AO17,H81)</f>
        <v>12</v>
      </c>
      <c r="AQ17" s="382"/>
      <c r="AR17" s="382" t="e">
        <f ca="1">TEXT(V!AG18&amp;" h",)</f>
        <v>#NAME?</v>
      </c>
      <c r="AS17" s="382"/>
      <c r="AT17" s="447">
        <f ca="1">V!AK18</f>
        <v>0</v>
      </c>
      <c r="AU17" s="382"/>
      <c r="AV17" s="382" t="e">
        <f ca="1">TEXT(V!AL18 &amp; " h",)</f>
        <v>#VALUE!</v>
      </c>
      <c r="AW17" s="445"/>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387">
        <v>0.25</v>
      </c>
      <c r="B18" s="388"/>
      <c r="C18" s="389" t="s">
        <v>20</v>
      </c>
      <c r="D18" s="390"/>
      <c r="E18" s="390"/>
      <c r="F18" s="390"/>
      <c r="G18" s="391"/>
      <c r="H18" s="406" t="s">
        <v>16</v>
      </c>
      <c r="I18" s="407"/>
      <c r="J18" s="408"/>
      <c r="K18" s="275" t="s">
        <v>11</v>
      </c>
      <c r="L18" s="233" t="s">
        <v>17</v>
      </c>
      <c r="M18" s="228" t="s">
        <v>11</v>
      </c>
      <c r="N18" s="175" t="s">
        <v>11</v>
      </c>
      <c r="O18" s="175" t="s">
        <v>11</v>
      </c>
      <c r="P18" s="175" t="s">
        <v>11</v>
      </c>
      <c r="Q18" s="264" t="s">
        <v>11</v>
      </c>
      <c r="R18" s="265" t="s">
        <v>11</v>
      </c>
      <c r="S18" s="228" t="s">
        <v>10</v>
      </c>
      <c r="T18" s="228" t="s">
        <v>11</v>
      </c>
      <c r="U18" s="175" t="s">
        <v>11</v>
      </c>
      <c r="V18" s="175" t="s">
        <v>10</v>
      </c>
      <c r="W18" s="175" t="s">
        <v>11</v>
      </c>
      <c r="X18" s="175" t="s">
        <v>11</v>
      </c>
      <c r="Y18" s="175" t="s">
        <v>11</v>
      </c>
      <c r="Z18" s="228" t="s">
        <v>10</v>
      </c>
      <c r="AA18" s="233" t="s">
        <v>10</v>
      </c>
      <c r="AB18" s="175" t="s">
        <v>11</v>
      </c>
      <c r="AC18" s="175" t="s">
        <v>11</v>
      </c>
      <c r="AD18" s="175" t="s">
        <v>11</v>
      </c>
      <c r="AE18" s="175" t="s">
        <v>11</v>
      </c>
      <c r="AF18" s="175" t="s">
        <v>11</v>
      </c>
      <c r="AG18" s="228" t="s">
        <v>11</v>
      </c>
      <c r="AH18" s="228" t="s">
        <v>10</v>
      </c>
      <c r="AI18" s="175" t="s">
        <v>11</v>
      </c>
      <c r="AJ18" s="277" t="s">
        <v>11</v>
      </c>
      <c r="AK18" s="175" t="s">
        <v>11</v>
      </c>
      <c r="AL18" s="175" t="s">
        <v>11</v>
      </c>
      <c r="AM18" s="175" t="s">
        <v>11</v>
      </c>
      <c r="AN18" s="228" t="s">
        <v>11</v>
      </c>
      <c r="AO18" s="271" t="s">
        <v>18</v>
      </c>
      <c r="AP18" s="381">
        <f>COUNTIF(K18:AO18,H81)</f>
        <v>24</v>
      </c>
      <c r="AQ18" s="382"/>
      <c r="AR18" s="382" t="e">
        <f ca="1">TEXT(V!AG19&amp;" h",)</f>
        <v>#NAME?</v>
      </c>
      <c r="AS18" s="382"/>
      <c r="AT18" s="447">
        <f ca="1">V!AK19</f>
        <v>0</v>
      </c>
      <c r="AU18" s="382"/>
      <c r="AV18" s="382" t="e">
        <f ca="1">TEXT(V!AL19 &amp; " h",)</f>
        <v>#VALUE!</v>
      </c>
      <c r="AW18" s="445"/>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387">
        <v>0.5</v>
      </c>
      <c r="B19" s="388"/>
      <c r="C19" s="389" t="s">
        <v>21</v>
      </c>
      <c r="D19" s="390"/>
      <c r="E19" s="390"/>
      <c r="F19" s="390"/>
      <c r="G19" s="391"/>
      <c r="H19" s="406" t="s">
        <v>16</v>
      </c>
      <c r="I19" s="407"/>
      <c r="J19" s="408"/>
      <c r="K19" s="275" t="s">
        <v>11</v>
      </c>
      <c r="L19" s="233" t="s">
        <v>11</v>
      </c>
      <c r="M19" s="228" t="s">
        <v>17</v>
      </c>
      <c r="N19" s="175" t="s">
        <v>17</v>
      </c>
      <c r="O19" s="175" t="s">
        <v>11</v>
      </c>
      <c r="P19" s="175" t="s">
        <v>17</v>
      </c>
      <c r="Q19" s="175" t="s">
        <v>11</v>
      </c>
      <c r="R19" s="230" t="s">
        <v>11</v>
      </c>
      <c r="S19" s="268" t="s">
        <v>11</v>
      </c>
      <c r="T19" s="268" t="s">
        <v>10</v>
      </c>
      <c r="U19" s="175" t="s">
        <v>11</v>
      </c>
      <c r="V19" s="175" t="s">
        <v>11</v>
      </c>
      <c r="W19" s="235" t="s">
        <v>10</v>
      </c>
      <c r="X19" s="235" t="s">
        <v>10</v>
      </c>
      <c r="Y19" s="175" t="s">
        <v>11</v>
      </c>
      <c r="Z19" s="228" t="s">
        <v>11</v>
      </c>
      <c r="AA19" s="233" t="s">
        <v>11</v>
      </c>
      <c r="AB19" s="175" t="s">
        <v>11</v>
      </c>
      <c r="AC19" s="175" t="s">
        <v>11</v>
      </c>
      <c r="AD19" s="175" t="s">
        <v>11</v>
      </c>
      <c r="AE19" s="175" t="s">
        <v>17</v>
      </c>
      <c r="AF19" s="175" t="s">
        <v>11</v>
      </c>
      <c r="AG19" s="228" t="s">
        <v>10</v>
      </c>
      <c r="AH19" s="228" t="s">
        <v>11</v>
      </c>
      <c r="AI19" s="175" t="s">
        <v>11</v>
      </c>
      <c r="AJ19" s="233" t="s">
        <v>11</v>
      </c>
      <c r="AK19" s="175" t="s">
        <v>10</v>
      </c>
      <c r="AL19" s="175" t="s">
        <v>11</v>
      </c>
      <c r="AM19" s="175" t="s">
        <v>11</v>
      </c>
      <c r="AN19" s="228" t="s">
        <v>11</v>
      </c>
      <c r="AO19" s="271" t="s">
        <v>10</v>
      </c>
      <c r="AP19" s="381">
        <f>COUNTIF(K19:AO19,H81)</f>
        <v>21</v>
      </c>
      <c r="AQ19" s="382"/>
      <c r="AR19" s="384" t="e">
        <f ca="1">TEXT(V!AG20&amp;" h",)</f>
        <v>#NAME?</v>
      </c>
      <c r="AS19" s="382"/>
      <c r="AT19" s="447">
        <f ca="1">V!AK20</f>
        <v>0</v>
      </c>
      <c r="AU19" s="382"/>
      <c r="AV19" s="382" t="e">
        <f ca="1">TEXT(V!AL20 &amp; " h",)</f>
        <v>#VALUE!</v>
      </c>
      <c r="AW19" s="445"/>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387" t="s">
        <v>7</v>
      </c>
      <c r="B20" s="388"/>
      <c r="C20" s="389" t="s">
        <v>22</v>
      </c>
      <c r="D20" s="390"/>
      <c r="E20" s="390"/>
      <c r="F20" s="390"/>
      <c r="G20" s="391"/>
      <c r="H20" s="406" t="s">
        <v>16</v>
      </c>
      <c r="I20" s="407"/>
      <c r="J20" s="408"/>
      <c r="K20" s="275" t="s">
        <v>17</v>
      </c>
      <c r="L20" s="233" t="s">
        <v>11</v>
      </c>
      <c r="M20" s="228" t="s">
        <v>11</v>
      </c>
      <c r="N20" s="175" t="s">
        <v>23</v>
      </c>
      <c r="O20" s="175" t="s">
        <v>10</v>
      </c>
      <c r="P20" s="175" t="s">
        <v>13</v>
      </c>
      <c r="Q20" s="264" t="s">
        <v>17</v>
      </c>
      <c r="R20" s="175" t="s">
        <v>17</v>
      </c>
      <c r="S20" s="228" t="s">
        <v>11</v>
      </c>
      <c r="T20" s="228" t="s">
        <v>11</v>
      </c>
      <c r="U20" s="267" t="s">
        <v>10</v>
      </c>
      <c r="V20" s="175" t="s">
        <v>17</v>
      </c>
      <c r="W20" s="175" t="s">
        <v>11</v>
      </c>
      <c r="X20" s="175" t="s">
        <v>17</v>
      </c>
      <c r="Y20" s="175" t="s">
        <v>17</v>
      </c>
      <c r="Z20" s="228" t="s">
        <v>17</v>
      </c>
      <c r="AA20" s="233" t="s">
        <v>17</v>
      </c>
      <c r="AB20" s="175" t="s">
        <v>11</v>
      </c>
      <c r="AC20" s="175" t="s">
        <v>10</v>
      </c>
      <c r="AD20" s="175" t="s">
        <v>17</v>
      </c>
      <c r="AE20" s="175" t="s">
        <v>11</v>
      </c>
      <c r="AF20" s="175" t="s">
        <v>10</v>
      </c>
      <c r="AG20" s="228" t="s">
        <v>17</v>
      </c>
      <c r="AH20" s="228" t="s">
        <v>17</v>
      </c>
      <c r="AI20" s="175" t="s">
        <v>17</v>
      </c>
      <c r="AJ20" s="233" t="s">
        <v>11</v>
      </c>
      <c r="AK20" s="175" t="s">
        <v>17</v>
      </c>
      <c r="AL20" s="175" t="s">
        <v>17</v>
      </c>
      <c r="AM20" s="175" t="s">
        <v>17</v>
      </c>
      <c r="AN20" s="228" t="s">
        <v>11</v>
      </c>
      <c r="AO20" s="271" t="s">
        <v>11</v>
      </c>
      <c r="AP20" s="381">
        <f>COUNTIF(K20:AO20,H81)</f>
        <v>10</v>
      </c>
      <c r="AQ20" s="382"/>
      <c r="AR20" s="382" t="e">
        <f ca="1">TEXT(V!AG21&amp;" h",)</f>
        <v>#NAME?</v>
      </c>
      <c r="AS20" s="382"/>
      <c r="AT20" s="447">
        <f ca="1">V!AK21</f>
        <v>0</v>
      </c>
      <c r="AU20" s="382"/>
      <c r="AV20" s="382" t="e">
        <f ca="1">TEXT(V!AL21 &amp; " h",)</f>
        <v>#VALUE!</v>
      </c>
      <c r="AW20" s="445"/>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387" t="s">
        <v>7</v>
      </c>
      <c r="B21" s="388"/>
      <c r="C21" s="389" t="s">
        <v>24</v>
      </c>
      <c r="D21" s="390"/>
      <c r="E21" s="390"/>
      <c r="F21" s="390"/>
      <c r="G21" s="391"/>
      <c r="H21" s="406"/>
      <c r="I21" s="407"/>
      <c r="J21" s="408"/>
      <c r="K21" s="275" t="s">
        <v>11</v>
      </c>
      <c r="L21" s="233" t="s">
        <v>11</v>
      </c>
      <c r="M21" s="228" t="s">
        <v>11</v>
      </c>
      <c r="N21" s="175" t="s">
        <v>10</v>
      </c>
      <c r="O21" s="175" t="s">
        <v>17</v>
      </c>
      <c r="P21" s="175" t="s">
        <v>11</v>
      </c>
      <c r="Q21" s="175" t="s">
        <v>11</v>
      </c>
      <c r="R21" s="231" t="s">
        <v>10</v>
      </c>
      <c r="S21" s="269" t="s">
        <v>10</v>
      </c>
      <c r="T21" s="269" t="s">
        <v>10</v>
      </c>
      <c r="U21" s="175" t="s">
        <v>25</v>
      </c>
      <c r="V21" s="175" t="s">
        <v>11</v>
      </c>
      <c r="W21" s="175" t="s">
        <v>10</v>
      </c>
      <c r="X21" s="175" t="s">
        <v>25</v>
      </c>
      <c r="Y21" s="175" t="s">
        <v>10</v>
      </c>
      <c r="Z21" s="228" t="s">
        <v>11</v>
      </c>
      <c r="AA21" s="233" t="s">
        <v>11</v>
      </c>
      <c r="AB21" s="175" t="s">
        <v>10</v>
      </c>
      <c r="AC21" s="175" t="s">
        <v>10</v>
      </c>
      <c r="AD21" s="175" t="s">
        <v>10</v>
      </c>
      <c r="AE21" s="175" t="s">
        <v>17</v>
      </c>
      <c r="AF21" s="175" t="s">
        <v>17</v>
      </c>
      <c r="AG21" s="228" t="s">
        <v>11</v>
      </c>
      <c r="AH21" s="228" t="s">
        <v>11</v>
      </c>
      <c r="AI21" s="175" t="s">
        <v>25</v>
      </c>
      <c r="AJ21" s="233" t="s">
        <v>25</v>
      </c>
      <c r="AK21" s="175" t="s">
        <v>17</v>
      </c>
      <c r="AL21" s="175" t="s">
        <v>25</v>
      </c>
      <c r="AM21" s="175" t="s">
        <v>25</v>
      </c>
      <c r="AN21" s="228" t="s">
        <v>11</v>
      </c>
      <c r="AO21" s="272" t="s">
        <v>17</v>
      </c>
      <c r="AP21" s="381">
        <f>COUNTIF(K21:AO21,H81)</f>
        <v>11</v>
      </c>
      <c r="AQ21" s="382"/>
      <c r="AR21" s="382" t="e">
        <f ca="1">TEXT(V!AG22&amp;" h",)</f>
        <v>#NAME?</v>
      </c>
      <c r="AS21" s="382"/>
      <c r="AT21" s="447">
        <f ca="1">V!AK22</f>
        <v>0</v>
      </c>
      <c r="AU21" s="382"/>
      <c r="AV21" s="382" t="e">
        <f ca="1">TEXT(V!AL22 &amp; " h",)</f>
        <v>#VALUE!</v>
      </c>
      <c r="AW21" s="445"/>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387" t="s">
        <v>7</v>
      </c>
      <c r="B22" s="388"/>
      <c r="C22" s="389" t="s">
        <v>26</v>
      </c>
      <c r="D22" s="390"/>
      <c r="E22" s="390"/>
      <c r="F22" s="390"/>
      <c r="G22" s="391"/>
      <c r="H22" s="406"/>
      <c r="I22" s="407"/>
      <c r="J22" s="408"/>
      <c r="K22" s="275" t="s">
        <v>10</v>
      </c>
      <c r="L22" s="233" t="s">
        <v>10</v>
      </c>
      <c r="M22" s="228" t="s">
        <v>11</v>
      </c>
      <c r="N22" s="175" t="s">
        <v>11</v>
      </c>
      <c r="O22" s="175" t="s">
        <v>10</v>
      </c>
      <c r="P22" s="175" t="s">
        <v>10</v>
      </c>
      <c r="Q22" s="175" t="s">
        <v>10</v>
      </c>
      <c r="R22" s="175" t="s">
        <v>25</v>
      </c>
      <c r="S22" s="228" t="s">
        <v>11</v>
      </c>
      <c r="T22" s="228" t="s">
        <v>11</v>
      </c>
      <c r="U22" s="175" t="s">
        <v>17</v>
      </c>
      <c r="V22" s="175" t="s">
        <v>17</v>
      </c>
      <c r="W22" s="175" t="s">
        <v>17</v>
      </c>
      <c r="X22" s="175" t="s">
        <v>25</v>
      </c>
      <c r="Y22" s="175" t="s">
        <v>10</v>
      </c>
      <c r="Z22" s="228" t="s">
        <v>11</v>
      </c>
      <c r="AA22" s="233" t="s">
        <v>11</v>
      </c>
      <c r="AB22" s="175" t="s">
        <v>17</v>
      </c>
      <c r="AC22" s="175" t="s">
        <v>17</v>
      </c>
      <c r="AD22" s="175" t="s">
        <v>13</v>
      </c>
      <c r="AE22" s="175" t="s">
        <v>11</v>
      </c>
      <c r="AF22" s="175" t="s">
        <v>11</v>
      </c>
      <c r="AG22" s="228" t="s">
        <v>10</v>
      </c>
      <c r="AH22" s="228" t="s">
        <v>10</v>
      </c>
      <c r="AI22" s="175" t="s">
        <v>10</v>
      </c>
      <c r="AJ22" s="233" t="s">
        <v>11</v>
      </c>
      <c r="AK22" s="175" t="s">
        <v>10</v>
      </c>
      <c r="AL22" s="175" t="s">
        <v>25</v>
      </c>
      <c r="AM22" s="175" t="s">
        <v>25</v>
      </c>
      <c r="AN22" s="228" t="s">
        <v>11</v>
      </c>
      <c r="AO22" s="271" t="s">
        <v>11</v>
      </c>
      <c r="AP22" s="381">
        <f>COUNTIF(K22:AO22,H81)</f>
        <v>11</v>
      </c>
      <c r="AQ22" s="382"/>
      <c r="AR22" s="382" t="e">
        <f ca="1">TEXT(V!AG23&amp;" h",)</f>
        <v>#NAME?</v>
      </c>
      <c r="AS22" s="382"/>
      <c r="AT22" s="447">
        <f ca="1">V!AK23</f>
        <v>0</v>
      </c>
      <c r="AU22" s="382"/>
      <c r="AV22" s="382" t="e">
        <f ca="1">TEXT(V!AL23 &amp; " h",)</f>
        <v>#VALUE!</v>
      </c>
      <c r="AW22" s="445"/>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387"/>
      <c r="B23" s="388"/>
      <c r="C23" s="389"/>
      <c r="D23" s="390"/>
      <c r="E23" s="390"/>
      <c r="F23" s="390"/>
      <c r="G23" s="391"/>
      <c r="H23" s="406"/>
      <c r="I23" s="407"/>
      <c r="J23" s="408"/>
      <c r="K23" s="275"/>
      <c r="L23" s="233"/>
      <c r="M23" s="228"/>
      <c r="N23" s="175"/>
      <c r="O23" s="175"/>
      <c r="P23" s="175"/>
      <c r="Q23" s="175"/>
      <c r="R23" s="175"/>
      <c r="S23" s="228"/>
      <c r="T23" s="228"/>
      <c r="U23" s="175"/>
      <c r="V23" s="175"/>
      <c r="W23" s="175"/>
      <c r="X23" s="175"/>
      <c r="Y23" s="175"/>
      <c r="Z23" s="228"/>
      <c r="AA23" s="233"/>
      <c r="AB23" s="175"/>
      <c r="AC23" s="175"/>
      <c r="AD23" s="175"/>
      <c r="AE23" s="175"/>
      <c r="AF23" s="175"/>
      <c r="AG23" s="228"/>
      <c r="AH23" s="228"/>
      <c r="AI23" s="175"/>
      <c r="AJ23" s="233"/>
      <c r="AK23" s="175"/>
      <c r="AL23" s="175"/>
      <c r="AM23" s="175"/>
      <c r="AN23" s="228"/>
      <c r="AO23" s="271"/>
      <c r="AP23" s="381">
        <f>COUNTIF(K23:AO23,H81)</f>
        <v>0</v>
      </c>
      <c r="AQ23" s="382"/>
      <c r="AR23" s="382" t="e">
        <f ca="1">TEXT(V!AG24&amp;" h",)</f>
        <v>#NAME?</v>
      </c>
      <c r="AS23" s="382"/>
      <c r="AT23" s="447">
        <f ca="1">V!AK24</f>
        <v>0</v>
      </c>
      <c r="AU23" s="382"/>
      <c r="AV23" s="382" t="e">
        <f ca="1">TEXT(V!AL24 &amp; " h",)</f>
        <v>#NAME?</v>
      </c>
      <c r="AW23" s="445"/>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c r="A24" s="395"/>
      <c r="B24" s="396"/>
      <c r="C24" s="392"/>
      <c r="D24" s="393"/>
      <c r="E24" s="393"/>
      <c r="F24" s="393"/>
      <c r="G24" s="394"/>
      <c r="H24" s="409"/>
      <c r="I24" s="410"/>
      <c r="J24" s="411"/>
      <c r="K24" s="276"/>
      <c r="L24" s="234"/>
      <c r="M24" s="229"/>
      <c r="N24" s="176"/>
      <c r="O24" s="176"/>
      <c r="P24" s="176"/>
      <c r="Q24" s="176"/>
      <c r="R24" s="176"/>
      <c r="S24" s="229"/>
      <c r="T24" s="229"/>
      <c r="U24" s="176"/>
      <c r="V24" s="176"/>
      <c r="W24" s="176"/>
      <c r="X24" s="176"/>
      <c r="Y24" s="176"/>
      <c r="Z24" s="229"/>
      <c r="AA24" s="234"/>
      <c r="AB24" s="176"/>
      <c r="AC24" s="176"/>
      <c r="AD24" s="176"/>
      <c r="AE24" s="176"/>
      <c r="AF24" s="176"/>
      <c r="AG24" s="229"/>
      <c r="AH24" s="229"/>
      <c r="AI24" s="176"/>
      <c r="AJ24" s="234"/>
      <c r="AK24" s="176"/>
      <c r="AL24" s="176"/>
      <c r="AM24" s="176"/>
      <c r="AN24" s="229"/>
      <c r="AO24" s="273"/>
      <c r="AP24" s="383">
        <f>COUNTIF(K24:AO24,H81)</f>
        <v>0</v>
      </c>
      <c r="AQ24" s="380"/>
      <c r="AR24" s="380" t="e">
        <f ca="1">TEXT(V!AG25&amp;" h",)</f>
        <v>#NAME?</v>
      </c>
      <c r="AS24" s="380"/>
      <c r="AT24" s="448">
        <f ca="1">V!AK25</f>
        <v>0</v>
      </c>
      <c r="AU24" s="380"/>
      <c r="AV24" s="380" t="e">
        <f ca="1">TEXT(V!AL25 &amp; " h",)</f>
        <v>#NAME?</v>
      </c>
      <c r="AW24" s="446"/>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397" t="str">
        <f ca="1">INDIRECT("T!"&amp;T!A1&amp;"45")</f>
        <v>Ważne wydarzenia</v>
      </c>
      <c r="B25" s="398"/>
      <c r="C25" s="398"/>
      <c r="D25" s="398"/>
      <c r="E25" s="398"/>
      <c r="F25" s="398"/>
      <c r="G25" s="398"/>
      <c r="H25" s="398"/>
      <c r="I25" s="398"/>
      <c r="J25" s="399"/>
      <c r="K25" s="481" t="s">
        <v>27</v>
      </c>
      <c r="L25" s="489" t="s">
        <v>28</v>
      </c>
      <c r="M25" s="515" t="s">
        <v>29</v>
      </c>
      <c r="N25" s="496" t="s">
        <v>30</v>
      </c>
      <c r="O25" s="496"/>
      <c r="P25" s="496"/>
      <c r="Q25" s="496" t="s">
        <v>31</v>
      </c>
      <c r="R25" s="496"/>
      <c r="S25" s="495"/>
      <c r="T25" s="495"/>
      <c r="U25" s="496" t="s">
        <v>32</v>
      </c>
      <c r="V25" s="496" t="s">
        <v>33</v>
      </c>
      <c r="W25" s="496" t="s">
        <v>34</v>
      </c>
      <c r="X25" s="496" t="s">
        <v>35</v>
      </c>
      <c r="Y25" s="496" t="s">
        <v>33</v>
      </c>
      <c r="Z25" s="495"/>
      <c r="AA25" s="512"/>
      <c r="AB25" s="496"/>
      <c r="AC25" s="496" t="s">
        <v>36</v>
      </c>
      <c r="AD25" s="496" t="s">
        <v>37</v>
      </c>
      <c r="AE25" s="500"/>
      <c r="AF25" s="500"/>
      <c r="AG25" s="495"/>
      <c r="AH25" s="495"/>
      <c r="AI25" s="496" t="s">
        <v>38</v>
      </c>
      <c r="AJ25" s="503"/>
      <c r="AK25" s="500" t="s">
        <v>39</v>
      </c>
      <c r="AL25" s="497" t="s">
        <v>40</v>
      </c>
      <c r="AM25" s="496" t="s">
        <v>41</v>
      </c>
      <c r="AN25" s="495"/>
      <c r="AO25" s="492" t="s">
        <v>42</v>
      </c>
      <c r="AP25" s="518" t="s">
        <v>43</v>
      </c>
      <c r="AQ25" s="518"/>
      <c r="AR25" s="518"/>
      <c r="AS25" s="518"/>
      <c r="AT25" s="518"/>
      <c r="AU25" s="518"/>
      <c r="AV25" s="518"/>
      <c r="AW25" s="518"/>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400"/>
      <c r="B26" s="401"/>
      <c r="C26" s="401"/>
      <c r="D26" s="401"/>
      <c r="E26" s="401"/>
      <c r="F26" s="401"/>
      <c r="G26" s="401"/>
      <c r="H26" s="401"/>
      <c r="I26" s="401"/>
      <c r="J26" s="402"/>
      <c r="K26" s="482"/>
      <c r="L26" s="490"/>
      <c r="M26" s="516"/>
      <c r="N26" s="513"/>
      <c r="O26" s="490"/>
      <c r="P26" s="490"/>
      <c r="Q26" s="490"/>
      <c r="R26" s="490"/>
      <c r="S26" s="490"/>
      <c r="T26" s="490"/>
      <c r="U26" s="490"/>
      <c r="V26" s="490"/>
      <c r="W26" s="490"/>
      <c r="X26" s="490"/>
      <c r="Y26" s="490"/>
      <c r="Z26" s="490"/>
      <c r="AA26" s="501"/>
      <c r="AB26" s="490"/>
      <c r="AC26" s="506"/>
      <c r="AD26" s="508"/>
      <c r="AE26" s="510"/>
      <c r="AF26" s="501"/>
      <c r="AG26" s="490"/>
      <c r="AH26" s="508"/>
      <c r="AI26" s="506"/>
      <c r="AJ26" s="504"/>
      <c r="AK26" s="501"/>
      <c r="AL26" s="498"/>
      <c r="AM26" s="490"/>
      <c r="AN26" s="490"/>
      <c r="AO26" s="493"/>
      <c r="AP26" s="529" t="str">
        <f t="array" ref="AP26">IFERROR(INDEX(Calendar!$B$35:$G$69,SMALL(IF(months_cal=$A$4,ROW(months_cal)-ROW(Calendar!$G$35)+1),ROWS($AP$26:AP26)),COLUMNS($AP$26:AP26)),"")</f>
        <v/>
      </c>
      <c r="AQ26" s="530"/>
      <c r="AR26" s="523" t="str">
        <f t="array" ref="AR26">IFERROR(INDEX(Calendar!$B$35:$G$69,SMALL(IF(months_cal=$A$4,ROW(months_cal)-ROW(Calendar!$G$35)+1),ROWS($AP$26:AR26)),COLUMNS($AP$26:AR26)),"")</f>
        <v/>
      </c>
      <c r="AS26" s="523"/>
      <c r="AT26" s="523"/>
      <c r="AU26" s="523"/>
      <c r="AV26" s="523"/>
      <c r="AW26" s="524"/>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400"/>
      <c r="B27" s="401"/>
      <c r="C27" s="401"/>
      <c r="D27" s="401"/>
      <c r="E27" s="401"/>
      <c r="F27" s="401"/>
      <c r="G27" s="401"/>
      <c r="H27" s="401"/>
      <c r="I27" s="401"/>
      <c r="J27" s="402"/>
      <c r="K27" s="482"/>
      <c r="L27" s="490"/>
      <c r="M27" s="516"/>
      <c r="N27" s="513"/>
      <c r="O27" s="490"/>
      <c r="P27" s="490"/>
      <c r="Q27" s="490"/>
      <c r="R27" s="490"/>
      <c r="S27" s="490"/>
      <c r="T27" s="490"/>
      <c r="U27" s="490"/>
      <c r="V27" s="490"/>
      <c r="W27" s="490"/>
      <c r="X27" s="490"/>
      <c r="Y27" s="490"/>
      <c r="Z27" s="490"/>
      <c r="AA27" s="501"/>
      <c r="AB27" s="490"/>
      <c r="AC27" s="506"/>
      <c r="AD27" s="508"/>
      <c r="AE27" s="510"/>
      <c r="AF27" s="501"/>
      <c r="AG27" s="490"/>
      <c r="AH27" s="508"/>
      <c r="AI27" s="506"/>
      <c r="AJ27" s="504"/>
      <c r="AK27" s="501"/>
      <c r="AL27" s="498"/>
      <c r="AM27" s="490"/>
      <c r="AN27" s="490"/>
      <c r="AO27" s="493"/>
      <c r="AP27" s="519" t="str">
        <f t="array" ref="AP27">IFERROR(INDEX(Calendar!$B$35:$G$69,SMALL(IF(months_cal=$A$4,ROW(months_cal)-ROW(Calendar!$G$35)+1),ROWS($AP$26:AP27)),COLUMNS($AP$26:AP27)),"")</f>
        <v/>
      </c>
      <c r="AQ27" s="520"/>
      <c r="AR27" s="525" t="str">
        <f t="array" ref="AR27">IFERROR(INDEX(Calendar!$B$35:$G$69,SMALL(IF(months_cal=$A$4,ROW(months_cal)-ROW(Calendar!$G$35)+1),ROWS($AP$26:AR27)),COLUMNS($AP$26:AR27)),"")</f>
        <v/>
      </c>
      <c r="AS27" s="525"/>
      <c r="AT27" s="525"/>
      <c r="AU27" s="525"/>
      <c r="AV27" s="525"/>
      <c r="AW27" s="526"/>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400"/>
      <c r="B28" s="401"/>
      <c r="C28" s="401"/>
      <c r="D28" s="401"/>
      <c r="E28" s="401"/>
      <c r="F28" s="401"/>
      <c r="G28" s="401"/>
      <c r="H28" s="401"/>
      <c r="I28" s="401"/>
      <c r="J28" s="402"/>
      <c r="K28" s="482"/>
      <c r="L28" s="490"/>
      <c r="M28" s="516"/>
      <c r="N28" s="513"/>
      <c r="O28" s="490"/>
      <c r="P28" s="490"/>
      <c r="Q28" s="490"/>
      <c r="R28" s="490"/>
      <c r="S28" s="490"/>
      <c r="T28" s="490"/>
      <c r="U28" s="490"/>
      <c r="V28" s="490"/>
      <c r="W28" s="490"/>
      <c r="X28" s="490"/>
      <c r="Y28" s="490"/>
      <c r="Z28" s="490"/>
      <c r="AA28" s="501"/>
      <c r="AB28" s="490"/>
      <c r="AC28" s="506"/>
      <c r="AD28" s="508"/>
      <c r="AE28" s="510"/>
      <c r="AF28" s="501"/>
      <c r="AG28" s="490"/>
      <c r="AH28" s="508"/>
      <c r="AI28" s="506"/>
      <c r="AJ28" s="504"/>
      <c r="AK28" s="501"/>
      <c r="AL28" s="498"/>
      <c r="AM28" s="490"/>
      <c r="AN28" s="490"/>
      <c r="AO28" s="493"/>
      <c r="AP28" s="519" t="str">
        <f t="array" ref="AP28">IFERROR(INDEX(Calendar!$B$35:$G$69,SMALL(IF(months_cal=$A$4,ROW(months_cal)-ROW(Calendar!$G$35)+1),ROWS($AP$26:AP28)),COLUMNS($AP$26:AP28)),"")</f>
        <v/>
      </c>
      <c r="AQ28" s="520"/>
      <c r="AR28" s="525" t="str">
        <f t="array" ref="AR28">IFERROR(INDEX(Calendar!$B$35:$G$69,SMALL(IF(months_cal=$A$4,ROW(months_cal)-ROW(Calendar!$G$35)+1),ROWS($AP$26:AR28)),COLUMNS($AP$26:AR28)),"")</f>
        <v/>
      </c>
      <c r="AS28" s="525"/>
      <c r="AT28" s="525"/>
      <c r="AU28" s="525"/>
      <c r="AV28" s="525"/>
      <c r="AW28" s="526"/>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400"/>
      <c r="B29" s="401"/>
      <c r="C29" s="401"/>
      <c r="D29" s="401"/>
      <c r="E29" s="401"/>
      <c r="F29" s="401"/>
      <c r="G29" s="401"/>
      <c r="H29" s="401"/>
      <c r="I29" s="401"/>
      <c r="J29" s="402"/>
      <c r="K29" s="482"/>
      <c r="L29" s="490"/>
      <c r="M29" s="516"/>
      <c r="N29" s="513"/>
      <c r="O29" s="490"/>
      <c r="P29" s="490"/>
      <c r="Q29" s="490"/>
      <c r="R29" s="490"/>
      <c r="S29" s="490"/>
      <c r="T29" s="490"/>
      <c r="U29" s="490"/>
      <c r="V29" s="490"/>
      <c r="W29" s="490"/>
      <c r="X29" s="490"/>
      <c r="Y29" s="490"/>
      <c r="Z29" s="490"/>
      <c r="AA29" s="501"/>
      <c r="AB29" s="490"/>
      <c r="AC29" s="506"/>
      <c r="AD29" s="508"/>
      <c r="AE29" s="510"/>
      <c r="AF29" s="501"/>
      <c r="AG29" s="490"/>
      <c r="AH29" s="508"/>
      <c r="AI29" s="506"/>
      <c r="AJ29" s="504"/>
      <c r="AK29" s="501"/>
      <c r="AL29" s="498"/>
      <c r="AM29" s="490"/>
      <c r="AN29" s="490"/>
      <c r="AO29" s="493"/>
      <c r="AP29" s="519" t="str">
        <f t="array" ref="AP29">IFERROR(INDEX(Calendar!$B$35:$G$69,SMALL(IF(months_cal=$A$4,ROW(months_cal)-ROW(Calendar!$G$35)+1),ROWS($AP$26:AP29)),COLUMNS($AP$26:AP29)),"")</f>
        <v/>
      </c>
      <c r="AQ29" s="520"/>
      <c r="AR29" s="525" t="str">
        <f t="array" ref="AR29">IFERROR(INDEX(Calendar!$B$35:$G$69,SMALL(IF(months_cal=$A$4,ROW(months_cal)-ROW(Calendar!$G$35)+1),ROWS($AP$26:AR29)),COLUMNS($AP$26:AR29)),"")</f>
        <v/>
      </c>
      <c r="AS29" s="525"/>
      <c r="AT29" s="525"/>
      <c r="AU29" s="525"/>
      <c r="AV29" s="525"/>
      <c r="AW29" s="526"/>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400"/>
      <c r="B30" s="401"/>
      <c r="C30" s="401"/>
      <c r="D30" s="401"/>
      <c r="E30" s="401"/>
      <c r="F30" s="401"/>
      <c r="G30" s="401"/>
      <c r="H30" s="401"/>
      <c r="I30" s="401"/>
      <c r="J30" s="402"/>
      <c r="K30" s="482"/>
      <c r="L30" s="490"/>
      <c r="M30" s="516"/>
      <c r="N30" s="513"/>
      <c r="O30" s="490"/>
      <c r="P30" s="490"/>
      <c r="Q30" s="490"/>
      <c r="R30" s="490"/>
      <c r="S30" s="490"/>
      <c r="T30" s="490"/>
      <c r="U30" s="490"/>
      <c r="V30" s="490"/>
      <c r="W30" s="490"/>
      <c r="X30" s="490"/>
      <c r="Y30" s="490"/>
      <c r="Z30" s="490"/>
      <c r="AA30" s="501"/>
      <c r="AB30" s="490"/>
      <c r="AC30" s="506"/>
      <c r="AD30" s="508"/>
      <c r="AE30" s="510"/>
      <c r="AF30" s="501"/>
      <c r="AG30" s="490"/>
      <c r="AH30" s="508"/>
      <c r="AI30" s="506"/>
      <c r="AJ30" s="504"/>
      <c r="AK30" s="501"/>
      <c r="AL30" s="498"/>
      <c r="AM30" s="490"/>
      <c r="AN30" s="490"/>
      <c r="AO30" s="493"/>
      <c r="AP30" s="519" t="str">
        <f t="array" ref="AP30">IFERROR(INDEX(Calendar!$B$35:$G$69,SMALL(IF(months_cal=$A$4,ROW(months_cal)-ROW(Calendar!$G$35)+1),ROWS($AP$26:AP30)),COLUMNS($AP$26:AP30)),"")</f>
        <v/>
      </c>
      <c r="AQ30" s="520"/>
      <c r="AR30" s="525" t="str">
        <f t="array" ref="AR30">IFERROR(INDEX(Calendar!$B$35:$G$69,SMALL(IF(months_cal=$A$4,ROW(months_cal)-ROW(Calendar!$G$35)+1),ROWS($AP$26:AR30)),COLUMNS($AP$26:AR30)),"")</f>
        <v/>
      </c>
      <c r="AS30" s="525"/>
      <c r="AT30" s="525"/>
      <c r="AU30" s="525"/>
      <c r="AV30" s="525"/>
      <c r="AW30" s="526"/>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thickBot="1">
      <c r="A31" s="403"/>
      <c r="B31" s="404"/>
      <c r="C31" s="404"/>
      <c r="D31" s="404"/>
      <c r="E31" s="404"/>
      <c r="F31" s="404"/>
      <c r="G31" s="404"/>
      <c r="H31" s="404"/>
      <c r="I31" s="404"/>
      <c r="J31" s="405"/>
      <c r="K31" s="483"/>
      <c r="L31" s="491"/>
      <c r="M31" s="517"/>
      <c r="N31" s="514"/>
      <c r="O31" s="491"/>
      <c r="P31" s="491"/>
      <c r="Q31" s="491"/>
      <c r="R31" s="491"/>
      <c r="S31" s="491"/>
      <c r="T31" s="491"/>
      <c r="U31" s="491"/>
      <c r="V31" s="491"/>
      <c r="W31" s="491"/>
      <c r="X31" s="491"/>
      <c r="Y31" s="491"/>
      <c r="Z31" s="491"/>
      <c r="AA31" s="502"/>
      <c r="AB31" s="491"/>
      <c r="AC31" s="507"/>
      <c r="AD31" s="509"/>
      <c r="AE31" s="511"/>
      <c r="AF31" s="502"/>
      <c r="AG31" s="491"/>
      <c r="AH31" s="509"/>
      <c r="AI31" s="507"/>
      <c r="AJ31" s="505"/>
      <c r="AK31" s="502"/>
      <c r="AL31" s="499"/>
      <c r="AM31" s="491"/>
      <c r="AN31" s="491"/>
      <c r="AO31" s="494"/>
      <c r="AP31" s="521" t="str">
        <f t="array" ref="AP31">IFERROR(INDEX(Calendar!$B$35:$G$69,SMALL(IF(months_cal=$A$4,ROW(months_cal)-ROW(Calendar!$G$35)+1),ROWS($AP$26:AP31)),COLUMNS($AP$26:AP31)),"")</f>
        <v/>
      </c>
      <c r="AQ31" s="522"/>
      <c r="AR31" s="527" t="str">
        <f t="array" ref="AR31">IFERROR(INDEX(Calendar!$B$35:$G$69,SMALL(IF(months_cal=$A$4,ROW(months_cal)-ROW(Calendar!$G$35)+1),ROWS($AP$26:AR31)),COLUMNS($AP$26:AR31)),"")</f>
        <v/>
      </c>
      <c r="AS31" s="527"/>
      <c r="AT31" s="527"/>
      <c r="AU31" s="527"/>
      <c r="AV31" s="527"/>
      <c r="AW31" s="528"/>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c r="B32" s="169" t="s">
        <v>44</v>
      </c>
      <c r="C32" s="488" t="str">
        <f ca="1">INDIRECT("T!"&amp;T!A1&amp;"42")</f>
        <v>Nazwa Zmiany</v>
      </c>
      <c r="D32" s="488"/>
      <c r="E32" s="488"/>
      <c r="F32" s="488"/>
      <c r="G32" s="488"/>
      <c r="H32" s="79"/>
      <c r="I32" s="79" t="str">
        <f ca="1">INDIRECT("T!"&amp;T!A1&amp;"38")</f>
        <v>Od</v>
      </c>
      <c r="J32" s="79" t="str">
        <f ca="1">INDIRECT("T!"&amp;T!A1&amp;"39")</f>
        <v>Do</v>
      </c>
      <c r="K32" s="79" t="str">
        <f ca="1">INDIRECT("T!"&amp;T!A1&amp;"44")</f>
        <v>Czas</v>
      </c>
      <c r="L32" s="93"/>
      <c r="M32" s="351" t="s">
        <v>45</v>
      </c>
      <c r="N32" s="351"/>
      <c r="O32" s="351"/>
      <c r="P32" s="351"/>
      <c r="Q32" s="93"/>
      <c r="R32" s="79" t="str">
        <f ca="1">INDIRECT("T!"&amp;T!A1&amp;"38")</f>
        <v>Od</v>
      </c>
      <c r="S32" s="79" t="str">
        <f ca="1">INDIRECT("T!"&amp;T!A1&amp;"39")</f>
        <v>Do</v>
      </c>
      <c r="T32" s="79" t="str">
        <f ca="1">INDIRECT("T!"&amp;T!A1&amp;"44")</f>
        <v>Czas</v>
      </c>
      <c r="U32" s="92"/>
      <c r="V32" s="683"/>
      <c r="W32" s="683"/>
      <c r="X32" s="683"/>
      <c r="Y32" s="683"/>
      <c r="Z32" s="684"/>
      <c r="AA32" s="684"/>
      <c r="AB32" s="684"/>
      <c r="AC32" s="350"/>
      <c r="AD32" s="350"/>
      <c r="AE32" s="92"/>
      <c r="AF32" s="684"/>
      <c r="AG32" s="684"/>
      <c r="AH32" s="684"/>
      <c r="AI32" s="684"/>
      <c r="AJ32" s="684"/>
      <c r="AK32" s="684"/>
      <c r="AL32" s="684"/>
      <c r="AM32" s="684"/>
      <c r="AN32" s="684"/>
      <c r="AO32" s="92"/>
      <c r="AW32" s="220"/>
      <c r="AX32" s="218"/>
      <c r="AY32" s="218"/>
      <c r="AZ32" s="218"/>
      <c r="BA32" s="189"/>
      <c r="BB32" s="189"/>
      <c r="BC32" s="189"/>
      <c r="BD32" s="189"/>
      <c r="BE32" s="189"/>
      <c r="BF32" s="187"/>
      <c r="BG32" s="378"/>
      <c r="BH32" s="378"/>
      <c r="BI32" s="378"/>
      <c r="BJ32" s="378"/>
      <c r="BK32" s="378"/>
      <c r="BL32" s="378"/>
      <c r="BM32" s="378"/>
      <c r="BN32" s="378"/>
      <c r="BO32" s="378"/>
      <c r="BP32" s="378"/>
      <c r="BQ32" s="378"/>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46</v>
      </c>
      <c r="C33" s="352" t="str">
        <f>IF(Admin!E3="","",Admin!E3)</f>
        <v>Opening</v>
      </c>
      <c r="D33" s="353"/>
      <c r="E33" s="353"/>
      <c r="F33" s="353"/>
      <c r="G33" s="353"/>
      <c r="H33" s="214" t="str">
        <f>IF(Admin!F3="","",Admin!F3)</f>
        <v>AM</v>
      </c>
      <c r="I33" s="177">
        <v>0.29166666666666669</v>
      </c>
      <c r="J33" s="177">
        <v>0.625</v>
      </c>
      <c r="K33" s="80">
        <f ca="1">IF(B33=Lists!Q$1,(J33-I33)-YK!F$3,J33-I33)</f>
        <v>0.33333333333333331</v>
      </c>
      <c r="L33" s="170" t="s">
        <v>46</v>
      </c>
      <c r="M33" s="352" t="str">
        <f>IF(Admin!E23="","",Admin!E23)</f>
        <v xml:space="preserve">NC </v>
      </c>
      <c r="N33" s="353"/>
      <c r="O33" s="353"/>
      <c r="P33" s="353"/>
      <c r="Q33" s="214" t="str">
        <f>IF(Admin!F23="","",Admin!F23)</f>
        <v>NC</v>
      </c>
      <c r="R33" s="177">
        <v>0.29166666666666669</v>
      </c>
      <c r="S33" s="177">
        <v>0.625</v>
      </c>
      <c r="T33" s="80">
        <f>IF(L33=Lists!AA$1,(S33-R33)-YK!P$3,S33-R33)</f>
        <v>0.33333333333333331</v>
      </c>
      <c r="V33" s="366" t="s">
        <v>47</v>
      </c>
      <c r="W33" s="367"/>
      <c r="X33" s="367"/>
      <c r="Y33" s="368"/>
      <c r="Z33" s="321" t="s">
        <v>48</v>
      </c>
      <c r="AA33" s="322"/>
      <c r="AB33" s="322"/>
      <c r="AC33" s="322"/>
      <c r="AD33" s="322"/>
      <c r="AE33" s="322"/>
      <c r="AF33" s="303" t="s">
        <v>49</v>
      </c>
      <c r="AG33" s="303"/>
      <c r="AH33" s="303"/>
      <c r="AI33" s="303"/>
      <c r="AJ33" s="303"/>
      <c r="AK33" s="303"/>
      <c r="AL33" s="303" t="s">
        <v>50</v>
      </c>
      <c r="AM33" s="303"/>
      <c r="AN33" s="303"/>
      <c r="AO33" s="303"/>
      <c r="AP33" s="303"/>
      <c r="AQ33" s="303"/>
      <c r="AR33" s="303" t="s">
        <v>51</v>
      </c>
      <c r="AS33" s="303"/>
      <c r="AT33" s="303"/>
      <c r="AU33" s="303"/>
      <c r="AV33" s="303"/>
      <c r="AW33" s="304"/>
      <c r="AX33" s="42"/>
      <c r="AY33" s="42"/>
      <c r="AZ33" s="42"/>
      <c r="BA33" s="187"/>
      <c r="BB33" s="187"/>
      <c r="BC33" s="187"/>
      <c r="BD33" s="187"/>
      <c r="BE33" s="354"/>
      <c r="BF33" s="354"/>
      <c r="BG33" s="354"/>
      <c r="BH33" s="354"/>
      <c r="BI33" s="354"/>
      <c r="BJ33" s="354"/>
      <c r="BK33" s="355"/>
      <c r="BL33" s="355"/>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46</v>
      </c>
      <c r="C34" s="333" t="str">
        <f>IF(Admin!E4="","",Admin!E4)</f>
        <v>Closing</v>
      </c>
      <c r="D34" s="334"/>
      <c r="E34" s="334"/>
      <c r="F34" s="334"/>
      <c r="G34" s="334"/>
      <c r="H34" s="215" t="str">
        <f>IF(Admin!F4="","",Admin!F4)</f>
        <v>PM</v>
      </c>
      <c r="I34" s="178">
        <v>0.60416666666666663</v>
      </c>
      <c r="J34" s="178">
        <v>0.9375</v>
      </c>
      <c r="K34" s="71">
        <f ca="1">IF(B34=Lists!Q$1,(J34-I34)-YK!F$3,J34-I34)</f>
        <v>0.33333333333333337</v>
      </c>
      <c r="L34" s="170" t="s">
        <v>46</v>
      </c>
      <c r="M34" s="333" t="str">
        <f>IF(Admin!E24="","",Admin!E24)</f>
        <v>Szkolenie AM</v>
      </c>
      <c r="N34" s="334"/>
      <c r="O34" s="334"/>
      <c r="P34" s="334"/>
      <c r="Q34" s="215" t="str">
        <f>IF(Admin!F24="","",Admin!F24)</f>
        <v>TAM</v>
      </c>
      <c r="R34" s="178">
        <v>0.29166666666666669</v>
      </c>
      <c r="S34" s="178">
        <v>0.625</v>
      </c>
      <c r="T34" s="71">
        <f>IF(L34=Lists!AA$1,(S34-R34)-YK!P$3,S34-R34)</f>
        <v>0.33333333333333331</v>
      </c>
      <c r="V34" s="369" t="s">
        <v>52</v>
      </c>
      <c r="W34" s="370"/>
      <c r="X34" s="370"/>
      <c r="Y34" s="371"/>
      <c r="Z34" s="320" t="s">
        <v>53</v>
      </c>
      <c r="AA34" s="319"/>
      <c r="AB34" s="318" t="s">
        <v>54</v>
      </c>
      <c r="AC34" s="319"/>
      <c r="AD34" s="316" t="s">
        <v>55</v>
      </c>
      <c r="AE34" s="317"/>
      <c r="AF34" s="316" t="s">
        <v>56</v>
      </c>
      <c r="AG34" s="317"/>
      <c r="AH34" s="316" t="s">
        <v>57</v>
      </c>
      <c r="AI34" s="317"/>
      <c r="AJ34" s="314" t="s">
        <v>58</v>
      </c>
      <c r="AK34" s="315"/>
      <c r="AL34" s="314" t="s">
        <v>59</v>
      </c>
      <c r="AM34" s="315"/>
      <c r="AN34" s="314" t="s">
        <v>60</v>
      </c>
      <c r="AO34" s="315"/>
      <c r="AP34" s="312" t="s">
        <v>61</v>
      </c>
      <c r="AQ34" s="313"/>
      <c r="AR34" s="312" t="s">
        <v>62</v>
      </c>
      <c r="AS34" s="313"/>
      <c r="AT34" s="312" t="s">
        <v>63</v>
      </c>
      <c r="AU34" s="313"/>
      <c r="AV34" s="310" t="s">
        <v>64</v>
      </c>
      <c r="AW34" s="311"/>
      <c r="AX34" s="42"/>
      <c r="AY34" s="42"/>
      <c r="AZ34" s="42"/>
      <c r="BA34" s="187"/>
      <c r="BB34" s="190"/>
      <c r="BC34" s="190"/>
      <c r="BD34" s="190"/>
      <c r="BE34" s="190"/>
      <c r="BF34" s="190"/>
      <c r="BG34" s="190"/>
      <c r="BH34" s="190"/>
      <c r="BI34" s="190"/>
      <c r="BJ34" s="190"/>
      <c r="BK34" s="355"/>
      <c r="BL34" s="355"/>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46</v>
      </c>
      <c r="C35" s="333" t="str">
        <f>IF(Admin!E5="","",Admin!E5)</f>
        <v xml:space="preserve">AM Niedziela </v>
      </c>
      <c r="D35" s="334"/>
      <c r="E35" s="334"/>
      <c r="F35" s="334"/>
      <c r="G35" s="334"/>
      <c r="H35" s="215" t="str">
        <f>IF(Admin!F5="","",Admin!F5)</f>
        <v>AMN</v>
      </c>
      <c r="I35" s="178">
        <v>0.33333333333333331</v>
      </c>
      <c r="J35" s="178">
        <v>0.58333333333333337</v>
      </c>
      <c r="K35" s="71">
        <f ca="1">IF(B35=Lists!Q$1,(J35-I35)-YK!F$3,J35-I35)</f>
        <v>0.25000000000000006</v>
      </c>
      <c r="L35" s="170" t="s">
        <v>46</v>
      </c>
      <c r="M35" s="333" t="str">
        <f>IF(Admin!E25="","",Admin!E25)</f>
        <v>Szkolenie PM</v>
      </c>
      <c r="N35" s="334"/>
      <c r="O35" s="334"/>
      <c r="P35" s="334"/>
      <c r="Q35" s="215" t="str">
        <f>IF(Admin!F25="","",Admin!F25)</f>
        <v>TPM</v>
      </c>
      <c r="R35" s="178">
        <v>0.60416666666666663</v>
      </c>
      <c r="S35" s="178">
        <v>0.9375</v>
      </c>
      <c r="T35" s="71">
        <f>IF(L35=Lists!AA$1,(S35-R35)-YK!P$3,S35-R35)</f>
        <v>0.33333333333333337</v>
      </c>
      <c r="V35" s="372" t="s">
        <v>65</v>
      </c>
      <c r="W35" s="373"/>
      <c r="X35" s="373"/>
      <c r="Y35" s="374"/>
      <c r="Z35" s="307" t="s">
        <v>66</v>
      </c>
      <c r="AA35" s="308"/>
      <c r="AB35" s="306"/>
      <c r="AC35" s="306"/>
      <c r="AD35" s="305" t="s">
        <v>67</v>
      </c>
      <c r="AE35" s="305"/>
      <c r="AF35" s="279"/>
      <c r="AG35" s="279"/>
      <c r="AH35" s="309" t="s">
        <v>68</v>
      </c>
      <c r="AI35" s="309"/>
      <c r="AJ35" s="279"/>
      <c r="AK35" s="279"/>
      <c r="AL35" s="278" t="s">
        <v>69</v>
      </c>
      <c r="AM35" s="278"/>
      <c r="AN35" s="279"/>
      <c r="AO35" s="279"/>
      <c r="AP35" s="288" t="s">
        <v>70</v>
      </c>
      <c r="AQ35" s="288"/>
      <c r="AR35" s="279"/>
      <c r="AS35" s="279"/>
      <c r="AT35" s="279"/>
      <c r="AU35" s="279"/>
      <c r="AV35" s="289" t="s">
        <v>71</v>
      </c>
      <c r="AW35" s="290"/>
      <c r="AX35" s="42"/>
      <c r="AY35" s="42"/>
      <c r="AZ35" s="42"/>
      <c r="BA35" s="187"/>
      <c r="BB35" s="379"/>
      <c r="BC35" s="379"/>
      <c r="BD35" s="379"/>
      <c r="BE35" s="190"/>
      <c r="BF35" s="190"/>
      <c r="BG35" s="190"/>
      <c r="BH35" s="190"/>
      <c r="BI35" s="190"/>
      <c r="BJ35" s="190"/>
      <c r="BK35" s="355"/>
      <c r="BL35" s="355"/>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46</v>
      </c>
      <c r="C36" s="333" t="str">
        <f>IF(Admin!E6="","",Admin!E6)</f>
        <v>PM Niedziela</v>
      </c>
      <c r="D36" s="334"/>
      <c r="E36" s="334"/>
      <c r="F36" s="334"/>
      <c r="G36" s="334"/>
      <c r="H36" s="215" t="str">
        <f>IF(Admin!F6="","",Admin!F6)</f>
        <v>PMN</v>
      </c>
      <c r="I36" s="178"/>
      <c r="J36" s="178"/>
      <c r="K36" s="71">
        <f ca="1">IF(B36=Lists!Q$1,(J36-I36)-YK!F$3,J36-I36)</f>
        <v>0</v>
      </c>
      <c r="L36" s="170" t="s">
        <v>46</v>
      </c>
      <c r="M36" s="333" t="str">
        <f>IF(Admin!E26="","",Admin!E26)</f>
        <v>Odbiór nadgodziny</v>
      </c>
      <c r="N36" s="334"/>
      <c r="O36" s="334"/>
      <c r="P36" s="334"/>
      <c r="Q36" s="215" t="str">
        <f>IF(Admin!F26="","",Admin!F26)</f>
        <v>RET</v>
      </c>
      <c r="R36" s="178">
        <v>0.33333333333333331</v>
      </c>
      <c r="S36" s="178">
        <v>0.66666666666666663</v>
      </c>
      <c r="T36" s="71">
        <f>IF(L36=Lists!AA$1,(S36-R36)-YK!P$3,S36-R36)</f>
        <v>0.33333333333333331</v>
      </c>
      <c r="V36" s="372" t="s">
        <v>72</v>
      </c>
      <c r="W36" s="373"/>
      <c r="X36" s="373"/>
      <c r="Y36" s="374"/>
      <c r="Z36" s="332"/>
      <c r="AA36" s="306"/>
      <c r="AB36" s="308" t="s">
        <v>73</v>
      </c>
      <c r="AC36" s="308"/>
      <c r="AD36" s="306"/>
      <c r="AE36" s="306"/>
      <c r="AF36" s="305" t="s">
        <v>74</v>
      </c>
      <c r="AG36" s="305"/>
      <c r="AH36" s="279"/>
      <c r="AI36" s="279"/>
      <c r="AJ36" s="309" t="s">
        <v>75</v>
      </c>
      <c r="AK36" s="309"/>
      <c r="AL36" s="279"/>
      <c r="AM36" s="279"/>
      <c r="AN36" s="278" t="s">
        <v>76</v>
      </c>
      <c r="AO36" s="278"/>
      <c r="AP36" s="279"/>
      <c r="AQ36" s="279"/>
      <c r="AR36" s="288" t="s">
        <v>77</v>
      </c>
      <c r="AS36" s="288"/>
      <c r="AT36" s="279"/>
      <c r="AU36" s="279"/>
      <c r="AV36" s="289" t="s">
        <v>78</v>
      </c>
      <c r="AW36" s="290"/>
      <c r="AX36" s="42"/>
      <c r="AY36" s="42"/>
      <c r="AZ36" s="42"/>
      <c r="BA36" s="187"/>
      <c r="BB36" s="379"/>
      <c r="BC36" s="379"/>
      <c r="BD36" s="379"/>
      <c r="BE36" s="190"/>
      <c r="BF36" s="190"/>
      <c r="BG36" s="190"/>
      <c r="BH36" s="190"/>
      <c r="BI36" s="190"/>
      <c r="BJ36" s="190"/>
      <c r="BK36" s="355"/>
      <c r="BL36" s="355"/>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46</v>
      </c>
      <c r="C37" s="333" t="str">
        <f>IF(Admin!E7="","",Admin!E7)</f>
        <v>Support AM</v>
      </c>
      <c r="D37" s="334"/>
      <c r="E37" s="334"/>
      <c r="F37" s="334"/>
      <c r="G37" s="334"/>
      <c r="H37" s="215" t="str">
        <f>IF(Admin!F7="","",Admin!F7)</f>
        <v>SAM</v>
      </c>
      <c r="I37" s="178">
        <v>0.29166666666666669</v>
      </c>
      <c r="J37" s="178">
        <v>0.625</v>
      </c>
      <c r="K37" s="71">
        <f ca="1">IF(B37=Lists!Q$1,(J37-I37)-YK!F$3,J37-I37)</f>
        <v>0.33333333333333331</v>
      </c>
      <c r="L37" s="170" t="s">
        <v>46</v>
      </c>
      <c r="M37" s="333" t="str">
        <f>IF(Admin!E27="","",Admin!E27)</f>
        <v>Training</v>
      </c>
      <c r="N37" s="334"/>
      <c r="O37" s="334"/>
      <c r="P37" s="334"/>
      <c r="Q37" s="215" t="str">
        <f>IF(Admin!F27="","",Admin!F27)</f>
        <v>T</v>
      </c>
      <c r="R37" s="178">
        <v>0.33333333333333331</v>
      </c>
      <c r="S37" s="178">
        <v>0.66666666666666663</v>
      </c>
      <c r="T37" s="71">
        <f>IF(L37=Lists!AA$1,(S37-R37)-YK!P$3,S37-R37)</f>
        <v>0.33333333333333331</v>
      </c>
      <c r="V37" s="372" t="s">
        <v>79</v>
      </c>
      <c r="W37" s="373"/>
      <c r="X37" s="373"/>
      <c r="Y37" s="374"/>
      <c r="Z37" s="356" t="s">
        <v>80</v>
      </c>
      <c r="AA37" s="356"/>
      <c r="AB37" s="357"/>
      <c r="AC37" s="357"/>
      <c r="AD37" s="358" t="s">
        <v>81</v>
      </c>
      <c r="AE37" s="358"/>
      <c r="AF37" s="359"/>
      <c r="AG37" s="359"/>
      <c r="AH37" s="360" t="s">
        <v>82</v>
      </c>
      <c r="AI37" s="360"/>
      <c r="AJ37" s="361"/>
      <c r="AK37" s="361"/>
      <c r="AL37" s="362" t="s">
        <v>83</v>
      </c>
      <c r="AM37" s="362"/>
      <c r="AN37" s="361"/>
      <c r="AO37" s="361"/>
      <c r="AP37" s="363" t="s">
        <v>84</v>
      </c>
      <c r="AQ37" s="363"/>
      <c r="AR37" s="361"/>
      <c r="AS37" s="361"/>
      <c r="AT37" s="364" t="s">
        <v>85</v>
      </c>
      <c r="AU37" s="364"/>
      <c r="AV37" s="285"/>
      <c r="AW37" s="365"/>
      <c r="AX37" s="42"/>
      <c r="AY37" s="42"/>
      <c r="AZ37" s="42"/>
      <c r="BA37" s="187"/>
      <c r="BB37" s="379"/>
      <c r="BC37" s="379"/>
      <c r="BD37" s="379"/>
      <c r="BE37" s="190"/>
      <c r="BF37" s="190"/>
      <c r="BG37" s="190"/>
      <c r="BH37" s="190"/>
      <c r="BI37" s="190"/>
      <c r="BJ37" s="190"/>
      <c r="BK37" s="355"/>
      <c r="BL37" s="355"/>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46</v>
      </c>
      <c r="C38" s="333" t="str">
        <f>IF(Admin!E8="","",Admin!E8)</f>
        <v>Support PM</v>
      </c>
      <c r="D38" s="334"/>
      <c r="E38" s="334"/>
      <c r="F38" s="334"/>
      <c r="G38" s="334"/>
      <c r="H38" s="215" t="str">
        <f>IF(Admin!F8="","",Admin!F8)</f>
        <v>SPM</v>
      </c>
      <c r="I38" s="178">
        <v>0.60416666666666663</v>
      </c>
      <c r="J38" s="178">
        <v>0.9375</v>
      </c>
      <c r="K38" s="71">
        <f ca="1">IF(B38=Lists!Q$1,(J38-I38)-YK!F$3,J38-I38)</f>
        <v>0.33333333333333337</v>
      </c>
      <c r="L38" s="170" t="s">
        <v>46</v>
      </c>
      <c r="M38" s="333" t="str">
        <f>IF(Admin!E28="","",Admin!E28)</f>
        <v/>
      </c>
      <c r="N38" s="334"/>
      <c r="O38" s="334"/>
      <c r="P38" s="334"/>
      <c r="Q38" s="215" t="str">
        <f>IF(Admin!F28="","",Admin!F28)</f>
        <v/>
      </c>
      <c r="R38" s="178"/>
      <c r="S38" s="178"/>
      <c r="T38" s="71">
        <f>IF(L38=Lists!AA$1,(S38-R38)-YK!P$3,S38-R38)</f>
        <v>0</v>
      </c>
      <c r="V38" s="375" t="s">
        <v>86</v>
      </c>
      <c r="W38" s="376"/>
      <c r="X38" s="376"/>
      <c r="Y38" s="377"/>
      <c r="Z38" s="329" t="s">
        <v>87</v>
      </c>
      <c r="AA38" s="330"/>
      <c r="AB38" s="330"/>
      <c r="AC38" s="331"/>
      <c r="AD38" s="326" t="s">
        <v>88</v>
      </c>
      <c r="AE38" s="327"/>
      <c r="AF38" s="327"/>
      <c r="AG38" s="328"/>
      <c r="AH38" s="300" t="s">
        <v>89</v>
      </c>
      <c r="AI38" s="301"/>
      <c r="AJ38" s="301"/>
      <c r="AK38" s="302"/>
      <c r="AL38" s="297" t="s">
        <v>90</v>
      </c>
      <c r="AM38" s="298"/>
      <c r="AN38" s="298"/>
      <c r="AO38" s="299"/>
      <c r="AP38" s="294" t="s">
        <v>91</v>
      </c>
      <c r="AQ38" s="295"/>
      <c r="AR38" s="295"/>
      <c r="AS38" s="296"/>
      <c r="AT38" s="291" t="s">
        <v>92</v>
      </c>
      <c r="AU38" s="292"/>
      <c r="AV38" s="292"/>
      <c r="AW38" s="293"/>
      <c r="AX38" s="42"/>
      <c r="AY38" s="42"/>
      <c r="AZ38" s="42"/>
      <c r="BA38" s="187"/>
      <c r="BB38" s="379"/>
      <c r="BC38" s="379"/>
      <c r="BD38" s="379"/>
      <c r="BE38" s="190"/>
      <c r="BF38" s="190"/>
      <c r="BG38" s="190"/>
      <c r="BH38" s="190"/>
      <c r="BI38" s="190"/>
      <c r="BJ38" s="190"/>
      <c r="BK38" s="355"/>
      <c r="BL38" s="355"/>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46</v>
      </c>
      <c r="C39" s="333" t="str">
        <f>IF(Admin!E9="","",Admin!E9)</f>
        <v>Support do oddania</v>
      </c>
      <c r="D39" s="334"/>
      <c r="E39" s="334"/>
      <c r="F39" s="334"/>
      <c r="G39" s="334"/>
      <c r="H39" s="215" t="str">
        <f>IF(Admin!F9="","",Admin!F9)</f>
        <v>SUP</v>
      </c>
      <c r="I39" s="178">
        <v>0.41666666666666669</v>
      </c>
      <c r="J39" s="178">
        <v>0.75</v>
      </c>
      <c r="K39" s="71">
        <f ca="1">IF(B39=Lists!Q$1,(J39-I39)-YK!F$3,J39-I39)</f>
        <v>0.33333333333333331</v>
      </c>
      <c r="L39" s="170" t="s">
        <v>46</v>
      </c>
      <c r="M39" s="333" t="str">
        <f>IF(Admin!E29="","",Admin!E29)</f>
        <v/>
      </c>
      <c r="N39" s="334"/>
      <c r="O39" s="334"/>
      <c r="P39" s="334"/>
      <c r="Q39" s="215" t="str">
        <f>IF(Admin!F29="","",Admin!F29)</f>
        <v/>
      </c>
      <c r="R39" s="178"/>
      <c r="S39" s="178"/>
      <c r="T39" s="71">
        <f>IF(L39=Lists!AA$1,(S39-R39)-YK!P$3,S39-R39)</f>
        <v>0</v>
      </c>
      <c r="V39" s="372" t="s">
        <v>93</v>
      </c>
      <c r="W39" s="373"/>
      <c r="X39" s="373"/>
      <c r="Y39" s="374"/>
      <c r="Z39" s="238"/>
      <c r="AA39" s="323" t="s">
        <v>94</v>
      </c>
      <c r="AB39" s="324"/>
      <c r="AC39" s="325"/>
      <c r="AD39" s="280" t="s">
        <v>95</v>
      </c>
      <c r="AE39" s="281"/>
      <c r="AF39" s="281"/>
      <c r="AG39" s="282"/>
      <c r="AH39" s="286"/>
      <c r="AI39" s="287"/>
      <c r="AJ39" s="286"/>
      <c r="AK39" s="287"/>
      <c r="AL39" s="286"/>
      <c r="AM39" s="287"/>
      <c r="AN39" s="286"/>
      <c r="AO39" s="287"/>
      <c r="AP39" s="280" t="s">
        <v>95</v>
      </c>
      <c r="AQ39" s="281"/>
      <c r="AR39" s="281"/>
      <c r="AS39" s="282"/>
      <c r="AT39" s="283"/>
      <c r="AU39" s="285"/>
      <c r="AV39" s="283"/>
      <c r="AW39" s="284"/>
      <c r="AX39" s="187"/>
      <c r="AY39" s="354"/>
      <c r="AZ39" s="354"/>
      <c r="BA39" s="354"/>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46</v>
      </c>
      <c r="C40" s="333" t="str">
        <f>IF(Admin!E10="","",Admin!E10)</f>
        <v>MID Bar</v>
      </c>
      <c r="D40" s="334"/>
      <c r="E40" s="334"/>
      <c r="F40" s="334"/>
      <c r="G40" s="334"/>
      <c r="H40" s="215" t="str">
        <f>IF(Admin!F10="","",Admin!F10)</f>
        <v>MIB</v>
      </c>
      <c r="I40" s="178">
        <v>0.5</v>
      </c>
      <c r="J40" s="178">
        <v>0.83333333333333337</v>
      </c>
      <c r="K40" s="71">
        <f ca="1">IF(B40=Lists!Q$1,(J40-I40)-YK!F$3,J40-I40)</f>
        <v>0.33333333333333337</v>
      </c>
      <c r="L40" s="170" t="s">
        <v>46</v>
      </c>
      <c r="M40" s="333" t="str">
        <f>IF(Admin!E30="","",Admin!E30)</f>
        <v/>
      </c>
      <c r="N40" s="334"/>
      <c r="O40" s="334"/>
      <c r="P40" s="334"/>
      <c r="Q40" s="215" t="str">
        <f>IF(Admin!F30="","",Admin!F30)</f>
        <v/>
      </c>
      <c r="R40" s="178"/>
      <c r="S40" s="178"/>
      <c r="T40" s="71">
        <f>IF(L40=Lists!AA$1,(S40-R40)-YK!P$3,S40-R40)</f>
        <v>0</v>
      </c>
      <c r="V40" s="340"/>
      <c r="W40" s="341"/>
      <c r="X40" s="341"/>
      <c r="Y40" s="342"/>
      <c r="Z40" s="240"/>
      <c r="AA40" s="241"/>
      <c r="AB40" s="241"/>
      <c r="AC40" s="242"/>
      <c r="AD40" s="243"/>
      <c r="AE40" s="244"/>
      <c r="AF40" s="244"/>
      <c r="AG40" s="244"/>
      <c r="AH40" s="244"/>
      <c r="AI40" s="244"/>
      <c r="AJ40" s="244"/>
      <c r="AK40" s="244"/>
      <c r="AL40" s="244" t="s">
        <v>96</v>
      </c>
      <c r="AM40" s="244"/>
      <c r="AN40" s="244"/>
      <c r="AO40" s="244"/>
      <c r="AP40" s="244"/>
      <c r="AQ40" s="245"/>
      <c r="AR40" s="245"/>
      <c r="AS40" s="245"/>
      <c r="AT40" s="245"/>
      <c r="AU40" s="245"/>
      <c r="AV40" s="245"/>
      <c r="AW40" s="237"/>
      <c r="AX40" s="187"/>
      <c r="AY40" s="354"/>
      <c r="AZ40" s="354"/>
      <c r="BA40" s="354"/>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46</v>
      </c>
      <c r="C41" s="333" t="str">
        <f>IF(Admin!E11="","",Admin!E11)</f>
        <v>AM Bar</v>
      </c>
      <c r="D41" s="334"/>
      <c r="E41" s="334"/>
      <c r="F41" s="334"/>
      <c r="G41" s="334"/>
      <c r="H41" s="215" t="str">
        <f>IF(Admin!F11="","",Admin!F11)</f>
        <v>AMB</v>
      </c>
      <c r="I41" s="178">
        <v>0.29166666666666669</v>
      </c>
      <c r="J41" s="178">
        <v>0.625</v>
      </c>
      <c r="K41" s="71">
        <f ca="1">IF(B41=Lists!Q$1,(J41-I41)-YK!F$3,J41-I41)</f>
        <v>0.33333333333333331</v>
      </c>
      <c r="L41" s="170" t="s">
        <v>46</v>
      </c>
      <c r="M41" s="333" t="str">
        <f>IF(Admin!E31="","",Admin!E31)</f>
        <v/>
      </c>
      <c r="N41" s="334"/>
      <c r="O41" s="334"/>
      <c r="P41" s="334"/>
      <c r="Q41" s="215" t="str">
        <f>IF(Admin!F31="","",Admin!F31)</f>
        <v/>
      </c>
      <c r="R41" s="178"/>
      <c r="S41" s="178"/>
      <c r="T41" s="71">
        <f>IF(L41=Lists!AA$1,(S41-R41)-YK!P$3,S41-R41)</f>
        <v>0</v>
      </c>
      <c r="V41" s="340"/>
      <c r="W41" s="341"/>
      <c r="X41" s="341"/>
      <c r="Y41" s="342"/>
      <c r="Z41" s="240"/>
      <c r="AA41" s="241"/>
      <c r="AB41" s="241"/>
      <c r="AC41" s="242"/>
      <c r="AD41" s="243"/>
      <c r="AE41" s="244"/>
      <c r="AF41" s="244"/>
      <c r="AG41" s="244"/>
      <c r="AH41" s="244"/>
      <c r="AI41" s="244"/>
      <c r="AJ41" s="244"/>
      <c r="AK41" s="244"/>
      <c r="AL41" s="244"/>
      <c r="AM41" s="244"/>
      <c r="AN41" s="244"/>
      <c r="AO41" s="244"/>
      <c r="AP41" s="244"/>
      <c r="AQ41" s="245"/>
      <c r="AR41" s="245"/>
      <c r="AS41" s="245"/>
      <c r="AT41" s="245"/>
      <c r="AU41" s="245"/>
      <c r="AV41" s="245"/>
      <c r="AW41" s="237"/>
      <c r="AX41" s="187"/>
      <c r="AY41" s="354"/>
      <c r="AZ41" s="354"/>
      <c r="BA41" s="354"/>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46</v>
      </c>
      <c r="C42" s="333" t="str">
        <f>IF(Admin!E12="","",Admin!E12)</f>
        <v>PM Bar</v>
      </c>
      <c r="D42" s="334"/>
      <c r="E42" s="334"/>
      <c r="F42" s="334"/>
      <c r="G42" s="334"/>
      <c r="H42" s="215" t="str">
        <f>IF(Admin!F12="","",Admin!F12)</f>
        <v>PMB</v>
      </c>
      <c r="I42" s="178">
        <v>0.60416666666666663</v>
      </c>
      <c r="J42" s="178">
        <v>0.9375</v>
      </c>
      <c r="K42" s="71">
        <f ca="1">IF(B42=Lists!Q$1,(J42-I42)-YK!F$3,J42-I42)</f>
        <v>0.33333333333333337</v>
      </c>
      <c r="L42" s="170" t="s">
        <v>46</v>
      </c>
      <c r="M42" s="333" t="str">
        <f>IF(Admin!E32="","",Admin!E32)</f>
        <v/>
      </c>
      <c r="N42" s="334"/>
      <c r="O42" s="334"/>
      <c r="P42" s="334"/>
      <c r="Q42" s="215" t="str">
        <f>IF(Admin!F32="","",Admin!F32)</f>
        <v/>
      </c>
      <c r="R42" s="178"/>
      <c r="S42" s="178"/>
      <c r="T42" s="71">
        <f>IF(L42=Lists!AA$1,(S42-R42)-YK!P$3,S42-R42)</f>
        <v>0</v>
      </c>
      <c r="V42" s="340"/>
      <c r="W42" s="341"/>
      <c r="X42" s="341"/>
      <c r="Y42" s="342"/>
      <c r="Z42" s="240"/>
      <c r="AA42" s="241"/>
      <c r="AB42" s="241"/>
      <c r="AC42" s="242"/>
      <c r="AD42" s="243"/>
      <c r="AE42" s="244"/>
      <c r="AF42" s="244"/>
      <c r="AG42" s="244"/>
      <c r="AH42" s="244"/>
      <c r="AI42" s="244"/>
      <c r="AJ42" s="244"/>
      <c r="AK42" s="244"/>
      <c r="AL42" s="244"/>
      <c r="AM42" s="244"/>
      <c r="AN42" s="244"/>
      <c r="AO42" s="244"/>
      <c r="AP42" s="244"/>
      <c r="AQ42" s="245"/>
      <c r="AR42" s="245"/>
      <c r="AS42" s="245"/>
      <c r="AT42" s="245"/>
      <c r="AU42" s="245"/>
      <c r="AV42" s="245"/>
      <c r="AW42" s="237"/>
      <c r="AX42" s="187"/>
      <c r="AY42" s="354"/>
      <c r="AZ42" s="354"/>
      <c r="BA42" s="354"/>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46</v>
      </c>
      <c r="C43" s="333" t="str">
        <f>IF(Admin!E13="","",Admin!E13)</f>
        <v>MiD 4h</v>
      </c>
      <c r="D43" s="334"/>
      <c r="E43" s="334"/>
      <c r="F43" s="334"/>
      <c r="G43" s="334"/>
      <c r="H43" s="215" t="str">
        <f>IF(Admin!F13="","",Admin!F13)</f>
        <v>MI4</v>
      </c>
      <c r="I43" s="178">
        <v>0.41666666666666669</v>
      </c>
      <c r="J43" s="178">
        <v>0.58333333333333337</v>
      </c>
      <c r="K43" s="71">
        <f ca="1">IF(B43=Lists!Q$1,(J43-I43)-YK!F$3,J43-I43)</f>
        <v>0.16666666666666669</v>
      </c>
      <c r="L43" s="170" t="s">
        <v>46</v>
      </c>
      <c r="M43" s="333" t="str">
        <f>IF(Admin!E33="","",Admin!E33)</f>
        <v/>
      </c>
      <c r="N43" s="334"/>
      <c r="O43" s="334"/>
      <c r="P43" s="334"/>
      <c r="Q43" s="215" t="str">
        <f>IF(Admin!F33="","",Admin!F33)</f>
        <v/>
      </c>
      <c r="R43" s="178"/>
      <c r="S43" s="178"/>
      <c r="T43" s="71">
        <f>IF(L43=Lists!AA$1,(S43-R43)-YK!P$3,S43-R43)</f>
        <v>0</v>
      </c>
      <c r="V43" s="340"/>
      <c r="W43" s="341"/>
      <c r="X43" s="341"/>
      <c r="Y43" s="342"/>
      <c r="Z43" s="240"/>
      <c r="AA43" s="241"/>
      <c r="AB43" s="241"/>
      <c r="AC43" s="242"/>
      <c r="AD43" s="243"/>
      <c r="AE43" s="244"/>
      <c r="AF43" s="244"/>
      <c r="AG43" s="244"/>
      <c r="AH43" s="244"/>
      <c r="AI43" s="244"/>
      <c r="AJ43" s="244"/>
      <c r="AK43" s="244"/>
      <c r="AL43" s="244"/>
      <c r="AM43" s="244"/>
      <c r="AN43" s="244"/>
      <c r="AO43" s="244"/>
      <c r="AP43" s="244"/>
      <c r="AQ43" s="245"/>
      <c r="AR43" s="245"/>
      <c r="AS43" s="245"/>
      <c r="AT43" s="245"/>
      <c r="AU43" s="245"/>
      <c r="AV43" s="245"/>
      <c r="AW43" s="237"/>
      <c r="AX43" s="187"/>
      <c r="AY43" s="354"/>
      <c r="AZ43" s="354"/>
      <c r="BA43" s="354"/>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46</v>
      </c>
      <c r="C44" s="333" t="str">
        <f>IF(Admin!E14="","",Admin!E14)</f>
        <v/>
      </c>
      <c r="D44" s="334"/>
      <c r="E44" s="334"/>
      <c r="F44" s="334"/>
      <c r="G44" s="334"/>
      <c r="H44" s="215" t="str">
        <f>IF(Admin!F14="","",Admin!F14)</f>
        <v/>
      </c>
      <c r="I44" s="178"/>
      <c r="J44" s="178"/>
      <c r="K44" s="71">
        <f ca="1">IF(B44=Lists!Q$1,(J44-I44)-YK!F$3,J44-I44)</f>
        <v>0</v>
      </c>
      <c r="L44" s="170" t="s">
        <v>46</v>
      </c>
      <c r="M44" s="333" t="str">
        <f>IF(Admin!E34="","",Admin!E34)</f>
        <v/>
      </c>
      <c r="N44" s="334"/>
      <c r="O44" s="334"/>
      <c r="P44" s="334"/>
      <c r="Q44" s="215" t="str">
        <f>IF(Admin!F34="","",Admin!F34)</f>
        <v/>
      </c>
      <c r="R44" s="178"/>
      <c r="S44" s="178"/>
      <c r="T44" s="71">
        <f>IF(L44=Lists!AA$1,(S44-R44)-YK!P$3,S44-R44)</f>
        <v>0</v>
      </c>
      <c r="V44" s="340"/>
      <c r="W44" s="341"/>
      <c r="X44" s="341"/>
      <c r="Y44" s="342"/>
      <c r="Z44" s="240"/>
      <c r="AA44" s="241"/>
      <c r="AB44" s="241"/>
      <c r="AC44" s="242"/>
      <c r="AD44" s="243"/>
      <c r="AE44" s="244"/>
      <c r="AF44" s="244"/>
      <c r="AG44" s="244"/>
      <c r="AH44" s="244"/>
      <c r="AI44" s="244"/>
      <c r="AJ44" s="244"/>
      <c r="AK44" s="244"/>
      <c r="AL44" s="244"/>
      <c r="AM44" s="244"/>
      <c r="AN44" s="244"/>
      <c r="AO44" s="244"/>
      <c r="AP44" s="244"/>
      <c r="AQ44" s="245"/>
      <c r="AR44" s="245"/>
      <c r="AS44" s="245"/>
      <c r="AT44" s="245"/>
      <c r="AU44" s="245"/>
      <c r="AV44" s="245"/>
      <c r="AW44" s="237"/>
      <c r="AX44" s="187"/>
      <c r="AY44" s="354"/>
      <c r="AZ44" s="354"/>
      <c r="BA44" s="354"/>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46</v>
      </c>
      <c r="C45" s="333" t="str">
        <f>IF(Admin!E15="","",Admin!E15)</f>
        <v/>
      </c>
      <c r="D45" s="334"/>
      <c r="E45" s="334"/>
      <c r="F45" s="334"/>
      <c r="G45" s="334"/>
      <c r="H45" s="215" t="str">
        <f>IF(Admin!F15="","",Admin!F15)</f>
        <v/>
      </c>
      <c r="I45" s="178"/>
      <c r="J45" s="178"/>
      <c r="K45" s="71">
        <f ca="1">IF(B45=Lists!Q$1,(J45-I45)-YK!F$3,J45-I45)</f>
        <v>0</v>
      </c>
      <c r="L45" s="171" t="s">
        <v>46</v>
      </c>
      <c r="M45" s="333" t="str">
        <f>IF(Admin!E35="","",Admin!E35)</f>
        <v/>
      </c>
      <c r="N45" s="334"/>
      <c r="O45" s="334"/>
      <c r="P45" s="334"/>
      <c r="Q45" s="215" t="str">
        <f>IF(Admin!F35="","",Admin!F35)</f>
        <v/>
      </c>
      <c r="R45" s="178"/>
      <c r="S45" s="178"/>
      <c r="T45" s="71">
        <f>IF(L45=Lists!AA$1,(S45-R45)-YK!P$3,S45-R45)</f>
        <v>0</v>
      </c>
      <c r="V45" s="340"/>
      <c r="W45" s="341"/>
      <c r="X45" s="341"/>
      <c r="Y45" s="342"/>
      <c r="Z45" s="240"/>
      <c r="AA45" s="241"/>
      <c r="AB45" s="241"/>
      <c r="AC45" s="242"/>
      <c r="AD45" s="243"/>
      <c r="AE45" s="244"/>
      <c r="AF45" s="244"/>
      <c r="AG45" s="244"/>
      <c r="AH45" s="244"/>
      <c r="AI45" s="244"/>
      <c r="AJ45" s="244"/>
      <c r="AK45" s="244"/>
      <c r="AL45" s="244"/>
      <c r="AM45" s="244"/>
      <c r="AN45" s="244"/>
      <c r="AO45" s="244"/>
      <c r="AP45" s="244"/>
      <c r="AQ45" s="246"/>
      <c r="AR45" s="246"/>
      <c r="AS45" s="246"/>
      <c r="AT45" s="246"/>
      <c r="AU45" s="246"/>
      <c r="AV45" s="246"/>
      <c r="AW45" s="237"/>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46</v>
      </c>
      <c r="C46" s="333" t="str">
        <f>IF(Admin!E16="","",Admin!E16)</f>
        <v/>
      </c>
      <c r="D46" s="334"/>
      <c r="E46" s="334"/>
      <c r="F46" s="334"/>
      <c r="G46" s="334"/>
      <c r="H46" s="215" t="str">
        <f>IF(Admin!F16="","",Admin!F16)</f>
        <v/>
      </c>
      <c r="I46" s="178"/>
      <c r="J46" s="178"/>
      <c r="K46" s="71">
        <f ca="1">IF(B46=Lists!Q$1,(J46-I46)-YK!F$3,J46-I46)</f>
        <v>0</v>
      </c>
      <c r="L46" s="171" t="s">
        <v>46</v>
      </c>
      <c r="M46" s="333" t="str">
        <f>IF(Admin!E36="","",Admin!E36)</f>
        <v/>
      </c>
      <c r="N46" s="334"/>
      <c r="O46" s="334"/>
      <c r="P46" s="334"/>
      <c r="Q46" s="215" t="str">
        <f>IF(Admin!F36="","",Admin!F36)</f>
        <v/>
      </c>
      <c r="R46" s="178"/>
      <c r="S46" s="178"/>
      <c r="T46" s="71">
        <f>IF(L46=Lists!AA$1,(S46-R46)-YK!P$3,S46-R46)</f>
        <v>0</v>
      </c>
      <c r="V46" s="340"/>
      <c r="W46" s="341"/>
      <c r="X46" s="341"/>
      <c r="Y46" s="342"/>
      <c r="Z46" s="240"/>
      <c r="AA46" s="241"/>
      <c r="AB46" s="241"/>
      <c r="AC46" s="242"/>
      <c r="AD46" s="243"/>
      <c r="AE46" s="244"/>
      <c r="AF46" s="244"/>
      <c r="AG46" s="244"/>
      <c r="AH46" s="244"/>
      <c r="AI46" s="244"/>
      <c r="AJ46" s="244"/>
      <c r="AK46" s="244"/>
      <c r="AL46" s="244"/>
      <c r="AM46" s="244"/>
      <c r="AN46" s="244"/>
      <c r="AO46" s="244"/>
      <c r="AP46" s="244"/>
      <c r="AQ46" s="246"/>
      <c r="AR46" s="246"/>
      <c r="AS46" s="246"/>
      <c r="AT46" s="246"/>
      <c r="AU46" s="246"/>
      <c r="AV46" s="246"/>
      <c r="AW46" s="237"/>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46</v>
      </c>
      <c r="C47" s="479" t="str">
        <f>IF(Admin!E17="","",Admin!E17)</f>
        <v/>
      </c>
      <c r="D47" s="480"/>
      <c r="E47" s="480"/>
      <c r="F47" s="480"/>
      <c r="G47" s="480"/>
      <c r="H47" s="221" t="str">
        <f>IF(Admin!F17="","",Admin!F17)</f>
        <v/>
      </c>
      <c r="I47" s="222"/>
      <c r="J47" s="222"/>
      <c r="K47" s="223">
        <f ca="1">IF(B47=Lists!Q$1,(J47-I47)-YK!F$3,J47-I47)</f>
        <v>0</v>
      </c>
      <c r="L47" s="171" t="s">
        <v>46</v>
      </c>
      <c r="M47" s="333" t="str">
        <f>IF(Admin!E37="","",Admin!E37)</f>
        <v/>
      </c>
      <c r="N47" s="334"/>
      <c r="O47" s="334"/>
      <c r="P47" s="334"/>
      <c r="Q47" s="215" t="str">
        <f>IF(Admin!F37="","",Admin!F37)</f>
        <v/>
      </c>
      <c r="R47" s="178"/>
      <c r="S47" s="178"/>
      <c r="T47" s="71">
        <f>IF(L47=Lists!AA$1,(S47-R47)-YK!P$3,S47-R47)</f>
        <v>0</v>
      </c>
      <c r="V47" s="340"/>
      <c r="W47" s="341"/>
      <c r="X47" s="341"/>
      <c r="Y47" s="342"/>
      <c r="Z47" s="240"/>
      <c r="AA47" s="241"/>
      <c r="AB47" s="241"/>
      <c r="AC47" s="242"/>
      <c r="AD47" s="243"/>
      <c r="AE47" s="244"/>
      <c r="AF47" s="244"/>
      <c r="AG47" s="244"/>
      <c r="AH47" s="244"/>
      <c r="AI47" s="244"/>
      <c r="AJ47" s="244"/>
      <c r="AK47" s="244"/>
      <c r="AL47" s="244"/>
      <c r="AM47" s="244"/>
      <c r="AN47" s="244"/>
      <c r="AO47" s="244"/>
      <c r="AP47" s="244"/>
      <c r="AQ47" s="246"/>
      <c r="AR47" s="246"/>
      <c r="AS47" s="246"/>
      <c r="AT47" s="246"/>
      <c r="AU47" s="246"/>
      <c r="AV47" s="246"/>
      <c r="AW47" s="237"/>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46</v>
      </c>
      <c r="C48" s="333" t="str">
        <f>IF(Admin!E18="","",Admin!E18)</f>
        <v/>
      </c>
      <c r="D48" s="334"/>
      <c r="E48" s="334"/>
      <c r="F48" s="334"/>
      <c r="G48" s="334"/>
      <c r="H48" s="215" t="str">
        <f>IF(Admin!F18="","",Admin!F18)</f>
        <v/>
      </c>
      <c r="I48" s="178"/>
      <c r="J48" s="178"/>
      <c r="K48" s="71">
        <f ca="1">IF(B48=Lists!Q$1,(J48-I48)-YK!F$3,J48-I48)</f>
        <v>0</v>
      </c>
      <c r="L48" s="171" t="s">
        <v>46</v>
      </c>
      <c r="M48" s="333" t="str">
        <f>IF(Admin!E38="","",Admin!E38)</f>
        <v/>
      </c>
      <c r="N48" s="334"/>
      <c r="O48" s="334"/>
      <c r="P48" s="334"/>
      <c r="Q48" s="215" t="str">
        <f>IF(Admin!F38="","",Admin!F38)</f>
        <v/>
      </c>
      <c r="R48" s="178"/>
      <c r="S48" s="178"/>
      <c r="T48" s="71">
        <f>IF(L48=Lists!AA$1,(S48-R48)-YK!P$3,S48-R48)</f>
        <v>0</v>
      </c>
      <c r="V48" s="340"/>
      <c r="W48" s="341"/>
      <c r="X48" s="341"/>
      <c r="Y48" s="342"/>
      <c r="Z48" s="240"/>
      <c r="AA48" s="241"/>
      <c r="AB48" s="241"/>
      <c r="AC48" s="242"/>
      <c r="AD48" s="243"/>
      <c r="AE48" s="244"/>
      <c r="AF48" s="247"/>
      <c r="AG48" s="247"/>
      <c r="AH48" s="247"/>
      <c r="AI48" s="247"/>
      <c r="AJ48" s="247"/>
      <c r="AK48" s="247"/>
      <c r="AL48" s="247"/>
      <c r="AM48" s="247"/>
      <c r="AN48" s="247"/>
      <c r="AO48" s="247"/>
      <c r="AP48" s="247"/>
      <c r="AQ48" s="248"/>
      <c r="AR48" s="248"/>
      <c r="AS48" s="248"/>
      <c r="AT48" s="248"/>
      <c r="AU48" s="248"/>
      <c r="AV48" s="248"/>
      <c r="AW48" s="249"/>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46</v>
      </c>
      <c r="C49" s="333" t="str">
        <f>IF(Admin!E19="","",Admin!E19)</f>
        <v/>
      </c>
      <c r="D49" s="334"/>
      <c r="E49" s="334"/>
      <c r="F49" s="334"/>
      <c r="G49" s="334"/>
      <c r="H49" s="215" t="str">
        <f>IF(Admin!F19="","",Admin!F19)</f>
        <v/>
      </c>
      <c r="I49" s="178"/>
      <c r="J49" s="178"/>
      <c r="K49" s="71">
        <f ca="1">IF(B49=Lists!Q$1,(J49-I49)-YK!F$3,J49-I49)</f>
        <v>0</v>
      </c>
      <c r="L49" s="171" t="s">
        <v>46</v>
      </c>
      <c r="M49" s="333" t="str">
        <f>IF(Admin!E39="","",Admin!E39)</f>
        <v/>
      </c>
      <c r="N49" s="334"/>
      <c r="O49" s="334"/>
      <c r="P49" s="334"/>
      <c r="Q49" s="215" t="str">
        <f>IF(Admin!F39="","",Admin!F39)</f>
        <v/>
      </c>
      <c r="R49" s="178"/>
      <c r="S49" s="178"/>
      <c r="T49" s="71">
        <f>IF(L49=Lists!AA$1,(S49-R49)-YK!P$3,S49-R49)</f>
        <v>0</v>
      </c>
      <c r="V49" s="340"/>
      <c r="W49" s="341"/>
      <c r="X49" s="341"/>
      <c r="Y49" s="342"/>
      <c r="Z49" s="240"/>
      <c r="AA49" s="241"/>
      <c r="AB49" s="241"/>
      <c r="AC49" s="242"/>
      <c r="AD49" s="243"/>
      <c r="AE49" s="244"/>
      <c r="AF49" s="244"/>
      <c r="AG49" s="244"/>
      <c r="AH49" s="244"/>
      <c r="AI49" s="244"/>
      <c r="AJ49" s="244"/>
      <c r="AK49" s="244"/>
      <c r="AL49" s="244"/>
      <c r="AM49" s="244"/>
      <c r="AN49" s="244"/>
      <c r="AO49" s="244"/>
      <c r="AP49" s="244"/>
      <c r="AQ49" s="244"/>
      <c r="AR49" s="244"/>
      <c r="AS49" s="244"/>
      <c r="AT49" s="244"/>
      <c r="AU49" s="244"/>
      <c r="AV49" s="244"/>
      <c r="AW49" s="237"/>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46</v>
      </c>
      <c r="C50" s="333" t="str">
        <f>IF(Admin!E20="","",Admin!E20)</f>
        <v/>
      </c>
      <c r="D50" s="334"/>
      <c r="E50" s="334"/>
      <c r="F50" s="334"/>
      <c r="G50" s="334"/>
      <c r="H50" s="215" t="str">
        <f>IF(Admin!F20="","",Admin!F20)</f>
        <v/>
      </c>
      <c r="I50" s="178"/>
      <c r="J50" s="178"/>
      <c r="K50" s="71">
        <f ca="1">IF(B50=Lists!Q$1,(J50-I50)-YK!F$3,J50-I50)</f>
        <v>0</v>
      </c>
      <c r="L50" s="171" t="s">
        <v>46</v>
      </c>
      <c r="M50" s="333" t="str">
        <f>IF(Admin!E40="","",Admin!E40)</f>
        <v/>
      </c>
      <c r="N50" s="334"/>
      <c r="O50" s="334"/>
      <c r="P50" s="334"/>
      <c r="Q50" s="215" t="str">
        <f>IF(Admin!F40="","",Admin!F40)</f>
        <v/>
      </c>
      <c r="R50" s="178"/>
      <c r="S50" s="178"/>
      <c r="T50" s="71">
        <f>IF(L50=Lists!AA$1,(S50-R50)-YK!P$3,S50-R50)</f>
        <v>0</v>
      </c>
      <c r="V50" s="340"/>
      <c r="W50" s="341"/>
      <c r="X50" s="341"/>
      <c r="Y50" s="342"/>
      <c r="Z50" s="240"/>
      <c r="AA50" s="241"/>
      <c r="AB50" s="241"/>
      <c r="AC50" s="242"/>
      <c r="AD50" s="243"/>
      <c r="AE50" s="244"/>
      <c r="AF50" s="244"/>
      <c r="AG50" s="244"/>
      <c r="AH50" s="244"/>
      <c r="AI50" s="244"/>
      <c r="AJ50" s="244"/>
      <c r="AK50" s="244"/>
      <c r="AL50" s="244"/>
      <c r="AM50" s="244"/>
      <c r="AN50" s="244"/>
      <c r="AO50" s="244"/>
      <c r="AP50" s="244"/>
      <c r="AQ50" s="244"/>
      <c r="AR50" s="244"/>
      <c r="AS50" s="244"/>
      <c r="AT50" s="244"/>
      <c r="AU50" s="244"/>
      <c r="AV50" s="244"/>
      <c r="AW50" s="237"/>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46</v>
      </c>
      <c r="C51" s="333" t="str">
        <f>IF(Admin!E21="","",Admin!E21)</f>
        <v/>
      </c>
      <c r="D51" s="334"/>
      <c r="E51" s="334"/>
      <c r="F51" s="334"/>
      <c r="G51" s="334"/>
      <c r="H51" s="215" t="str">
        <f>IF(Admin!F21="","",Admin!F21)</f>
        <v/>
      </c>
      <c r="I51" s="178"/>
      <c r="J51" s="178"/>
      <c r="K51" s="71">
        <f ca="1">IF(B51=Lists!Q$1,(J51-I51)-YK!F$3,J51-I51)</f>
        <v>0</v>
      </c>
      <c r="L51" s="171" t="s">
        <v>46</v>
      </c>
      <c r="M51" s="333" t="str">
        <f>IF(Admin!E41="","",Admin!E41)</f>
        <v/>
      </c>
      <c r="N51" s="334"/>
      <c r="O51" s="334"/>
      <c r="P51" s="334"/>
      <c r="Q51" s="215" t="str">
        <f>IF(Admin!F41="","",Admin!F41)</f>
        <v/>
      </c>
      <c r="R51" s="178"/>
      <c r="S51" s="178"/>
      <c r="T51" s="71">
        <f>IF(L51=Lists!AA$1,(S51-R51)-YK!P$3,S51-R51)</f>
        <v>0</v>
      </c>
      <c r="V51" s="340"/>
      <c r="W51" s="341"/>
      <c r="X51" s="341"/>
      <c r="Y51" s="342"/>
      <c r="Z51" s="240"/>
      <c r="AA51" s="241"/>
      <c r="AB51" s="241"/>
      <c r="AC51" s="242"/>
      <c r="AD51" s="243"/>
      <c r="AE51" s="244"/>
      <c r="AF51" s="244"/>
      <c r="AG51" s="244"/>
      <c r="AH51" s="244"/>
      <c r="AI51" s="244"/>
      <c r="AJ51" s="244"/>
      <c r="AK51" s="244"/>
      <c r="AL51" s="244"/>
      <c r="AM51" s="244"/>
      <c r="AN51" s="244"/>
      <c r="AO51" s="244"/>
      <c r="AP51" s="244"/>
      <c r="AQ51" s="244"/>
      <c r="AR51" s="244"/>
      <c r="AS51" s="244"/>
      <c r="AT51" s="244"/>
      <c r="AU51" s="244"/>
      <c r="AV51" s="244"/>
      <c r="AW51" s="237"/>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46</v>
      </c>
      <c r="C52" s="348" t="str">
        <f>IF(Admin!E22="","",Admin!E22)</f>
        <v/>
      </c>
      <c r="D52" s="349"/>
      <c r="E52" s="349"/>
      <c r="F52" s="349"/>
      <c r="G52" s="349"/>
      <c r="H52" s="216" t="str">
        <f>IF(Admin!F22="","",Admin!F22)</f>
        <v/>
      </c>
      <c r="I52" s="179"/>
      <c r="J52" s="179"/>
      <c r="K52" s="72">
        <f ca="1">IF(B52=Lists!Q$1,(J52-I52)-YK!F$3,J52-I52)</f>
        <v>0</v>
      </c>
      <c r="L52" s="171" t="s">
        <v>46</v>
      </c>
      <c r="M52" s="348" t="str">
        <f>IF(Admin!E42="","",Admin!E42)</f>
        <v/>
      </c>
      <c r="N52" s="349"/>
      <c r="O52" s="349"/>
      <c r="P52" s="349"/>
      <c r="Q52" s="216" t="str">
        <f>IF(Admin!F42="","",Admin!F42)</f>
        <v/>
      </c>
      <c r="R52" s="179"/>
      <c r="S52" s="179"/>
      <c r="T52" s="72">
        <f>IF(L52=Lists!AA$1,(S52-R52)-YK!P$3,S52-R52)</f>
        <v>0</v>
      </c>
      <c r="V52" s="343"/>
      <c r="W52" s="344"/>
      <c r="X52" s="344"/>
      <c r="Y52" s="345"/>
      <c r="Z52" s="250"/>
      <c r="AA52" s="251"/>
      <c r="AB52" s="251"/>
      <c r="AC52" s="252"/>
      <c r="AD52" s="253"/>
      <c r="AE52" s="254"/>
      <c r="AF52" s="254"/>
      <c r="AG52" s="254"/>
      <c r="AH52" s="254"/>
      <c r="AI52" s="254"/>
      <c r="AJ52" s="254"/>
      <c r="AK52" s="254"/>
      <c r="AL52" s="254"/>
      <c r="AM52" s="254"/>
      <c r="AN52" s="254"/>
      <c r="AO52" s="254"/>
      <c r="AP52" s="254"/>
      <c r="AQ52" s="254"/>
      <c r="AR52" s="254"/>
      <c r="AS52" s="254"/>
      <c r="AT52" s="254"/>
      <c r="AU52" s="254"/>
      <c r="AV52" s="254"/>
      <c r="AW52" s="239"/>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46</v>
      </c>
      <c r="C53" s="346"/>
      <c r="D53" s="346"/>
      <c r="E53" s="346"/>
      <c r="F53" s="346"/>
      <c r="G53" s="346"/>
      <c r="H53" s="82"/>
      <c r="I53" s="67"/>
      <c r="J53" s="67"/>
      <c r="K53" s="67"/>
      <c r="L53" s="81"/>
      <c r="M53" s="201"/>
      <c r="N53" s="201"/>
      <c r="O53" s="201"/>
      <c r="P53" s="201"/>
      <c r="Q53" s="201"/>
      <c r="R53" s="201"/>
      <c r="S53" s="201"/>
      <c r="T53" s="201"/>
      <c r="U53" s="201"/>
      <c r="V53" s="347"/>
      <c r="W53" s="347"/>
      <c r="X53" s="347"/>
      <c r="Y53" s="347"/>
      <c r="Z53" s="347"/>
      <c r="AA53" s="347"/>
      <c r="AB53" s="347"/>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338" t="str">
        <f>C41</f>
        <v>AM Bar</v>
      </c>
      <c r="D54" s="339"/>
      <c r="E54" s="339"/>
      <c r="F54" s="339"/>
      <c r="G54" s="339"/>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338" t="str">
        <f t="shared" ref="C55:C60" si="3">C42</f>
        <v>PM Bar</v>
      </c>
      <c r="D55" s="339"/>
      <c r="E55" s="339"/>
      <c r="F55" s="339"/>
      <c r="G55" s="339"/>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338" t="str">
        <f t="shared" si="3"/>
        <v>MiD 4h</v>
      </c>
      <c r="D56" s="339"/>
      <c r="E56" s="339"/>
      <c r="F56" s="339"/>
      <c r="G56" s="339"/>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338" t="str">
        <f t="shared" si="3"/>
        <v/>
      </c>
      <c r="D57" s="339"/>
      <c r="E57" s="339"/>
      <c r="F57" s="339"/>
      <c r="G57" s="339"/>
      <c r="H57" s="173" t="str">
        <f t="shared" si="4"/>
        <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338" t="str">
        <f t="shared" si="3"/>
        <v/>
      </c>
      <c r="D58" s="339"/>
      <c r="E58" s="339"/>
      <c r="F58" s="339"/>
      <c r="G58" s="339"/>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338" t="str">
        <f t="shared" si="3"/>
        <v/>
      </c>
      <c r="D59" s="339"/>
      <c r="E59" s="339"/>
      <c r="F59" s="339"/>
      <c r="G59" s="339"/>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338" t="str">
        <f t="shared" si="3"/>
        <v/>
      </c>
      <c r="D60" s="339"/>
      <c r="E60" s="339"/>
      <c r="F60" s="339"/>
      <c r="G60" s="339"/>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338" t="str">
        <f>Admin!E23</f>
        <v xml:space="preserve">NC </v>
      </c>
      <c r="D61" s="339"/>
      <c r="E61" s="339"/>
      <c r="F61" s="339"/>
      <c r="G61" s="339"/>
      <c r="H61" s="173" t="str">
        <f>Admin!F23</f>
        <v>NC</v>
      </c>
      <c r="I61" s="67"/>
      <c r="J61" s="67"/>
      <c r="K61" s="67"/>
      <c r="L61" s="81"/>
      <c r="M61" s="201"/>
      <c r="N61" s="201"/>
      <c r="O61" s="201"/>
      <c r="P61" s="201"/>
      <c r="Q61" s="201"/>
      <c r="R61" s="201"/>
      <c r="S61" s="201"/>
      <c r="T61" s="201"/>
      <c r="U61" s="201"/>
      <c r="V61" s="347"/>
      <c r="W61" s="347"/>
      <c r="X61" s="347"/>
      <c r="Y61" s="347"/>
      <c r="Z61" s="347"/>
      <c r="AA61" s="347"/>
      <c r="AB61" s="347"/>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36" t="str">
        <f>Admin!E24</f>
        <v>Szkolenie AM</v>
      </c>
      <c r="D62" s="337"/>
      <c r="E62" s="337"/>
      <c r="F62" s="337"/>
      <c r="G62" s="337"/>
      <c r="H62" s="163" t="str">
        <f>Admin!F24</f>
        <v>TAM</v>
      </c>
      <c r="I62" s="67"/>
      <c r="J62" s="67"/>
      <c r="K62" s="67"/>
      <c r="L62" s="81"/>
      <c r="M62" s="201"/>
      <c r="N62" s="201"/>
      <c r="O62" s="201"/>
      <c r="P62" s="201"/>
      <c r="Q62" s="201"/>
      <c r="R62" s="201"/>
      <c r="S62" s="201"/>
      <c r="T62" s="201"/>
      <c r="U62" s="201"/>
      <c r="V62" s="347"/>
      <c r="W62" s="347"/>
      <c r="X62" s="347"/>
      <c r="Y62" s="347"/>
      <c r="Z62" s="347"/>
      <c r="AA62" s="347"/>
      <c r="AB62" s="347"/>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36" t="str">
        <f>Admin!E25</f>
        <v>Szkolenie PM</v>
      </c>
      <c r="D63" s="337"/>
      <c r="E63" s="337"/>
      <c r="F63" s="337"/>
      <c r="G63" s="337"/>
      <c r="H63" s="163" t="str">
        <f>Admin!F25</f>
        <v>TPM</v>
      </c>
      <c r="I63" s="67"/>
      <c r="J63" s="67"/>
      <c r="K63" s="67"/>
      <c r="L63" s="81"/>
      <c r="M63" s="201"/>
      <c r="N63" s="201"/>
      <c r="O63" s="201"/>
      <c r="P63" s="201"/>
      <c r="Q63" s="201"/>
      <c r="R63" s="201"/>
      <c r="S63" s="201"/>
      <c r="T63" s="201"/>
      <c r="U63" s="201"/>
      <c r="V63" s="347"/>
      <c r="W63" s="347"/>
      <c r="X63" s="347"/>
      <c r="Y63" s="347"/>
      <c r="Z63" s="347"/>
      <c r="AA63" s="347"/>
      <c r="AB63" s="347"/>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36" t="str">
        <f>Admin!E26</f>
        <v>Odbiór nadgodziny</v>
      </c>
      <c r="D64" s="337"/>
      <c r="E64" s="337"/>
      <c r="F64" s="337"/>
      <c r="G64" s="337"/>
      <c r="H64" s="163" t="str">
        <f>Admin!F26</f>
        <v>RET</v>
      </c>
      <c r="I64" s="67"/>
      <c r="J64" s="67"/>
      <c r="K64" s="67"/>
      <c r="L64" s="81"/>
      <c r="M64" s="201"/>
      <c r="N64" s="201"/>
      <c r="O64" s="201"/>
      <c r="P64" s="201"/>
      <c r="Q64" s="201"/>
      <c r="R64" s="201"/>
      <c r="S64" s="201"/>
      <c r="T64" s="201"/>
      <c r="U64" s="201"/>
      <c r="V64" s="685"/>
      <c r="W64" s="685"/>
      <c r="X64" s="685"/>
      <c r="Y64" s="685"/>
      <c r="Z64" s="685"/>
      <c r="AA64" s="685"/>
      <c r="AB64" s="685"/>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36" t="str">
        <f>Admin!E27</f>
        <v>Training</v>
      </c>
      <c r="D65" s="337"/>
      <c r="E65" s="337"/>
      <c r="F65" s="337"/>
      <c r="G65" s="337"/>
      <c r="H65" s="163" t="str">
        <f>Admin!F27</f>
        <v>T</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36">
        <f>Admin!E28</f>
        <v>0</v>
      </c>
      <c r="D66" s="337"/>
      <c r="E66" s="337"/>
      <c r="F66" s="337"/>
      <c r="G66" s="337"/>
      <c r="H66" s="163">
        <f>Admin!F28</f>
        <v>0</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36">
        <f>Admin!E29</f>
        <v>0</v>
      </c>
      <c r="D67" s="337"/>
      <c r="E67" s="337"/>
      <c r="F67" s="337"/>
      <c r="G67" s="337"/>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36">
        <f>Admin!E30</f>
        <v>0</v>
      </c>
      <c r="D68" s="337"/>
      <c r="E68" s="337"/>
      <c r="F68" s="337"/>
      <c r="G68" s="337"/>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36">
        <f>Admin!E31</f>
        <v>0</v>
      </c>
      <c r="D69" s="337"/>
      <c r="E69" s="337"/>
      <c r="F69" s="337"/>
      <c r="G69" s="337"/>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36">
        <f>Admin!E32</f>
        <v>0</v>
      </c>
      <c r="D70" s="337"/>
      <c r="E70" s="337"/>
      <c r="F70" s="337"/>
      <c r="G70" s="337"/>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36">
        <f>Admin!E33</f>
        <v>0</v>
      </c>
      <c r="D71" s="337"/>
      <c r="E71" s="337"/>
      <c r="F71" s="337"/>
      <c r="G71" s="337"/>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36">
        <f>Admin!E34</f>
        <v>0</v>
      </c>
      <c r="D72" s="337"/>
      <c r="E72" s="337"/>
      <c r="F72" s="337"/>
      <c r="G72" s="337"/>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46</v>
      </c>
      <c r="C73" s="336">
        <f>Admin!E35</f>
        <v>0</v>
      </c>
      <c r="D73" s="337"/>
      <c r="E73" s="337"/>
      <c r="F73" s="337"/>
      <c r="G73" s="337"/>
      <c r="H73" s="163">
        <f>Admin!F35</f>
        <v>0</v>
      </c>
      <c r="I73" s="67"/>
      <c r="J73" s="67"/>
      <c r="K73" s="67"/>
      <c r="L73" s="81"/>
      <c r="M73" s="201"/>
      <c r="N73" s="201"/>
      <c r="O73" s="201"/>
      <c r="P73" s="201"/>
      <c r="Q73" s="201"/>
      <c r="R73" s="201"/>
      <c r="S73" s="201"/>
      <c r="T73" s="201"/>
      <c r="U73" s="201"/>
      <c r="V73" s="346"/>
      <c r="W73" s="346"/>
      <c r="X73" s="346"/>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46</v>
      </c>
      <c r="C74" s="336">
        <f>Admin!E36</f>
        <v>0</v>
      </c>
      <c r="D74" s="337"/>
      <c r="E74" s="337"/>
      <c r="F74" s="337"/>
      <c r="G74" s="337"/>
      <c r="H74" s="163">
        <f>Admin!F36</f>
        <v>0</v>
      </c>
      <c r="I74" s="67"/>
      <c r="J74" s="67"/>
      <c r="K74" s="67"/>
      <c r="L74" s="81"/>
      <c r="M74" s="335"/>
      <c r="N74" s="335"/>
      <c r="O74" s="335"/>
      <c r="P74" s="335"/>
      <c r="Q74" s="335"/>
      <c r="R74" s="335"/>
      <c r="S74" s="335"/>
      <c r="T74" s="335"/>
      <c r="U74" s="335"/>
      <c r="V74" s="335"/>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46</v>
      </c>
      <c r="C75" s="336">
        <f>Admin!E37</f>
        <v>0</v>
      </c>
      <c r="D75" s="337"/>
      <c r="E75" s="337"/>
      <c r="F75" s="337"/>
      <c r="G75" s="337"/>
      <c r="H75" s="163">
        <f>Admin!F37</f>
        <v>0</v>
      </c>
      <c r="I75" s="67"/>
      <c r="J75" s="67"/>
      <c r="K75" s="67"/>
      <c r="L75" s="81"/>
      <c r="M75" s="335"/>
      <c r="N75" s="335"/>
      <c r="O75" s="335"/>
      <c r="P75" s="335"/>
      <c r="Q75" s="335"/>
      <c r="R75" s="335"/>
      <c r="S75" s="335"/>
      <c r="T75" s="335"/>
      <c r="U75" s="335"/>
      <c r="V75" s="335"/>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36">
        <f>Admin!E38</f>
        <v>0</v>
      </c>
      <c r="D76" s="337"/>
      <c r="E76" s="337"/>
      <c r="F76" s="337"/>
      <c r="G76" s="337"/>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36">
        <f>Admin!E39</f>
        <v>0</v>
      </c>
      <c r="D77" s="337"/>
      <c r="E77" s="337"/>
      <c r="F77" s="337"/>
      <c r="G77" s="337"/>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36">
        <f>Admin!E40</f>
        <v>0</v>
      </c>
      <c r="D78" s="337"/>
      <c r="E78" s="337"/>
      <c r="F78" s="337"/>
      <c r="G78" s="337"/>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36">
        <f>Admin!E41</f>
        <v>0</v>
      </c>
      <c r="D79" s="337"/>
      <c r="E79" s="337"/>
      <c r="F79" s="337"/>
      <c r="G79" s="337"/>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36">
        <f>Admin!E42</f>
        <v>0</v>
      </c>
      <c r="D80" s="337"/>
      <c r="E80" s="337"/>
      <c r="F80" s="337"/>
      <c r="G80" s="337"/>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36" t="str">
        <f>Admin!E43</f>
        <v>Day Off</v>
      </c>
      <c r="D81" s="337"/>
      <c r="E81" s="337"/>
      <c r="F81" s="337"/>
      <c r="G81" s="337"/>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484" t="str">
        <f>Admin!E44</f>
        <v>Holiday</v>
      </c>
      <c r="D82" s="485"/>
      <c r="E82" s="485"/>
      <c r="F82" s="485"/>
      <c r="G82" s="485"/>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486" t="str">
        <f>Admin!E45</f>
        <v>Sick Leave</v>
      </c>
      <c r="D83" s="487"/>
      <c r="E83" s="487"/>
      <c r="F83" s="487"/>
      <c r="G83" s="487"/>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338" t="s">
        <v>97</v>
      </c>
      <c r="D84" s="339"/>
      <c r="E84" s="339"/>
      <c r="F84" s="339"/>
      <c r="G84" s="339"/>
      <c r="H84" s="173" t="s">
        <v>98</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484" t="s">
        <v>99</v>
      </c>
      <c r="D85" s="485"/>
      <c r="E85" s="485"/>
      <c r="F85" s="485"/>
      <c r="G85" s="485"/>
      <c r="H85" s="161" t="s">
        <v>100</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486" t="s">
        <v>101</v>
      </c>
      <c r="D86" s="487"/>
      <c r="E86" s="487"/>
      <c r="F86" s="487"/>
      <c r="G86" s="487"/>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C15:G15"/>
    <mergeCell ref="C16:G16"/>
    <mergeCell ref="C17:G17"/>
    <mergeCell ref="C18:G18"/>
    <mergeCell ref="H15:J15"/>
    <mergeCell ref="C42:G42"/>
    <mergeCell ref="C45:G45"/>
    <mergeCell ref="C46:G46"/>
    <mergeCell ref="C47:G47"/>
    <mergeCell ref="H21:J21"/>
    <mergeCell ref="H22:J22"/>
    <mergeCell ref="H23:J23"/>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V23:AW23"/>
    <mergeCell ref="AV24:AW24"/>
    <mergeCell ref="AT19:AU19"/>
    <mergeCell ref="AT20:AU20"/>
    <mergeCell ref="AT21:AU21"/>
    <mergeCell ref="AT22:AU22"/>
    <mergeCell ref="AT23:AU23"/>
    <mergeCell ref="AV19:AW19"/>
    <mergeCell ref="AV20:AW20"/>
    <mergeCell ref="AV21:AW21"/>
    <mergeCell ref="AV22:AW22"/>
    <mergeCell ref="AT24:AU24"/>
    <mergeCell ref="A1:J2"/>
    <mergeCell ref="A3:J3"/>
    <mergeCell ref="A4:J5"/>
    <mergeCell ref="H13:J14"/>
    <mergeCell ref="H9:J9"/>
    <mergeCell ref="H7:J7"/>
    <mergeCell ref="H8:J8"/>
    <mergeCell ref="C13:G14"/>
    <mergeCell ref="A13:B14"/>
    <mergeCell ref="H12:J12"/>
    <mergeCell ref="C12:G12"/>
    <mergeCell ref="A12:B12"/>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R24:AS24"/>
    <mergeCell ref="AP23:AQ23"/>
    <mergeCell ref="AP24:AQ24"/>
    <mergeCell ref="AR19:AS19"/>
    <mergeCell ref="AR20:AS20"/>
    <mergeCell ref="AP19:AQ19"/>
    <mergeCell ref="AP20:AQ20"/>
    <mergeCell ref="AP21:AQ21"/>
    <mergeCell ref="AP22:AQ22"/>
    <mergeCell ref="AR21:AS21"/>
    <mergeCell ref="AR22:AS22"/>
    <mergeCell ref="AR23:AS23"/>
    <mergeCell ref="BG32:BQ32"/>
    <mergeCell ref="BK33:BL34"/>
    <mergeCell ref="BB35:BD35"/>
    <mergeCell ref="BB36:BD36"/>
    <mergeCell ref="BB37:BD37"/>
    <mergeCell ref="BB38:BD38"/>
    <mergeCell ref="AY39:BA39"/>
    <mergeCell ref="AY40:BA40"/>
    <mergeCell ref="AY41:BA41"/>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C48:G48"/>
    <mergeCell ref="C49:G49"/>
    <mergeCell ref="C50:G50"/>
    <mergeCell ref="M74:V74"/>
    <mergeCell ref="C71:G71"/>
    <mergeCell ref="C59:G59"/>
    <mergeCell ref="C72:G72"/>
    <mergeCell ref="C73:G73"/>
    <mergeCell ref="C74:G74"/>
    <mergeCell ref="AF33:AK33"/>
    <mergeCell ref="AA39:AC39"/>
    <mergeCell ref="AD39:AG39"/>
    <mergeCell ref="AD38:AG38"/>
    <mergeCell ref="Z38:AC38"/>
    <mergeCell ref="Z36:AA36"/>
    <mergeCell ref="AB36:AC36"/>
    <mergeCell ref="AD36:AE36"/>
    <mergeCell ref="AF36:AG36"/>
    <mergeCell ref="AH36:AI36"/>
    <mergeCell ref="AJ36:AK36"/>
    <mergeCell ref="AH39:AI39"/>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s>
  <phoneticPr fontId="78" type="noConversion"/>
  <conditionalFormatting sqref="AM12:AM14">
    <cfRule type="expression" dxfId="60" priority="186">
      <formula>$AM$11=0</formula>
    </cfRule>
  </conditionalFormatting>
  <conditionalFormatting sqref="AN12:AN14">
    <cfRule type="expression" dxfId="59" priority="185">
      <formula>$AN$11=0</formula>
    </cfRule>
  </conditionalFormatting>
  <conditionalFormatting sqref="AO12:AO14">
    <cfRule type="expression" dxfId="58" priority="184">
      <formula>$AO$11=0</formula>
    </cfRule>
  </conditionalFormatting>
  <conditionalFormatting sqref="K13:K14">
    <cfRule type="expression" dxfId="57" priority="151">
      <formula>$K$10=2</formula>
    </cfRule>
  </conditionalFormatting>
  <conditionalFormatting sqref="L13:L14">
    <cfRule type="expression" dxfId="56" priority="150">
      <formula>$L$10=2</formula>
    </cfRule>
  </conditionalFormatting>
  <conditionalFormatting sqref="M13:M14">
    <cfRule type="expression" dxfId="55" priority="147">
      <formula>$M$10=2</formula>
    </cfRule>
  </conditionalFormatting>
  <conditionalFormatting sqref="N13:N14">
    <cfRule type="expression" dxfId="54" priority="146">
      <formula>$N$10=2</formula>
    </cfRule>
  </conditionalFormatting>
  <conditionalFormatting sqref="O13:O14">
    <cfRule type="expression" dxfId="53" priority="145">
      <formula>$O$10=2</formula>
    </cfRule>
  </conditionalFormatting>
  <conditionalFormatting sqref="P13:P14">
    <cfRule type="expression" dxfId="52" priority="144">
      <formula>$P$10=2</formula>
    </cfRule>
  </conditionalFormatting>
  <conditionalFormatting sqref="Q13:Q14">
    <cfRule type="expression" dxfId="51" priority="143">
      <formula>$Q$10=2</formula>
    </cfRule>
  </conditionalFormatting>
  <conditionalFormatting sqref="R13:R14">
    <cfRule type="expression" dxfId="50" priority="142">
      <formula>$R$10=2</formula>
    </cfRule>
  </conditionalFormatting>
  <conditionalFormatting sqref="S13:S14">
    <cfRule type="expression" dxfId="49" priority="141">
      <formula>$S$10=2</formula>
    </cfRule>
  </conditionalFormatting>
  <conditionalFormatting sqref="T13:T14">
    <cfRule type="expression" dxfId="48" priority="140">
      <formula>$T$10=2</formula>
    </cfRule>
  </conditionalFormatting>
  <conditionalFormatting sqref="U13:U14">
    <cfRule type="expression" dxfId="47" priority="139">
      <formula>$U$10=2</formula>
    </cfRule>
  </conditionalFormatting>
  <conditionalFormatting sqref="V13:V14">
    <cfRule type="expression" dxfId="46" priority="138">
      <formula>$V$10=2</formula>
    </cfRule>
  </conditionalFormatting>
  <conditionalFormatting sqref="W13:W14">
    <cfRule type="expression" dxfId="45" priority="137">
      <formula>$W$10=2</formula>
    </cfRule>
  </conditionalFormatting>
  <conditionalFormatting sqref="X13:X14">
    <cfRule type="expression" dxfId="44" priority="136">
      <formula>$X$10=2</formula>
    </cfRule>
  </conditionalFormatting>
  <conditionalFormatting sqref="Y13:Y14">
    <cfRule type="expression" dxfId="43" priority="135">
      <formula>$Y$10=2</formula>
    </cfRule>
  </conditionalFormatting>
  <conditionalFormatting sqref="Z13:Z14">
    <cfRule type="expression" dxfId="42" priority="134">
      <formula>$Z$10=2</formula>
    </cfRule>
  </conditionalFormatting>
  <conditionalFormatting sqref="AA13:AA14">
    <cfRule type="expression" dxfId="41" priority="133">
      <formula>$AA$10=2</formula>
    </cfRule>
  </conditionalFormatting>
  <conditionalFormatting sqref="AB13:AB14">
    <cfRule type="expression" dxfId="40" priority="132">
      <formula>$AB$10=2</formula>
    </cfRule>
  </conditionalFormatting>
  <conditionalFormatting sqref="AC13:AC14">
    <cfRule type="expression" dxfId="39" priority="131">
      <formula>$AC$10=2</formula>
    </cfRule>
  </conditionalFormatting>
  <conditionalFormatting sqref="AD13:AD14">
    <cfRule type="expression" dxfId="38" priority="130">
      <formula>$AD$10=2</formula>
    </cfRule>
  </conditionalFormatting>
  <conditionalFormatting sqref="AE13:AE14">
    <cfRule type="expression" dxfId="37" priority="129">
      <formula>$AE$10=2</formula>
    </cfRule>
  </conditionalFormatting>
  <conditionalFormatting sqref="AF13:AF14">
    <cfRule type="expression" dxfId="36" priority="128">
      <formula>$AF$10=2</formula>
    </cfRule>
  </conditionalFormatting>
  <conditionalFormatting sqref="AG13:AG14">
    <cfRule type="expression" dxfId="35" priority="127">
      <formula>$AG$10=2</formula>
    </cfRule>
  </conditionalFormatting>
  <conditionalFormatting sqref="AH13:AH14">
    <cfRule type="expression" dxfId="34" priority="126">
      <formula>$AH$10=2</formula>
    </cfRule>
  </conditionalFormatting>
  <conditionalFormatting sqref="AI13:AI14">
    <cfRule type="expression" dxfId="33" priority="125">
      <formula>$AI$10=2</formula>
    </cfRule>
  </conditionalFormatting>
  <conditionalFormatting sqref="AJ13:AJ14">
    <cfRule type="expression" dxfId="32" priority="124">
      <formula>$AJ$10=2</formula>
    </cfRule>
  </conditionalFormatting>
  <conditionalFormatting sqref="AK13:AK14">
    <cfRule type="expression" dxfId="31" priority="123">
      <formula>$AK$10=2</formula>
    </cfRule>
  </conditionalFormatting>
  <conditionalFormatting sqref="AL13:AL14">
    <cfRule type="expression" dxfId="30" priority="122">
      <formula>$AL$10=2</formula>
    </cfRule>
  </conditionalFormatting>
  <conditionalFormatting sqref="AM13:AM14">
    <cfRule type="expression" dxfId="29" priority="121">
      <formula>AND($AM$10=2,$AM$11=1)</formula>
    </cfRule>
  </conditionalFormatting>
  <conditionalFormatting sqref="AN13:AN14">
    <cfRule type="expression" dxfId="28" priority="120">
      <formula>AND($AN$10=2,$AN$11=1)</formula>
    </cfRule>
  </conditionalFormatting>
  <conditionalFormatting sqref="AO13:AO14">
    <cfRule type="expression" dxfId="27" priority="119">
      <formula>AND($AO$10=2,$AO$11=1)</formula>
    </cfRule>
  </conditionalFormatting>
  <conditionalFormatting sqref="AT15:AU24">
    <cfRule type="cellIs" dxfId="26" priority="108" operator="greaterThan">
      <formula>100%</formula>
    </cfRule>
    <cfRule type="cellIs" dxfId="25" priority="109" operator="equal">
      <formula>100%</formula>
    </cfRule>
    <cfRule type="cellIs" dxfId="24" priority="110" operator="lessThan">
      <formula>90%</formula>
    </cfRule>
  </conditionalFormatting>
  <conditionalFormatting sqref="M53:U73 AF33 Z65:AE74 AC53:AJ64 AF35 AD38:AF52">
    <cfRule type="cellIs" dxfId="23" priority="51" operator="equal">
      <formula>0</formula>
    </cfRule>
  </conditionalFormatting>
  <conditionalFormatting sqref="K15:AO24">
    <cfRule type="containsText" dxfId="22" priority="4" operator="containsText" text="ADM">
      <formula>NOT(ISERROR(SEARCH("ADM",K15)))</formula>
    </cfRule>
    <cfRule type="containsText" dxfId="21" priority="5" operator="containsText" text="PAY">
      <formula>NOT(ISERROR(SEARCH("PAY",K15)))</formula>
    </cfRule>
    <cfRule type="containsText" dxfId="20" priority="243" operator="containsText" text="evo">
      <formula>NOT(ISERROR(SEARCH("evo",K15)))</formula>
    </cfRule>
    <cfRule type="containsText" dxfId="19" priority="244" operator="containsText" text="ord">
      <formula>NOT(ISERROR(SEARCH("ord",K15)))</formula>
    </cfRule>
    <cfRule type="expression" dxfId="18" priority="245">
      <formula>AND(COUNTIF(K$15:K$24,K15)&gt;1,COUNTIF($H$54:$H$86,K15)=0)</formula>
    </cfRule>
    <cfRule type="cellIs" dxfId="17" priority="246" operator="equal">
      <formula>"OFF"</formula>
    </cfRule>
    <cfRule type="cellIs" dxfId="16" priority="247" operator="equal">
      <formula>"L4"</formula>
    </cfRule>
    <cfRule type="cellIs" dxfId="15" priority="248" operator="equal">
      <formula>"H"</formula>
    </cfRule>
    <cfRule type="cellIs" dxfId="14" priority="249" operator="equal">
      <formula>"RET"</formula>
    </cfRule>
  </conditionalFormatting>
  <conditionalFormatting sqref="O20">
    <cfRule type="containsText" dxfId="13" priority="3" operator="containsText" text="PREV">
      <formula>NOT(ISERROR(SEARCH("PREV",O20)))</formula>
    </cfRule>
  </conditionalFormatting>
  <conditionalFormatting sqref="AP39">
    <cfRule type="cellIs" dxfId="12" priority="1" operator="equal">
      <formula>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42" operator="containsText" id="{EEDE0081-8C1B-4E01-ADD4-3B0A99327F60}">
            <xm:f>NOT(ISERROR(SEARCH("QSL",K15)))</xm:f>
            <xm:f>"QSL"</xm:f>
            <x14:dxf>
              <fill>
                <patternFill>
                  <bgColor rgb="FFC6EFCE"/>
                </patternFill>
              </fill>
            </x14:dxf>
          </x14:cfRule>
          <xm:sqref>K15:AO24</xm:sqref>
        </x14:conditionalFormatting>
        <x14:conditionalFormatting xmlns:xm="http://schemas.microsoft.com/office/excel/2006/main">
          <x14:cfRule type="containsText" priority="234" operator="containsText" id="{FF2A74F8-EA5E-4C2F-985A-E9688BAC4446}">
            <xm:f>NOT(ISERROR(SEARCH("T",K15)))</xm:f>
            <xm:f>"T"</xm:f>
            <x14:dxf>
              <font>
                <color rgb="FF006100"/>
              </font>
              <fill>
                <patternFill>
                  <bgColor rgb="FFC6EFCE"/>
                </patternFill>
              </fill>
            </x14:dxf>
          </x14:cfRule>
          <xm:sqref>K15:AO24</xm:sqref>
        </x14:conditionalFormatting>
        <x14:conditionalFormatting xmlns:xm="http://schemas.microsoft.com/office/excel/2006/main">
          <x14:cfRule type="containsText" priority="6" operator="containsText" id="{5374C3AF-BDC7-49EB-B0BF-AD129304856A}">
            <xm:f>NOT(ISERROR(SEARCH("PPV",K15)))</xm:f>
            <xm:f>"PPV"</xm:f>
            <x14:dxf>
              <fill>
                <patternFill>
                  <bgColor theme="3" tint="0.39994506668294322"/>
                </patternFill>
              </fill>
            </x14:dxf>
          </x14:cfRule>
          <xm:sqref>K15:AO24</xm:sqref>
        </x14:conditionalFormatting>
        <x14:conditionalFormatting xmlns:xm="http://schemas.microsoft.com/office/excel/2006/main">
          <x14:cfRule type="containsText" priority="218" operator="containsText" id="{5F778D06-AE99-4F57-AEDB-B9A48DE9E279}">
            <xm:f>NOT(ISERROR(SEARCH("NC",K15)))</xm:f>
            <xm:f>"NC"</xm:f>
            <x14:dxf>
              <font>
                <color auto="1"/>
              </font>
              <fill>
                <patternFill>
                  <bgColor theme="3" tint="0.39994506668294322"/>
                </patternFill>
              </fill>
            </x14:dxf>
          </x14:cfRule>
          <xm:sqref>K15:AO24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topLeftCell="A4" workbookViewId="0">
      <selection activeCell="L21" sqref="L21"/>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554" t="s">
        <v>102</v>
      </c>
      <c r="C1" s="554"/>
      <c r="D1" s="554"/>
      <c r="E1" s="554"/>
      <c r="F1" s="554"/>
      <c r="G1" s="554"/>
      <c r="H1" s="554"/>
      <c r="I1" s="554"/>
      <c r="J1" s="554"/>
      <c r="K1" s="554"/>
      <c r="L1" s="554"/>
      <c r="M1" s="554"/>
      <c r="N1" s="554"/>
      <c r="O1" s="554"/>
      <c r="P1" s="554"/>
      <c r="Q1" s="554"/>
      <c r="R1" s="554"/>
      <c r="S1" s="554"/>
      <c r="T1" s="554"/>
      <c r="U1" s="554"/>
      <c r="V1" s="554"/>
      <c r="W1" s="554"/>
      <c r="X1" s="554"/>
      <c r="Y1" s="554"/>
      <c r="Z1" s="554"/>
      <c r="AA1" s="554"/>
      <c r="AB1" s="554"/>
      <c r="AC1" s="554"/>
    </row>
    <row r="2" spans="2:33" ht="12" thickBot="1">
      <c r="B2" s="137">
        <v>8</v>
      </c>
    </row>
    <row r="3" spans="2:33" ht="12" thickBot="1">
      <c r="B3" s="135"/>
      <c r="C3" s="552" t="s">
        <v>103</v>
      </c>
      <c r="D3" s="552"/>
      <c r="E3" s="552"/>
      <c r="F3" s="134"/>
      <c r="G3" s="134" t="s">
        <v>104</v>
      </c>
      <c r="H3" s="134"/>
      <c r="I3" s="133">
        <f>Calendar!F3</f>
        <v>160</v>
      </c>
      <c r="J3" s="551" t="s">
        <v>105</v>
      </c>
      <c r="K3" s="552"/>
      <c r="L3" s="552"/>
      <c r="M3" s="151"/>
      <c r="N3" s="134" t="s">
        <v>104</v>
      </c>
      <c r="O3" s="151"/>
      <c r="P3" s="133">
        <f>Calendar!F4</f>
        <v>160</v>
      </c>
      <c r="Q3" s="551" t="s">
        <v>106</v>
      </c>
      <c r="R3" s="552"/>
      <c r="S3" s="552"/>
      <c r="T3" s="151"/>
      <c r="U3" s="134" t="s">
        <v>104</v>
      </c>
      <c r="V3" s="151"/>
      <c r="W3" s="133">
        <f>Calendar!F5</f>
        <v>176</v>
      </c>
    </row>
    <row r="4" spans="2:33">
      <c r="B4" s="132" t="s">
        <v>6</v>
      </c>
      <c r="C4" s="130" t="s">
        <v>104</v>
      </c>
      <c r="D4" s="130" t="s">
        <v>107</v>
      </c>
      <c r="E4" s="130" t="s">
        <v>14</v>
      </c>
      <c r="F4" s="130"/>
      <c r="G4" s="130" t="s">
        <v>108</v>
      </c>
      <c r="H4" s="130"/>
      <c r="I4" s="129" t="s">
        <v>109</v>
      </c>
      <c r="J4" s="131" t="s">
        <v>104</v>
      </c>
      <c r="K4" s="130" t="s">
        <v>107</v>
      </c>
      <c r="L4" s="130" t="s">
        <v>14</v>
      </c>
      <c r="M4" s="152"/>
      <c r="N4" s="130" t="s">
        <v>108</v>
      </c>
      <c r="O4" s="152"/>
      <c r="P4" s="129" t="s">
        <v>109</v>
      </c>
      <c r="Q4" s="131" t="s">
        <v>104</v>
      </c>
      <c r="R4" s="130" t="s">
        <v>107</v>
      </c>
      <c r="S4" s="130" t="s">
        <v>14</v>
      </c>
      <c r="T4" s="152"/>
      <c r="U4" s="130" t="s">
        <v>108</v>
      </c>
      <c r="V4" s="152"/>
      <c r="W4" s="129" t="s">
        <v>109</v>
      </c>
      <c r="Y4" s="128" t="s">
        <v>53</v>
      </c>
      <c r="Z4" s="127" t="s">
        <v>54</v>
      </c>
      <c r="AA4" s="126" t="s">
        <v>55</v>
      </c>
      <c r="AB4" s="555" t="s">
        <v>110</v>
      </c>
      <c r="AC4" s="556"/>
      <c r="AF4" s="155" t="s">
        <v>7</v>
      </c>
      <c r="AG4" s="155">
        <v>1</v>
      </c>
    </row>
    <row r="5" spans="2:33">
      <c r="B5" s="125" t="s">
        <v>111</v>
      </c>
      <c r="C5" s="156" t="s">
        <v>7</v>
      </c>
      <c r="D5" s="124">
        <v>168</v>
      </c>
      <c r="E5" s="123"/>
      <c r="F5" s="153">
        <f t="shared" ref="F5:F14" si="0">IFERROR(E5*$B$2*VLOOKUP(C5,$AF$4:$AG$14,2,FALSE),0)</f>
        <v>0</v>
      </c>
      <c r="G5" s="123"/>
      <c r="H5" s="153">
        <f t="shared" ref="H5:H14" si="1">IFERROR(G5*$B$2*VLOOKUP(C5,$AF$4:$AG$14,2,FALSE),0)</f>
        <v>0</v>
      </c>
      <c r="I5" s="122">
        <f t="shared" ref="I5:I14" si="2">D5+F5+H5</f>
        <v>168</v>
      </c>
      <c r="J5" s="159" t="s">
        <v>7</v>
      </c>
      <c r="K5" s="124">
        <v>144</v>
      </c>
      <c r="L5" s="123"/>
      <c r="M5" s="153">
        <f t="shared" ref="M5:M14" si="3">IFERROR(L5*$B$2*VLOOKUP(J5,$AF$4:$AG$14,2,FALSE),0)</f>
        <v>0</v>
      </c>
      <c r="N5" s="123"/>
      <c r="O5" s="153">
        <f t="shared" ref="O5:O14" si="4">IFERROR(N5*$B$2*VLOOKUP(J5,$AF$4:$AG$14,2,FALSE),0)</f>
        <v>0</v>
      </c>
      <c r="P5" s="122">
        <f t="shared" ref="P5:P14" si="5">K5+M5+O5</f>
        <v>144</v>
      </c>
      <c r="Q5" s="159" t="s">
        <v>7</v>
      </c>
      <c r="R5" s="124">
        <v>168</v>
      </c>
      <c r="S5" s="123">
        <v>3</v>
      </c>
      <c r="T5" s="153">
        <f t="shared" ref="T5:T14" si="6">IFERROR(S5*$B$2*VLOOKUP(Q5,$AF$4:$AG$14,2,FALSE),0)</f>
        <v>24</v>
      </c>
      <c r="U5" s="123"/>
      <c r="V5" s="153">
        <f t="shared" ref="V5:V14" si="7">IFERROR(U5*$B$2*VLOOKUP(Q5,$AF$4:$AG$14,2,FALSE),0)</f>
        <v>0</v>
      </c>
      <c r="W5" s="122">
        <f t="shared" ref="W5:W14" si="8">R5+T5+V5</f>
        <v>192</v>
      </c>
      <c r="Y5" s="121">
        <f>IFERROR(I5-$I$3*VLOOKUP(C5,$AF$4:$AG$14,2,FALSE),0)</f>
        <v>8</v>
      </c>
      <c r="Z5" s="120">
        <f>IFERROR(P5-$P$3*VLOOKUP(J5,$AF$4:$AG$14,2,FALSE),0)</f>
        <v>-16</v>
      </c>
      <c r="AA5" s="119">
        <f>IFERROR(W5-$W$3*VLOOKUP(Q5,$AF$4:$AG$14,2,FALSE),0)</f>
        <v>16</v>
      </c>
      <c r="AB5" s="118">
        <f>SUM(Y5:AA5)</f>
        <v>8</v>
      </c>
      <c r="AC5" s="117" t="str">
        <f>IF(B5="","",IF(AB5&lt;0,"niedogodziny",IF(AB5&gt;0,"nadgodziny","OK")))</f>
        <v>nadgodziny</v>
      </c>
      <c r="AF5" s="158">
        <v>0.75</v>
      </c>
      <c r="AG5" s="155">
        <v>0.75</v>
      </c>
    </row>
    <row r="6" spans="2:33">
      <c r="B6" s="125" t="s">
        <v>112</v>
      </c>
      <c r="C6" s="156" t="s">
        <v>7</v>
      </c>
      <c r="D6" s="124">
        <v>168</v>
      </c>
      <c r="E6" s="123"/>
      <c r="F6" s="153">
        <f>IFERROR(E6*$B$2*VLOOKUP(C6,$AF$4:$AG$14,2,FALSE),0)</f>
        <v>0</v>
      </c>
      <c r="G6" s="123"/>
      <c r="H6" s="153">
        <f>IFERROR(G6*$B$2*VLOOKUP(C6,$AF$4:$AG$14,2,FALSE),0)</f>
        <v>0</v>
      </c>
      <c r="I6" s="122">
        <f t="shared" si="2"/>
        <v>168</v>
      </c>
      <c r="J6" s="159" t="s">
        <v>7</v>
      </c>
      <c r="K6" s="124">
        <v>152</v>
      </c>
      <c r="L6" s="123"/>
      <c r="M6" s="153">
        <f t="shared" si="3"/>
        <v>0</v>
      </c>
      <c r="N6" s="123"/>
      <c r="O6" s="153">
        <f t="shared" si="4"/>
        <v>0</v>
      </c>
      <c r="P6" s="122">
        <f t="shared" si="5"/>
        <v>152</v>
      </c>
      <c r="Q6" s="159" t="s">
        <v>7</v>
      </c>
      <c r="R6" s="124" t="s">
        <v>113</v>
      </c>
      <c r="S6" s="123"/>
      <c r="T6" s="153">
        <f>IFERROR(S6*$B$2*VLOOKUP(Q6,$AF$4:$AG$14,2,FALSE),0)</f>
        <v>0</v>
      </c>
      <c r="U6" s="123"/>
      <c r="V6" s="153">
        <f>IFERROR(U6*$B$2*VLOOKUP(Q6,$AF$4:$AG$14,2,FALSE),0)</f>
        <v>0</v>
      </c>
      <c r="W6" s="122" t="e">
        <f t="shared" si="8"/>
        <v>#VALUE!</v>
      </c>
      <c r="Y6" s="121">
        <f t="shared" ref="Y6:Y13" si="9">IFERROR(I6-$I$3*VLOOKUP(C6,$AF$4:$AG$14,2,FALSE),0)</f>
        <v>8</v>
      </c>
      <c r="Z6" s="120">
        <f t="shared" ref="Z6:Z13" si="10">IFERROR(P6-$P$3*VLOOKUP(J6,$AF$4:$AG$14,2,FALSE),0)</f>
        <v>-8</v>
      </c>
      <c r="AA6" s="119">
        <f t="shared" ref="AA6:AA13" si="11">IFERROR(W6-$W$3*VLOOKUP(Q6,$AF$4:$AG$14,2,FALSE),0)</f>
        <v>0</v>
      </c>
      <c r="AB6" s="118">
        <f t="shared" ref="AB6:AB13" si="12">SUM(Y6:AA6)</f>
        <v>0</v>
      </c>
      <c r="AC6" s="117" t="str">
        <f t="shared" ref="AC6:AC13" si="13">IF(B6="","",IF(AB6&lt;0,"niedogodziny",IF(AB6&gt;0,"nadgodziny","OK")))</f>
        <v>OK</v>
      </c>
      <c r="AF6" s="158"/>
      <c r="AG6" s="155"/>
    </row>
    <row r="7" spans="2:33">
      <c r="B7" s="125" t="s">
        <v>114</v>
      </c>
      <c r="C7" s="156">
        <v>0.75</v>
      </c>
      <c r="D7" s="124">
        <v>116</v>
      </c>
      <c r="E7" s="123"/>
      <c r="F7" s="153">
        <f>IFERROR(E7*$B$2*VLOOKUP(C7,$AF$4:$AG$14,2,FALSE),0)</f>
        <v>0</v>
      </c>
      <c r="G7" s="123"/>
      <c r="H7" s="153">
        <f>IFERROR(G7*$B$2*VLOOKUP(C7,$AF$4:$AG$14,2,FALSE),0)</f>
        <v>0</v>
      </c>
      <c r="I7" s="122">
        <f t="shared" si="2"/>
        <v>116</v>
      </c>
      <c r="J7" s="159">
        <v>0.75</v>
      </c>
      <c r="K7" s="124">
        <v>126</v>
      </c>
      <c r="L7" s="123"/>
      <c r="M7" s="153">
        <f t="shared" si="3"/>
        <v>0</v>
      </c>
      <c r="N7" s="123"/>
      <c r="O7" s="153">
        <f t="shared" si="4"/>
        <v>0</v>
      </c>
      <c r="P7" s="122">
        <f t="shared" si="5"/>
        <v>126</v>
      </c>
      <c r="Q7" s="159">
        <v>0.75</v>
      </c>
      <c r="R7" s="124">
        <v>130</v>
      </c>
      <c r="S7" s="123"/>
      <c r="T7" s="153">
        <f>IFERROR(S7*$B$2*VLOOKUP(Q7,$AF$4:$AG$14,2,FALSE),0)</f>
        <v>0</v>
      </c>
      <c r="U7" s="123"/>
      <c r="V7" s="153">
        <f>IFERROR(U7*$B$2*VLOOKUP(Q7,$AF$4:$AG$14,2,FALSE),0)</f>
        <v>0</v>
      </c>
      <c r="W7" s="122">
        <f t="shared" si="8"/>
        <v>130</v>
      </c>
      <c r="Y7" s="121">
        <f t="shared" si="9"/>
        <v>-4</v>
      </c>
      <c r="Z7" s="120">
        <f t="shared" si="10"/>
        <v>6</v>
      </c>
      <c r="AA7" s="119">
        <f t="shared" si="11"/>
        <v>-2</v>
      </c>
      <c r="AB7" s="118">
        <f t="shared" si="12"/>
        <v>0</v>
      </c>
      <c r="AC7" s="117" t="str">
        <f t="shared" si="13"/>
        <v>OK</v>
      </c>
      <c r="AF7" s="158"/>
      <c r="AG7" s="155"/>
    </row>
    <row r="8" spans="2:33">
      <c r="B8" s="125" t="s">
        <v>115</v>
      </c>
      <c r="C8" s="156">
        <v>0.5</v>
      </c>
      <c r="D8" s="124">
        <v>80</v>
      </c>
      <c r="E8" s="123"/>
      <c r="F8" s="153">
        <f>IFERROR(E8*$B$2*VLOOKUP(C8,$AF$4:$AG$14,2,FALSE),0)</f>
        <v>0</v>
      </c>
      <c r="G8" s="123"/>
      <c r="H8" s="153">
        <f>IFERROR(G8*$B$2*VLOOKUP(C8,$AF$4:$AG$14,2,FALSE),0)</f>
        <v>0</v>
      </c>
      <c r="I8" s="122">
        <f t="shared" si="2"/>
        <v>80</v>
      </c>
      <c r="J8" s="159">
        <v>0.5</v>
      </c>
      <c r="K8" s="124">
        <v>60</v>
      </c>
      <c r="L8" s="123"/>
      <c r="M8" s="153">
        <f t="shared" si="3"/>
        <v>0</v>
      </c>
      <c r="N8" s="123"/>
      <c r="O8" s="153">
        <f t="shared" si="4"/>
        <v>0</v>
      </c>
      <c r="P8" s="122">
        <f t="shared" si="5"/>
        <v>60</v>
      </c>
      <c r="Q8" s="159">
        <v>0.5</v>
      </c>
      <c r="R8" s="124">
        <v>82</v>
      </c>
      <c r="S8" s="123">
        <v>6</v>
      </c>
      <c r="T8" s="153">
        <f>IFERROR(S8*$B$2*VLOOKUP(Q8,$AF$4:$AG$14,2,FALSE),0)</f>
        <v>24</v>
      </c>
      <c r="U8" s="123"/>
      <c r="V8" s="153">
        <f>IFERROR(U8*$B$2*VLOOKUP(Q8,$AF$4:$AG$14,2,FALSE),0)</f>
        <v>0</v>
      </c>
      <c r="W8" s="122">
        <f t="shared" si="8"/>
        <v>106</v>
      </c>
      <c r="Y8" s="121">
        <f t="shared" si="9"/>
        <v>0</v>
      </c>
      <c r="Z8" s="120">
        <f t="shared" si="10"/>
        <v>-20</v>
      </c>
      <c r="AA8" s="119">
        <f t="shared" si="11"/>
        <v>18</v>
      </c>
      <c r="AB8" s="118">
        <f t="shared" si="12"/>
        <v>-2</v>
      </c>
      <c r="AC8" s="117" t="str">
        <f t="shared" si="13"/>
        <v>niedogodziny</v>
      </c>
      <c r="AF8" s="158"/>
      <c r="AG8" s="155"/>
    </row>
    <row r="9" spans="2:33">
      <c r="B9" s="125" t="s">
        <v>116</v>
      </c>
      <c r="C9" s="156">
        <v>0.5</v>
      </c>
      <c r="D9" s="124">
        <v>82</v>
      </c>
      <c r="E9" s="123"/>
      <c r="F9" s="153">
        <f>IFERROR(E9*$B$2*VLOOKUP(C9,$AF$4:$AG$14,2,FALSE),0)</f>
        <v>0</v>
      </c>
      <c r="G9" s="123"/>
      <c r="H9" s="153">
        <f>IFERROR(G9*$B$2*VLOOKUP(C9,$AF$4:$AG$14,2,FALSE),0)</f>
        <v>0</v>
      </c>
      <c r="I9" s="122">
        <f t="shared" si="2"/>
        <v>82</v>
      </c>
      <c r="J9" s="159">
        <v>0.5</v>
      </c>
      <c r="K9" s="124">
        <v>84</v>
      </c>
      <c r="L9" s="123"/>
      <c r="M9" s="153">
        <f t="shared" si="3"/>
        <v>0</v>
      </c>
      <c r="N9" s="123"/>
      <c r="O9" s="153">
        <f t="shared" si="4"/>
        <v>0</v>
      </c>
      <c r="P9" s="122">
        <f t="shared" si="5"/>
        <v>84</v>
      </c>
      <c r="Q9" s="159">
        <v>0.5</v>
      </c>
      <c r="R9" s="124">
        <v>70</v>
      </c>
      <c r="S9" s="123"/>
      <c r="T9" s="153">
        <f>IFERROR(S9*$B$2*VLOOKUP(Q9,$AF$4:$AG$14,2,FALSE),0)</f>
        <v>0</v>
      </c>
      <c r="U9" s="123">
        <v>3</v>
      </c>
      <c r="V9" s="153">
        <f>IFERROR(U9*$B$2*VLOOKUP(Q9,$AF$4:$AG$14,2,FALSE),0)</f>
        <v>12</v>
      </c>
      <c r="W9" s="122">
        <f t="shared" si="8"/>
        <v>82</v>
      </c>
      <c r="Y9" s="121">
        <f t="shared" si="9"/>
        <v>2</v>
      </c>
      <c r="Z9" s="120">
        <f t="shared" si="10"/>
        <v>4</v>
      </c>
      <c r="AA9" s="119">
        <f t="shared" si="11"/>
        <v>-6</v>
      </c>
      <c r="AB9" s="118">
        <f t="shared" si="12"/>
        <v>0</v>
      </c>
      <c r="AC9" s="117" t="str">
        <f t="shared" si="13"/>
        <v>OK</v>
      </c>
      <c r="AF9" s="158"/>
      <c r="AG9" s="155"/>
    </row>
    <row r="10" spans="2:33">
      <c r="B10" s="125" t="s">
        <v>117</v>
      </c>
      <c r="C10" s="156"/>
      <c r="D10" s="124"/>
      <c r="E10" s="123"/>
      <c r="F10" s="153">
        <f t="shared" si="0"/>
        <v>0</v>
      </c>
      <c r="G10" s="123"/>
      <c r="H10" s="153">
        <f t="shared" si="1"/>
        <v>0</v>
      </c>
      <c r="I10" s="122">
        <f t="shared" si="2"/>
        <v>0</v>
      </c>
      <c r="J10" s="159" t="s">
        <v>7</v>
      </c>
      <c r="K10" s="124">
        <v>163</v>
      </c>
      <c r="L10" s="123"/>
      <c r="M10" s="153">
        <f t="shared" si="3"/>
        <v>0</v>
      </c>
      <c r="N10" s="123"/>
      <c r="O10" s="153">
        <f t="shared" si="4"/>
        <v>0</v>
      </c>
      <c r="P10" s="122">
        <f t="shared" si="5"/>
        <v>163</v>
      </c>
      <c r="Q10" s="159" t="s">
        <v>7</v>
      </c>
      <c r="R10" s="124">
        <v>173</v>
      </c>
      <c r="S10" s="123"/>
      <c r="T10" s="153">
        <f t="shared" si="6"/>
        <v>0</v>
      </c>
      <c r="U10" s="123"/>
      <c r="V10" s="153">
        <f t="shared" si="7"/>
        <v>0</v>
      </c>
      <c r="W10" s="122">
        <f t="shared" si="8"/>
        <v>173</v>
      </c>
      <c r="Y10" s="121">
        <f t="shared" si="9"/>
        <v>0</v>
      </c>
      <c r="Z10" s="120">
        <f t="shared" si="10"/>
        <v>3</v>
      </c>
      <c r="AA10" s="119">
        <f t="shared" si="11"/>
        <v>-3</v>
      </c>
      <c r="AB10" s="118">
        <f t="shared" si="12"/>
        <v>0</v>
      </c>
      <c r="AC10" s="117" t="str">
        <f t="shared" si="13"/>
        <v>OK</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118</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552" t="s">
        <v>119</v>
      </c>
      <c r="D16" s="552"/>
      <c r="E16" s="552"/>
      <c r="F16" s="134"/>
      <c r="G16" s="134" t="s">
        <v>104</v>
      </c>
      <c r="H16" s="134"/>
      <c r="I16" s="133">
        <f>Calendar!F6</f>
        <v>168</v>
      </c>
      <c r="J16" s="551" t="s">
        <v>57</v>
      </c>
      <c r="K16" s="552"/>
      <c r="L16" s="552"/>
      <c r="M16" s="151"/>
      <c r="N16" s="134" t="s">
        <v>104</v>
      </c>
      <c r="O16" s="151"/>
      <c r="P16" s="133">
        <f>Calendar!F7</f>
        <v>160</v>
      </c>
      <c r="Q16" s="551" t="s">
        <v>120</v>
      </c>
      <c r="R16" s="552"/>
      <c r="S16" s="552"/>
      <c r="T16" s="151"/>
      <c r="U16" s="134" t="s">
        <v>104</v>
      </c>
      <c r="V16" s="151"/>
      <c r="W16" s="133">
        <f>Calendar!F8</f>
        <v>168</v>
      </c>
      <c r="AC16" s="107"/>
    </row>
    <row r="17" spans="2:29">
      <c r="B17" s="132" t="s">
        <v>6</v>
      </c>
      <c r="C17" s="130" t="s">
        <v>104</v>
      </c>
      <c r="D17" s="130" t="s">
        <v>107</v>
      </c>
      <c r="E17" s="130" t="s">
        <v>14</v>
      </c>
      <c r="F17" s="130"/>
      <c r="G17" s="130" t="s">
        <v>108</v>
      </c>
      <c r="H17" s="130"/>
      <c r="I17" s="129" t="s">
        <v>109</v>
      </c>
      <c r="J17" s="131" t="s">
        <v>104</v>
      </c>
      <c r="K17" s="130" t="s">
        <v>107</v>
      </c>
      <c r="L17" s="130" t="s">
        <v>14</v>
      </c>
      <c r="M17" s="152"/>
      <c r="N17" s="130" t="s">
        <v>108</v>
      </c>
      <c r="O17" s="152"/>
      <c r="P17" s="129" t="s">
        <v>109</v>
      </c>
      <c r="Q17" s="131" t="s">
        <v>104</v>
      </c>
      <c r="R17" s="130" t="s">
        <v>107</v>
      </c>
      <c r="S17" s="130" t="s">
        <v>14</v>
      </c>
      <c r="T17" s="152"/>
      <c r="U17" s="130" t="s">
        <v>108</v>
      </c>
      <c r="V17" s="152"/>
      <c r="W17" s="129" t="s">
        <v>109</v>
      </c>
      <c r="Y17" s="128" t="s">
        <v>56</v>
      </c>
      <c r="Z17" s="127" t="s">
        <v>57</v>
      </c>
      <c r="AA17" s="126" t="s">
        <v>58</v>
      </c>
      <c r="AB17" s="555" t="s">
        <v>110</v>
      </c>
      <c r="AC17" s="556"/>
    </row>
    <row r="18" spans="2:29">
      <c r="B18" s="125" t="s">
        <v>111</v>
      </c>
      <c r="C18" s="156" t="s">
        <v>7</v>
      </c>
      <c r="D18" s="124">
        <v>144</v>
      </c>
      <c r="E18" s="123">
        <v>2</v>
      </c>
      <c r="F18" s="153">
        <f t="shared" ref="F18:F27" si="14">IFERROR(E18*$B$2*VLOOKUP(C18,$AF$4:$AG$14,2,FALSE),0)</f>
        <v>16</v>
      </c>
      <c r="G18" s="123"/>
      <c r="H18" s="153">
        <f t="shared" ref="H18:H27" si="15">IFERROR(G18*$B$2*VLOOKUP(C18,$AF$4:$AG$14,2,FALSE),0)</f>
        <v>0</v>
      </c>
      <c r="I18" s="122">
        <f t="shared" ref="I18:I27" si="16">D18+F18+H18</f>
        <v>160</v>
      </c>
      <c r="J18" s="159"/>
      <c r="K18" s="124"/>
      <c r="L18" s="123"/>
      <c r="M18" s="153">
        <f t="shared" ref="M18:M27" si="17">IFERROR(L18*$B$2*VLOOKUP(J18,$AF$4:$AG$14,2,FALSE),0)</f>
        <v>0</v>
      </c>
      <c r="N18" s="123"/>
      <c r="O18" s="153">
        <f t="shared" ref="O18:O27" si="18">IFERROR(N18*$B$2*VLOOKUP(J18,$AF$4:$AG$14,2,FALSE),0)</f>
        <v>0</v>
      </c>
      <c r="P18" s="122">
        <f t="shared" ref="P18:P27" si="19">K18+M18+O18</f>
        <v>0</v>
      </c>
      <c r="Q18" s="159"/>
      <c r="R18" s="124"/>
      <c r="S18" s="123"/>
      <c r="T18" s="153">
        <f t="shared" ref="T18:T27" si="20">IFERROR(S18*$B$2*VLOOKUP(Q18,$AF$4:$AG$14,2,FALSE),0)</f>
        <v>0</v>
      </c>
      <c r="U18" s="123"/>
      <c r="V18" s="153">
        <f t="shared" ref="V18:V27" si="21">IFERROR(U18*$B$2*VLOOKUP(Q18,$AF$4:$AG$14,2,FALSE),0)</f>
        <v>0</v>
      </c>
      <c r="W18" s="122">
        <f t="shared" ref="W18:W27" si="22">R18+T18+V18</f>
        <v>0</v>
      </c>
      <c r="Y18" s="121">
        <f>IFERROR(I18-$I$16*VLOOKUP(C18,$AF$4:$AG$14,2,FALSE),0)</f>
        <v>-8</v>
      </c>
      <c r="Z18" s="120">
        <f>IFERROR(P18-$P$16*VLOOKUP(J18,$AF$4:$AG$14,2,FALSE),0)</f>
        <v>0</v>
      </c>
      <c r="AA18" s="119">
        <f>IFERROR(W18-$W$16*VLOOKUP(Q18,$AF$4:$AG$14,2,FALSE),0)</f>
        <v>0</v>
      </c>
      <c r="AB18" s="118">
        <f>SUM(Y18:AA18)</f>
        <v>-8</v>
      </c>
      <c r="AC18" s="117" t="str">
        <f>IF(B18="","",IF(AB18&lt;0,"niedogodziny",IF(AB18&gt;0,"nadgodziny","OK")))</f>
        <v>niedogodziny</v>
      </c>
    </row>
    <row r="19" spans="2:29">
      <c r="B19" s="125" t="s">
        <v>112</v>
      </c>
      <c r="C19" s="156" t="s">
        <v>7</v>
      </c>
      <c r="D19" s="124">
        <v>152</v>
      </c>
      <c r="E19" s="123"/>
      <c r="F19" s="153">
        <f>IFERROR(E19*$B$2*VLOOKUP(C19,$AF$4:$AG$14,2,FALSE),0)</f>
        <v>0</v>
      </c>
      <c r="G19" s="123"/>
      <c r="H19" s="153">
        <f>IFERROR(G19*$B$2*VLOOKUP(C19,$AF$4:$AG$14,2,FALSE),0)</f>
        <v>0</v>
      </c>
      <c r="I19" s="122">
        <f t="shared" si="16"/>
        <v>152</v>
      </c>
      <c r="J19" s="159"/>
      <c r="K19" s="124"/>
      <c r="L19" s="123"/>
      <c r="M19" s="153">
        <f>IFERROR(L19*$B$2*VLOOKUP(J19,$AF$4:$AG$14,2,FALSE),0)</f>
        <v>0</v>
      </c>
      <c r="N19" s="123"/>
      <c r="O19" s="153">
        <f>IFERROR(N19*$B$2*VLOOKUP(J19,$AF$4:$AG$14,2,FALSE),0)</f>
        <v>0</v>
      </c>
      <c r="P19" s="122">
        <f t="shared" si="19"/>
        <v>0</v>
      </c>
      <c r="Q19" s="159"/>
      <c r="R19" s="124"/>
      <c r="S19" s="123"/>
      <c r="T19" s="153">
        <f>IFERROR(S19*$B$2*VLOOKUP(Q19,$AF$4:$AG$14,2,FALSE),0)</f>
        <v>0</v>
      </c>
      <c r="U19" s="123"/>
      <c r="V19" s="153">
        <f>IFERROR(U19*$B$2*VLOOKUP(Q19,$AF$4:$AG$14,2,FALSE),0)</f>
        <v>0</v>
      </c>
      <c r="W19" s="122">
        <f t="shared" si="22"/>
        <v>0</v>
      </c>
      <c r="Y19" s="121">
        <f t="shared" ref="Y19:Y26" si="23">IFERROR(I19-$I$16*VLOOKUP(C19,$AF$4:$AG$14,2,FALSE),0)</f>
        <v>-16</v>
      </c>
      <c r="Z19" s="120">
        <f t="shared" ref="Z19:Z26" si="24">IFERROR(P19-$P$16*VLOOKUP(J19,$AF$4:$AG$14,2,FALSE),0)</f>
        <v>0</v>
      </c>
      <c r="AA19" s="119">
        <f t="shared" ref="AA19:AA26" si="25">IFERROR(W19-$W$16*VLOOKUP(Q19,$AF$4:$AG$14,2,FALSE),0)</f>
        <v>0</v>
      </c>
      <c r="AB19" s="118">
        <f t="shared" ref="AB19:AB26" si="26">SUM(Y19:AA19)</f>
        <v>-16</v>
      </c>
      <c r="AC19" s="117" t="str">
        <f t="shared" ref="AC19:AC26" si="27">IF(B19="","",IF(AB19&lt;0,"niedogodziny",IF(AB19&gt;0,"nadgodziny","OK")))</f>
        <v>niedogodziny</v>
      </c>
    </row>
    <row r="20" spans="2:29">
      <c r="B20" s="125" t="s">
        <v>121</v>
      </c>
      <c r="C20" s="156">
        <v>0.75</v>
      </c>
      <c r="D20" s="124">
        <v>130</v>
      </c>
      <c r="E20" s="123"/>
      <c r="F20" s="153">
        <f>IFERROR(E20*$B$2*VLOOKUP(C20,$AF$4:$AG$14,2,FALSE),0)</f>
        <v>0</v>
      </c>
      <c r="G20" s="123"/>
      <c r="H20" s="153">
        <f>IFERROR(G20*$B$2*VLOOKUP(C20,$AF$4:$AG$14,2,FALSE),0)</f>
        <v>0</v>
      </c>
      <c r="I20" s="122">
        <f t="shared" si="16"/>
        <v>130</v>
      </c>
      <c r="J20" s="159"/>
      <c r="K20" s="124"/>
      <c r="L20" s="123"/>
      <c r="M20" s="153">
        <f>IFERROR(L20*$B$2*VLOOKUP(J20,$AF$4:$AG$14,2,FALSE),0)</f>
        <v>0</v>
      </c>
      <c r="N20" s="123"/>
      <c r="O20" s="153">
        <f>IFERROR(N20*$B$2*VLOOKUP(J20,$AF$4:$AG$14,2,FALSE),0)</f>
        <v>0</v>
      </c>
      <c r="P20" s="122">
        <f t="shared" si="19"/>
        <v>0</v>
      </c>
      <c r="Q20" s="159"/>
      <c r="R20" s="124"/>
      <c r="S20" s="123"/>
      <c r="T20" s="153">
        <f>IFERROR(S20*$B$2*VLOOKUP(Q20,$AF$4:$AG$14,2,FALSE),0)</f>
        <v>0</v>
      </c>
      <c r="U20" s="123"/>
      <c r="V20" s="153">
        <f>IFERROR(U20*$B$2*VLOOKUP(Q20,$AF$4:$AG$14,2,FALSE),0)</f>
        <v>0</v>
      </c>
      <c r="W20" s="122">
        <f t="shared" si="22"/>
        <v>0</v>
      </c>
      <c r="Y20" s="121">
        <f t="shared" si="23"/>
        <v>4</v>
      </c>
      <c r="Z20" s="120">
        <f t="shared" si="24"/>
        <v>0</v>
      </c>
      <c r="AA20" s="119">
        <f t="shared" si="25"/>
        <v>0</v>
      </c>
      <c r="AB20" s="118">
        <f t="shared" si="26"/>
        <v>4</v>
      </c>
      <c r="AC20" s="117" t="str">
        <f t="shared" si="27"/>
        <v>nadgodziny</v>
      </c>
    </row>
    <row r="21" spans="2:29">
      <c r="B21" s="125" t="s">
        <v>115</v>
      </c>
      <c r="C21" s="156">
        <v>0.25</v>
      </c>
      <c r="D21" s="124">
        <v>38</v>
      </c>
      <c r="E21" s="123"/>
      <c r="F21" s="153">
        <f>IFERROR(E21*$B$2*VLOOKUP(C21,$AF$4:$AG$14,2,FALSE),0)</f>
        <v>0</v>
      </c>
      <c r="G21" s="123"/>
      <c r="H21" s="153">
        <f>IFERROR(G21*$B$2*VLOOKUP(C21,$AF$4:$AG$14,2,FALSE),0)</f>
        <v>0</v>
      </c>
      <c r="I21" s="122">
        <f t="shared" si="16"/>
        <v>38</v>
      </c>
      <c r="J21" s="159"/>
      <c r="K21" s="124"/>
      <c r="L21" s="123"/>
      <c r="M21" s="153">
        <f>IFERROR(L21*$B$2*VLOOKUP(J21,$AF$4:$AG$14,2,FALSE),0)</f>
        <v>0</v>
      </c>
      <c r="N21" s="123"/>
      <c r="O21" s="153">
        <f>IFERROR(N21*$B$2*VLOOKUP(J21,$AF$4:$AG$14,2,FALSE),0)</f>
        <v>0</v>
      </c>
      <c r="P21" s="122">
        <f t="shared" si="19"/>
        <v>0</v>
      </c>
      <c r="Q21" s="159"/>
      <c r="R21" s="124"/>
      <c r="S21" s="123"/>
      <c r="T21" s="153">
        <f>IFERROR(S21*$B$2*VLOOKUP(Q21,$AF$4:$AG$14,2,FALSE),0)</f>
        <v>0</v>
      </c>
      <c r="U21" s="123"/>
      <c r="V21" s="153">
        <f>IFERROR(U21*$B$2*VLOOKUP(Q21,$AF$4:$AG$14,2,FALSE),0)</f>
        <v>0</v>
      </c>
      <c r="W21" s="122">
        <f t="shared" si="22"/>
        <v>0</v>
      </c>
      <c r="Y21" s="121">
        <f t="shared" si="23"/>
        <v>-4</v>
      </c>
      <c r="Z21" s="120">
        <f t="shared" si="24"/>
        <v>0</v>
      </c>
      <c r="AA21" s="119">
        <f t="shared" si="25"/>
        <v>0</v>
      </c>
      <c r="AB21" s="118">
        <f t="shared" si="26"/>
        <v>-4</v>
      </c>
      <c r="AC21" s="117" t="str">
        <f t="shared" si="27"/>
        <v>niedogodziny</v>
      </c>
    </row>
    <row r="22" spans="2:29">
      <c r="B22" s="125" t="s">
        <v>116</v>
      </c>
      <c r="C22" s="156">
        <v>0.5</v>
      </c>
      <c r="D22" s="124" t="s">
        <v>122</v>
      </c>
      <c r="E22" s="123"/>
      <c r="F22" s="153">
        <f>IFERROR(E22*$B$2*VLOOKUP(C22,$AF$4:$AG$14,2,FALSE),0)</f>
        <v>0</v>
      </c>
      <c r="G22" s="123"/>
      <c r="H22" s="153">
        <f>IFERROR(G22*$B$2*VLOOKUP(C22,$AF$4:$AG$14,2,FALSE),0)</f>
        <v>0</v>
      </c>
      <c r="I22" s="122" t="e">
        <f t="shared" si="16"/>
        <v>#VALUE!</v>
      </c>
      <c r="J22" s="159"/>
      <c r="K22" s="124"/>
      <c r="L22" s="123"/>
      <c r="M22" s="153">
        <f>IFERROR(L22*$B$2*VLOOKUP(J22,$AF$4:$AG$14,2,FALSE),0)</f>
        <v>0</v>
      </c>
      <c r="N22" s="123"/>
      <c r="O22" s="153">
        <f>IFERROR(N22*$B$2*VLOOKUP(J22,$AF$4:$AG$14,2,FALSE),0)</f>
        <v>0</v>
      </c>
      <c r="P22" s="122">
        <f t="shared" si="19"/>
        <v>0</v>
      </c>
      <c r="Q22" s="159"/>
      <c r="R22" s="124"/>
      <c r="S22" s="123"/>
      <c r="T22" s="153">
        <f>IFERROR(S22*$B$2*VLOOKUP(Q22,$AF$4:$AG$14,2,FALSE),0)</f>
        <v>0</v>
      </c>
      <c r="U22" s="123"/>
      <c r="V22" s="153">
        <f>IFERROR(U22*$B$2*VLOOKUP(Q22,$AF$4:$AG$14,2,FALSE),0)</f>
        <v>0</v>
      </c>
      <c r="W22" s="122">
        <f t="shared" si="22"/>
        <v>0</v>
      </c>
      <c r="Y22" s="121">
        <f t="shared" si="23"/>
        <v>0</v>
      </c>
      <c r="Z22" s="120">
        <f t="shared" si="24"/>
        <v>0</v>
      </c>
      <c r="AA22" s="119">
        <f t="shared" si="25"/>
        <v>0</v>
      </c>
      <c r="AB22" s="118">
        <f t="shared" si="26"/>
        <v>0</v>
      </c>
      <c r="AC22" s="117" t="str">
        <f t="shared" si="27"/>
        <v>OK</v>
      </c>
    </row>
    <row r="23" spans="2:29">
      <c r="B23" s="125" t="s">
        <v>117</v>
      </c>
      <c r="C23" s="156" t="s">
        <v>7</v>
      </c>
      <c r="D23" s="124">
        <v>135</v>
      </c>
      <c r="E23" s="123">
        <v>3</v>
      </c>
      <c r="F23" s="153">
        <f>IFERROR(E23*$B$2*VLOOKUP(C23,$AF$4:$AG$14,2,FALSE),0)</f>
        <v>24</v>
      </c>
      <c r="G23" s="123"/>
      <c r="H23" s="153">
        <f>IFERROR(G23*$B$2*VLOOKUP(C23,$AF$4:$AG$14,2,FALSE),0)</f>
        <v>0</v>
      </c>
      <c r="I23" s="122">
        <f t="shared" si="16"/>
        <v>159</v>
      </c>
      <c r="J23" s="159"/>
      <c r="K23" s="124"/>
      <c r="L23" s="123"/>
      <c r="M23" s="153">
        <f>IFERROR(L23*$B$2*VLOOKUP(J23,$AF$4:$AG$14,2,FALSE),0)</f>
        <v>0</v>
      </c>
      <c r="N23" s="123"/>
      <c r="O23" s="153">
        <f>IFERROR(N23*$B$2*VLOOKUP(J23,$AF$4:$AG$14,2,FALSE),0)</f>
        <v>0</v>
      </c>
      <c r="P23" s="122">
        <f t="shared" si="19"/>
        <v>0</v>
      </c>
      <c r="Q23" s="159"/>
      <c r="R23" s="124"/>
      <c r="S23" s="123"/>
      <c r="T23" s="153">
        <f t="shared" si="20"/>
        <v>0</v>
      </c>
      <c r="U23" s="123"/>
      <c r="V23" s="153">
        <f t="shared" si="21"/>
        <v>0</v>
      </c>
      <c r="W23" s="122">
        <f t="shared" si="22"/>
        <v>0</v>
      </c>
      <c r="Y23" s="121">
        <f t="shared" si="23"/>
        <v>-9</v>
      </c>
      <c r="Z23" s="120">
        <f t="shared" si="24"/>
        <v>0</v>
      </c>
      <c r="AA23" s="119">
        <f t="shared" si="25"/>
        <v>0</v>
      </c>
      <c r="AB23" s="118">
        <f t="shared" si="26"/>
        <v>-9</v>
      </c>
      <c r="AC23" s="117" t="str">
        <f t="shared" si="27"/>
        <v>niedogodziny</v>
      </c>
    </row>
    <row r="24" spans="2:29">
      <c r="B24" s="125"/>
      <c r="C24" s="156"/>
      <c r="D24" s="124"/>
      <c r="E24" s="123"/>
      <c r="F24" s="153">
        <f t="shared" si="14"/>
        <v>0</v>
      </c>
      <c r="G24" s="123"/>
      <c r="H24" s="153">
        <f t="shared" si="15"/>
        <v>0</v>
      </c>
      <c r="I24" s="122">
        <f t="shared" si="16"/>
        <v>0</v>
      </c>
      <c r="J24" s="159"/>
      <c r="K24" s="124"/>
      <c r="L24" s="123"/>
      <c r="M24" s="153">
        <f t="shared" si="17"/>
        <v>0</v>
      </c>
      <c r="N24" s="123"/>
      <c r="O24" s="153">
        <f t="shared" si="18"/>
        <v>0</v>
      </c>
      <c r="P24" s="122">
        <f t="shared" si="19"/>
        <v>0</v>
      </c>
      <c r="Q24" s="159"/>
      <c r="R24" s="124"/>
      <c r="S24" s="123"/>
      <c r="T24" s="153">
        <f t="shared" si="20"/>
        <v>0</v>
      </c>
      <c r="U24" s="123"/>
      <c r="V24" s="153">
        <f t="shared" si="21"/>
        <v>0</v>
      </c>
      <c r="W24" s="122">
        <f t="shared" si="22"/>
        <v>0</v>
      </c>
      <c r="Y24" s="121">
        <f t="shared" si="23"/>
        <v>0</v>
      </c>
      <c r="Z24" s="120">
        <f t="shared" si="24"/>
        <v>0</v>
      </c>
      <c r="AA24" s="119">
        <f t="shared" si="25"/>
        <v>0</v>
      </c>
      <c r="AB24" s="118">
        <f t="shared" si="26"/>
        <v>0</v>
      </c>
      <c r="AC24" s="117" t="str">
        <f t="shared" si="27"/>
        <v/>
      </c>
    </row>
    <row r="25" spans="2:29">
      <c r="B25" s="125"/>
      <c r="C25" s="156"/>
      <c r="D25" s="124"/>
      <c r="E25" s="123"/>
      <c r="F25" s="153">
        <f t="shared" si="14"/>
        <v>0</v>
      </c>
      <c r="G25" s="123"/>
      <c r="H25" s="153">
        <f t="shared" si="15"/>
        <v>0</v>
      </c>
      <c r="I25" s="122">
        <f t="shared" si="16"/>
        <v>0</v>
      </c>
      <c r="J25" s="159"/>
      <c r="K25" s="124"/>
      <c r="L25" s="123"/>
      <c r="M25" s="153">
        <f t="shared" si="17"/>
        <v>0</v>
      </c>
      <c r="N25" s="123"/>
      <c r="O25" s="153">
        <f t="shared" si="18"/>
        <v>0</v>
      </c>
      <c r="P25" s="122">
        <f t="shared" si="19"/>
        <v>0</v>
      </c>
      <c r="Q25" s="159"/>
      <c r="R25" s="124"/>
      <c r="S25" s="123"/>
      <c r="T25" s="153">
        <f t="shared" si="20"/>
        <v>0</v>
      </c>
      <c r="U25" s="123"/>
      <c r="V25" s="153">
        <f t="shared" si="21"/>
        <v>0</v>
      </c>
      <c r="W25" s="122">
        <f t="shared" si="22"/>
        <v>0</v>
      </c>
      <c r="Y25" s="121">
        <f t="shared" si="23"/>
        <v>0</v>
      </c>
      <c r="Z25" s="120">
        <f t="shared" si="24"/>
        <v>0</v>
      </c>
      <c r="AA25" s="119">
        <f t="shared" si="25"/>
        <v>0</v>
      </c>
      <c r="AB25" s="118">
        <f t="shared" si="26"/>
        <v>0</v>
      </c>
      <c r="AC25" s="117" t="str">
        <f t="shared" si="27"/>
        <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552" t="s">
        <v>123</v>
      </c>
      <c r="D29" s="552"/>
      <c r="E29" s="552"/>
      <c r="F29" s="134"/>
      <c r="G29" s="134" t="s">
        <v>104</v>
      </c>
      <c r="H29" s="134"/>
      <c r="I29" s="133">
        <f>Calendar!F9</f>
        <v>184</v>
      </c>
      <c r="J29" s="551" t="s">
        <v>124</v>
      </c>
      <c r="K29" s="552"/>
      <c r="L29" s="552"/>
      <c r="M29" s="151"/>
      <c r="N29" s="134" t="s">
        <v>104</v>
      </c>
      <c r="O29" s="151"/>
      <c r="P29" s="133">
        <f>Calendar!F10</f>
        <v>160</v>
      </c>
      <c r="Q29" s="551" t="s">
        <v>125</v>
      </c>
      <c r="R29" s="552"/>
      <c r="S29" s="552"/>
      <c r="T29" s="151"/>
      <c r="U29" s="134" t="s">
        <v>104</v>
      </c>
      <c r="V29" s="151"/>
      <c r="W29" s="133">
        <f>Calendar!F11</f>
        <v>176</v>
      </c>
      <c r="AC29" s="107"/>
    </row>
    <row r="30" spans="2:29">
      <c r="B30" s="132" t="s">
        <v>6</v>
      </c>
      <c r="C30" s="130" t="s">
        <v>104</v>
      </c>
      <c r="D30" s="130" t="s">
        <v>107</v>
      </c>
      <c r="E30" s="130" t="s">
        <v>14</v>
      </c>
      <c r="F30" s="130"/>
      <c r="G30" s="130" t="s">
        <v>108</v>
      </c>
      <c r="H30" s="130"/>
      <c r="I30" s="129" t="s">
        <v>109</v>
      </c>
      <c r="J30" s="131" t="s">
        <v>104</v>
      </c>
      <c r="K30" s="130" t="s">
        <v>107</v>
      </c>
      <c r="L30" s="130" t="s">
        <v>14</v>
      </c>
      <c r="M30" s="152"/>
      <c r="N30" s="130" t="s">
        <v>108</v>
      </c>
      <c r="O30" s="152"/>
      <c r="P30" s="129" t="s">
        <v>109</v>
      </c>
      <c r="Q30" s="131" t="s">
        <v>104</v>
      </c>
      <c r="R30" s="130" t="s">
        <v>107</v>
      </c>
      <c r="S30" s="130" t="s">
        <v>14</v>
      </c>
      <c r="T30" s="152"/>
      <c r="U30" s="130" t="s">
        <v>108</v>
      </c>
      <c r="V30" s="152"/>
      <c r="W30" s="129" t="s">
        <v>109</v>
      </c>
      <c r="Y30" s="128" t="s">
        <v>59</v>
      </c>
      <c r="Z30" s="127" t="s">
        <v>126</v>
      </c>
      <c r="AA30" s="126" t="s">
        <v>61</v>
      </c>
      <c r="AB30" s="555" t="s">
        <v>110</v>
      </c>
      <c r="AC30" s="556"/>
    </row>
    <row r="31" spans="2:29">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552" t="s">
        <v>127</v>
      </c>
      <c r="D42" s="552"/>
      <c r="E42" s="552"/>
      <c r="F42" s="134"/>
      <c r="G42" s="134" t="s">
        <v>104</v>
      </c>
      <c r="H42" s="134"/>
      <c r="I42" s="133">
        <f>Calendar!F12</f>
        <v>176</v>
      </c>
      <c r="J42" s="551" t="s">
        <v>128</v>
      </c>
      <c r="K42" s="552"/>
      <c r="L42" s="552"/>
      <c r="M42" s="151"/>
      <c r="N42" s="134" t="s">
        <v>104</v>
      </c>
      <c r="O42" s="151"/>
      <c r="P42" s="133">
        <f>Calendar!F13</f>
        <v>160</v>
      </c>
      <c r="Q42" s="551" t="s">
        <v>129</v>
      </c>
      <c r="R42" s="552"/>
      <c r="S42" s="552"/>
      <c r="T42" s="151"/>
      <c r="U42" s="134" t="s">
        <v>104</v>
      </c>
      <c r="V42" s="151"/>
      <c r="W42" s="133">
        <f>Calendar!F14</f>
        <v>160</v>
      </c>
      <c r="AC42" s="107"/>
    </row>
    <row r="43" spans="2:29">
      <c r="B43" s="132" t="s">
        <v>6</v>
      </c>
      <c r="C43" s="130" t="s">
        <v>104</v>
      </c>
      <c r="D43" s="130" t="s">
        <v>107</v>
      </c>
      <c r="E43" s="130" t="s">
        <v>14</v>
      </c>
      <c r="F43" s="130"/>
      <c r="G43" s="130" t="s">
        <v>108</v>
      </c>
      <c r="H43" s="130"/>
      <c r="I43" s="129" t="s">
        <v>109</v>
      </c>
      <c r="J43" s="131" t="s">
        <v>104</v>
      </c>
      <c r="K43" s="130" t="s">
        <v>107</v>
      </c>
      <c r="L43" s="130" t="s">
        <v>14</v>
      </c>
      <c r="M43" s="152"/>
      <c r="N43" s="130" t="s">
        <v>108</v>
      </c>
      <c r="O43" s="152"/>
      <c r="P43" s="129" t="s">
        <v>109</v>
      </c>
      <c r="Q43" s="131" t="s">
        <v>104</v>
      </c>
      <c r="R43" s="130" t="s">
        <v>107</v>
      </c>
      <c r="S43" s="130" t="s">
        <v>14</v>
      </c>
      <c r="T43" s="152"/>
      <c r="U43" s="130" t="s">
        <v>108</v>
      </c>
      <c r="V43" s="152"/>
      <c r="W43" s="129" t="s">
        <v>109</v>
      </c>
      <c r="Y43" s="128" t="s">
        <v>62</v>
      </c>
      <c r="Z43" s="127" t="s">
        <v>63</v>
      </c>
      <c r="AA43" s="126" t="s">
        <v>64</v>
      </c>
      <c r="AB43" s="555" t="s">
        <v>110</v>
      </c>
      <c r="AC43" s="556"/>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553" t="s">
        <v>130</v>
      </c>
      <c r="C55" s="553"/>
      <c r="D55" s="553"/>
      <c r="E55" s="553"/>
      <c r="F55" s="553"/>
      <c r="G55" s="553"/>
      <c r="H55" s="553"/>
      <c r="I55" s="553"/>
      <c r="J55" s="553"/>
      <c r="K55" s="553"/>
      <c r="L55" s="553"/>
      <c r="M55" s="553"/>
      <c r="N55" s="553"/>
      <c r="O55" s="553"/>
      <c r="P55" s="553"/>
      <c r="Q55" s="553"/>
      <c r="R55" s="553"/>
      <c r="S55" s="553"/>
      <c r="T55" s="553"/>
      <c r="U55" s="553"/>
      <c r="V55" s="553"/>
      <c r="W55" s="553"/>
      <c r="X55" s="553"/>
      <c r="Y55" s="553"/>
      <c r="Z55" s="553"/>
      <c r="AA55" s="553"/>
      <c r="AB55" s="553"/>
      <c r="AC55" s="553"/>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B1:AC1"/>
    <mergeCell ref="AB4:AC4"/>
    <mergeCell ref="AB17:AC17"/>
    <mergeCell ref="AB30:AC30"/>
    <mergeCell ref="AB43:AC43"/>
    <mergeCell ref="C3:E3"/>
    <mergeCell ref="J3:L3"/>
    <mergeCell ref="Q3:S3"/>
    <mergeCell ref="C16:E16"/>
    <mergeCell ref="J16:L16"/>
    <mergeCell ref="Q16:S16"/>
    <mergeCell ref="C29:E29"/>
    <mergeCell ref="J29:L29"/>
    <mergeCell ref="Q29:S29"/>
    <mergeCell ref="C42:E42"/>
    <mergeCell ref="J42:L42"/>
    <mergeCell ref="Q42:S42"/>
    <mergeCell ref="B55:AC55"/>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zoomScale="75" zoomScaleNormal="75" workbookViewId="0">
      <selection activeCell="C9" sqref="C9:D9"/>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617" t="str">
        <f ca="1">INDIRECT("T!"&amp;T!A1&amp;"59")</f>
        <v>Grafiki Roczne</v>
      </c>
      <c r="D1" s="617"/>
      <c r="E1" s="617"/>
      <c r="F1" s="617"/>
      <c r="G1" s="617"/>
      <c r="H1" s="617"/>
      <c r="I1" s="617"/>
      <c r="J1" s="617"/>
      <c r="K1" s="617"/>
      <c r="L1" s="617"/>
      <c r="M1" s="617"/>
      <c r="N1" s="617"/>
      <c r="O1" s="617"/>
      <c r="P1" s="617"/>
      <c r="Q1" s="617"/>
      <c r="R1" s="617"/>
      <c r="S1" s="617"/>
      <c r="T1" s="617"/>
      <c r="U1" s="617"/>
      <c r="V1" s="617"/>
      <c r="W1" s="617"/>
      <c r="X1" s="617"/>
      <c r="Y1" s="617"/>
      <c r="Z1" s="617"/>
      <c r="AA1" s="617"/>
      <c r="AB1" s="617"/>
      <c r="AC1" s="617"/>
      <c r="AD1" s="617"/>
      <c r="AE1" s="617"/>
      <c r="AF1" s="617"/>
      <c r="AG1" s="617"/>
      <c r="AH1" s="617"/>
      <c r="AI1" s="617"/>
      <c r="AJ1" s="617"/>
      <c r="AK1" s="617"/>
      <c r="AL1" s="617"/>
      <c r="AM1" s="617"/>
      <c r="AN1" s="617"/>
      <c r="AO1" s="617"/>
      <c r="AP1" s="617"/>
      <c r="AQ1" s="617"/>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7"/>
      <c r="AL2" s="617"/>
      <c r="AM2" s="617"/>
      <c r="AN2" s="617"/>
      <c r="AO2" s="617"/>
      <c r="AP2" s="617"/>
      <c r="AQ2" s="617"/>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t="str">
        <f>Lists!O25</f>
        <v>T</v>
      </c>
      <c r="BD2" s="145">
        <f>Lists!O26</f>
        <v>0</v>
      </c>
      <c r="BE2" s="145">
        <f>Lists!O27</f>
        <v>0</v>
      </c>
      <c r="BF2" s="145">
        <f>Lists!O28</f>
        <v>0</v>
      </c>
      <c r="BG2" s="145">
        <f>Lists!O29</f>
        <v>0</v>
      </c>
      <c r="BH2" s="145">
        <f>Lists!O30</f>
        <v>0</v>
      </c>
      <c r="BI2" s="145">
        <f>Lists!O31</f>
        <v>0</v>
      </c>
      <c r="BJ2" s="145" t="s">
        <v>14</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618" t="str">
        <f ca="1">Lists!F1</f>
        <v>Styczeń</v>
      </c>
      <c r="D3" s="619"/>
      <c r="E3" s="619"/>
      <c r="F3" s="619"/>
      <c r="G3" s="620"/>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621"/>
      <c r="D4" s="622"/>
      <c r="E4" s="622"/>
      <c r="F4" s="622"/>
      <c r="G4" s="623"/>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436" t="str">
        <f ca="1">INDIRECT("T!"&amp;T!A1&amp;"33")</f>
        <v>Etat</v>
      </c>
      <c r="D7" s="437"/>
      <c r="E7" s="430" t="s">
        <v>6</v>
      </c>
      <c r="F7" s="431"/>
      <c r="G7" s="431"/>
      <c r="H7" s="431"/>
      <c r="I7" s="431"/>
      <c r="J7" s="424" t="str">
        <f ca="1">INDIRECT("T!"&amp;T!A1&amp;"34")</f>
        <v>Pozycja</v>
      </c>
      <c r="K7" s="424"/>
      <c r="L7" s="583"/>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624"/>
      <c r="D8" s="625"/>
      <c r="E8" s="581"/>
      <c r="F8" s="582"/>
      <c r="G8" s="582"/>
      <c r="H8" s="582"/>
      <c r="I8" s="582"/>
      <c r="J8" s="427"/>
      <c r="K8" s="427"/>
      <c r="L8" s="584"/>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t="str">
        <f t="shared" si="2"/>
        <v>T</v>
      </c>
      <c r="BD8" s="43">
        <f t="shared" si="2"/>
        <v>0</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626" t="s">
        <v>7</v>
      </c>
      <c r="D9" s="627"/>
      <c r="E9" s="628" t="s">
        <v>8</v>
      </c>
      <c r="F9" s="629"/>
      <c r="G9" s="629"/>
      <c r="H9" s="629"/>
      <c r="I9" s="630"/>
      <c r="J9" s="631" t="s">
        <v>9</v>
      </c>
      <c r="K9" s="632"/>
      <c r="L9" s="633"/>
      <c r="M9" s="35" t="s">
        <v>11</v>
      </c>
      <c r="N9" s="256" t="s">
        <v>12</v>
      </c>
      <c r="O9" s="38" t="s">
        <v>11</v>
      </c>
      <c r="P9" s="38" t="s">
        <v>11</v>
      </c>
      <c r="Q9" s="256" t="s">
        <v>12</v>
      </c>
      <c r="R9" s="38" t="s">
        <v>17</v>
      </c>
      <c r="S9" s="256" t="s">
        <v>12</v>
      </c>
      <c r="T9" s="256" t="s">
        <v>12</v>
      </c>
      <c r="U9" s="256" t="s">
        <v>12</v>
      </c>
      <c r="V9" s="38" t="s">
        <v>11</v>
      </c>
      <c r="W9" s="38" t="s">
        <v>11</v>
      </c>
      <c r="X9" s="256" t="s">
        <v>12</v>
      </c>
      <c r="Y9" s="256" t="s">
        <v>12</v>
      </c>
      <c r="Z9" s="256" t="s">
        <v>12</v>
      </c>
      <c r="AA9" s="256" t="s">
        <v>12</v>
      </c>
      <c r="AB9" s="256" t="s">
        <v>12</v>
      </c>
      <c r="AC9" s="38" t="s">
        <v>11</v>
      </c>
      <c r="AD9" s="38" t="s">
        <v>11</v>
      </c>
      <c r="AE9" s="256" t="s">
        <v>12</v>
      </c>
      <c r="AF9" s="256" t="s">
        <v>12</v>
      </c>
      <c r="AG9" s="38" t="s">
        <v>12</v>
      </c>
      <c r="AH9" s="38" t="s">
        <v>12</v>
      </c>
      <c r="AI9" s="256" t="s">
        <v>17</v>
      </c>
      <c r="AJ9" s="38" t="s">
        <v>11</v>
      </c>
      <c r="AK9" s="38" t="s">
        <v>11</v>
      </c>
      <c r="AL9" s="256" t="s">
        <v>12</v>
      </c>
      <c r="AM9" s="256" t="s">
        <v>12</v>
      </c>
      <c r="AN9" s="256" t="s">
        <v>11</v>
      </c>
      <c r="AO9" s="256" t="s">
        <v>11</v>
      </c>
      <c r="AP9" s="256" t="s">
        <v>17</v>
      </c>
      <c r="AQ9" s="203" t="s">
        <v>17</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4</v>
      </c>
    </row>
    <row r="10" spans="3:71" ht="20.100000000000001" customHeight="1">
      <c r="C10" s="609" t="s">
        <v>7</v>
      </c>
      <c r="D10" s="610"/>
      <c r="E10" s="611" t="s">
        <v>15</v>
      </c>
      <c r="F10" s="612"/>
      <c r="G10" s="612"/>
      <c r="H10" s="612"/>
      <c r="I10" s="613"/>
      <c r="J10" s="614" t="s">
        <v>16</v>
      </c>
      <c r="K10" s="615"/>
      <c r="L10" s="616"/>
      <c r="M10" s="36" t="s">
        <v>11</v>
      </c>
      <c r="N10" s="255" t="s">
        <v>11</v>
      </c>
      <c r="O10" s="39" t="s">
        <v>10</v>
      </c>
      <c r="P10" s="39" t="s">
        <v>11</v>
      </c>
      <c r="Q10" s="255" t="s">
        <v>17</v>
      </c>
      <c r="R10" s="39" t="s">
        <v>17</v>
      </c>
      <c r="S10" s="255" t="s">
        <v>11</v>
      </c>
      <c r="T10" s="255" t="s">
        <v>10</v>
      </c>
      <c r="U10" s="255" t="s">
        <v>10</v>
      </c>
      <c r="V10" s="39" t="s">
        <v>11</v>
      </c>
      <c r="W10" s="39" t="s">
        <v>11</v>
      </c>
      <c r="X10" s="255" t="s">
        <v>10</v>
      </c>
      <c r="Y10" s="255" t="s">
        <v>17</v>
      </c>
      <c r="Z10" s="255" t="s">
        <v>17</v>
      </c>
      <c r="AA10" s="255" t="s">
        <v>11</v>
      </c>
      <c r="AB10" s="255" t="s">
        <v>10</v>
      </c>
      <c r="AC10" s="39" t="s">
        <v>10</v>
      </c>
      <c r="AD10" s="39" t="s">
        <v>10</v>
      </c>
      <c r="AE10" s="255" t="s">
        <v>17</v>
      </c>
      <c r="AF10" s="255" t="s">
        <v>17</v>
      </c>
      <c r="AG10" s="39" t="s">
        <v>11</v>
      </c>
      <c r="AH10" s="39" t="s">
        <v>10</v>
      </c>
      <c r="AI10" s="255" t="s">
        <v>10</v>
      </c>
      <c r="AJ10" s="39" t="s">
        <v>11</v>
      </c>
      <c r="AK10" s="39" t="s">
        <v>11</v>
      </c>
      <c r="AL10" s="255" t="s">
        <v>10</v>
      </c>
      <c r="AM10" s="255" t="s">
        <v>17</v>
      </c>
      <c r="AN10" s="255" t="s">
        <v>17</v>
      </c>
      <c r="AO10" s="255" t="s">
        <v>17</v>
      </c>
      <c r="AP10" s="255" t="s">
        <v>11</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5</v>
      </c>
    </row>
    <row r="11" spans="3:71" ht="20.100000000000001" customHeight="1">
      <c r="C11" s="609">
        <v>0.75</v>
      </c>
      <c r="D11" s="610"/>
      <c r="E11" s="611" t="s">
        <v>19</v>
      </c>
      <c r="F11" s="612"/>
      <c r="G11" s="612"/>
      <c r="H11" s="612"/>
      <c r="I11" s="613"/>
      <c r="J11" s="614" t="s">
        <v>16</v>
      </c>
      <c r="K11" s="615"/>
      <c r="L11" s="616"/>
      <c r="M11" s="36" t="s">
        <v>11</v>
      </c>
      <c r="N11" s="255" t="s">
        <v>10</v>
      </c>
      <c r="O11" s="39" t="s">
        <v>11</v>
      </c>
      <c r="P11" s="39" t="s">
        <v>10</v>
      </c>
      <c r="Q11" s="255" t="s">
        <v>10</v>
      </c>
      <c r="R11" s="39" t="s">
        <v>10</v>
      </c>
      <c r="S11" s="255" t="s">
        <v>17</v>
      </c>
      <c r="T11" s="255" t="s">
        <v>11</v>
      </c>
      <c r="U11" s="255" t="s">
        <v>11</v>
      </c>
      <c r="V11" s="39" t="s">
        <v>10</v>
      </c>
      <c r="W11" s="39" t="s">
        <v>11</v>
      </c>
      <c r="X11" s="255" t="s">
        <v>17</v>
      </c>
      <c r="Y11" s="255" t="s">
        <v>11</v>
      </c>
      <c r="Z11" s="255" t="s">
        <v>11</v>
      </c>
      <c r="AA11" s="255" t="s">
        <v>10</v>
      </c>
      <c r="AB11" s="255" t="s">
        <v>17</v>
      </c>
      <c r="AC11" s="39" t="s">
        <v>11</v>
      </c>
      <c r="AD11" s="39" t="s">
        <v>11</v>
      </c>
      <c r="AE11" s="255" t="s">
        <v>10</v>
      </c>
      <c r="AF11" s="255" t="s">
        <v>11</v>
      </c>
      <c r="AG11" s="39" t="s">
        <v>17</v>
      </c>
      <c r="AH11" s="39" t="s">
        <v>17</v>
      </c>
      <c r="AI11" s="255" t="s">
        <v>11</v>
      </c>
      <c r="AJ11" s="39" t="s">
        <v>10</v>
      </c>
      <c r="AK11" s="39" t="s">
        <v>17</v>
      </c>
      <c r="AL11" s="255" t="s">
        <v>17</v>
      </c>
      <c r="AM11" s="255" t="s">
        <v>11</v>
      </c>
      <c r="AN11" s="255" t="s">
        <v>11</v>
      </c>
      <c r="AO11" s="255" t="s">
        <v>11</v>
      </c>
      <c r="AP11" s="255" t="s">
        <v>11</v>
      </c>
      <c r="AQ11" s="204" t="s">
        <v>12</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6</v>
      </c>
    </row>
    <row r="12" spans="3:71" ht="20.100000000000001" customHeight="1">
      <c r="C12" s="609">
        <v>0.5</v>
      </c>
      <c r="D12" s="610"/>
      <c r="E12" s="611" t="s">
        <v>20</v>
      </c>
      <c r="F12" s="612"/>
      <c r="G12" s="612"/>
      <c r="H12" s="612"/>
      <c r="I12" s="613"/>
      <c r="J12" s="614" t="s">
        <v>16</v>
      </c>
      <c r="K12" s="615"/>
      <c r="L12" s="616"/>
      <c r="M12" s="36" t="s">
        <v>11</v>
      </c>
      <c r="N12" s="255" t="s">
        <v>17</v>
      </c>
      <c r="O12" s="39" t="s">
        <v>17</v>
      </c>
      <c r="P12" s="39" t="s">
        <v>11</v>
      </c>
      <c r="Q12" s="255" t="s">
        <v>11</v>
      </c>
      <c r="R12" s="39" t="s">
        <v>11</v>
      </c>
      <c r="S12" s="255" t="s">
        <v>11</v>
      </c>
      <c r="T12" s="255" t="s">
        <v>11</v>
      </c>
      <c r="U12" s="255" t="s">
        <v>17</v>
      </c>
      <c r="V12" s="39" t="s">
        <v>17</v>
      </c>
      <c r="W12" s="39" t="s">
        <v>17</v>
      </c>
      <c r="X12" s="255" t="s">
        <v>11</v>
      </c>
      <c r="Y12" s="255" t="s">
        <v>11</v>
      </c>
      <c r="Z12" s="255" t="s">
        <v>11</v>
      </c>
      <c r="AA12" s="255" t="s">
        <v>11</v>
      </c>
      <c r="AB12" s="255" t="s">
        <v>11</v>
      </c>
      <c r="AC12" s="39" t="s">
        <v>17</v>
      </c>
      <c r="AD12" s="39" t="s">
        <v>17</v>
      </c>
      <c r="AE12" s="255" t="s">
        <v>11</v>
      </c>
      <c r="AF12" s="255" t="s">
        <v>11</v>
      </c>
      <c r="AG12" s="39" t="s">
        <v>11</v>
      </c>
      <c r="AH12" s="39" t="s">
        <v>11</v>
      </c>
      <c r="AI12" s="255" t="s">
        <v>11</v>
      </c>
      <c r="AJ12" s="39" t="s">
        <v>11</v>
      </c>
      <c r="AK12" s="39" t="s">
        <v>10</v>
      </c>
      <c r="AL12" s="255" t="s">
        <v>11</v>
      </c>
      <c r="AM12" s="255" t="s">
        <v>10</v>
      </c>
      <c r="AN12" s="255" t="s">
        <v>10</v>
      </c>
      <c r="AO12" s="255" t="s">
        <v>11</v>
      </c>
      <c r="AP12" s="255" t="s">
        <v>11</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12</v>
      </c>
    </row>
    <row r="13" spans="3:71" ht="20.100000000000001" customHeight="1">
      <c r="C13" s="609">
        <v>0.5</v>
      </c>
      <c r="D13" s="610"/>
      <c r="E13" s="611" t="s">
        <v>21</v>
      </c>
      <c r="F13" s="612"/>
      <c r="G13" s="612"/>
      <c r="H13" s="612"/>
      <c r="I13" s="613"/>
      <c r="J13" s="614" t="s">
        <v>16</v>
      </c>
      <c r="K13" s="615"/>
      <c r="L13" s="616"/>
      <c r="M13" s="36" t="s">
        <v>11</v>
      </c>
      <c r="N13" s="255" t="s">
        <v>11</v>
      </c>
      <c r="O13" s="39" t="s">
        <v>11</v>
      </c>
      <c r="P13" s="39" t="s">
        <v>17</v>
      </c>
      <c r="Q13" s="255" t="s">
        <v>11</v>
      </c>
      <c r="R13" s="39" t="s">
        <v>11</v>
      </c>
      <c r="S13" s="255" t="s">
        <v>10</v>
      </c>
      <c r="T13" s="255" t="s">
        <v>17</v>
      </c>
      <c r="U13" s="255" t="s">
        <v>11</v>
      </c>
      <c r="V13" s="39" t="s">
        <v>11</v>
      </c>
      <c r="W13" s="39" t="s">
        <v>10</v>
      </c>
      <c r="X13" s="255" t="s">
        <v>11</v>
      </c>
      <c r="Y13" s="255" t="s">
        <v>10</v>
      </c>
      <c r="Z13" s="255" t="s">
        <v>10</v>
      </c>
      <c r="AA13" s="255" t="s">
        <v>17</v>
      </c>
      <c r="AB13" s="255" t="s">
        <v>11</v>
      </c>
      <c r="AC13" s="39" t="s">
        <v>11</v>
      </c>
      <c r="AD13" s="39" t="s">
        <v>11</v>
      </c>
      <c r="AE13" s="255" t="s">
        <v>11</v>
      </c>
      <c r="AF13" s="255" t="s">
        <v>10</v>
      </c>
      <c r="AG13" s="39" t="s">
        <v>10</v>
      </c>
      <c r="AH13" s="39" t="s">
        <v>11</v>
      </c>
      <c r="AI13" s="255" t="s">
        <v>11</v>
      </c>
      <c r="AJ13" s="39" t="s">
        <v>11</v>
      </c>
      <c r="AK13" s="39" t="s">
        <v>11</v>
      </c>
      <c r="AL13" s="255" t="s">
        <v>11</v>
      </c>
      <c r="AM13" s="255" t="s">
        <v>11</v>
      </c>
      <c r="AN13" s="255" t="s">
        <v>11</v>
      </c>
      <c r="AO13" s="255" t="s">
        <v>10</v>
      </c>
      <c r="AP13" s="255" t="s">
        <v>11</v>
      </c>
      <c r="AQ13" s="204" t="s">
        <v>11</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0</v>
      </c>
    </row>
    <row r="14" spans="3:71" ht="20.100000000000001" customHeight="1">
      <c r="C14" s="609">
        <v>0.75</v>
      </c>
      <c r="D14" s="610"/>
      <c r="E14" s="611" t="s">
        <v>22</v>
      </c>
      <c r="F14" s="612"/>
      <c r="G14" s="612"/>
      <c r="H14" s="612"/>
      <c r="I14" s="613"/>
      <c r="J14" s="614" t="s">
        <v>131</v>
      </c>
      <c r="K14" s="615"/>
      <c r="L14" s="616"/>
      <c r="M14" s="36" t="s">
        <v>11</v>
      </c>
      <c r="N14" s="255" t="s">
        <v>11</v>
      </c>
      <c r="O14" s="39" t="s">
        <v>11</v>
      </c>
      <c r="P14" s="39" t="s">
        <v>11</v>
      </c>
      <c r="Q14" s="255" t="s">
        <v>132</v>
      </c>
      <c r="R14" s="39" t="s">
        <v>11</v>
      </c>
      <c r="S14" s="255" t="s">
        <v>132</v>
      </c>
      <c r="T14" s="255" t="s">
        <v>11</v>
      </c>
      <c r="U14" s="255" t="s">
        <v>132</v>
      </c>
      <c r="V14" s="39" t="s">
        <v>11</v>
      </c>
      <c r="W14" s="39" t="s">
        <v>11</v>
      </c>
      <c r="X14" s="255" t="s">
        <v>132</v>
      </c>
      <c r="Y14" s="255" t="s">
        <v>11</v>
      </c>
      <c r="Z14" s="255" t="s">
        <v>133</v>
      </c>
      <c r="AA14" s="255" t="s">
        <v>11</v>
      </c>
      <c r="AB14" s="255" t="s">
        <v>132</v>
      </c>
      <c r="AC14" s="39" t="s">
        <v>132</v>
      </c>
      <c r="AD14" s="39" t="s">
        <v>11</v>
      </c>
      <c r="AE14" s="255" t="s">
        <v>132</v>
      </c>
      <c r="AF14" s="255" t="s">
        <v>11</v>
      </c>
      <c r="AG14" s="39" t="s">
        <v>133</v>
      </c>
      <c r="AH14" s="39" t="s">
        <v>133</v>
      </c>
      <c r="AI14" s="255" t="s">
        <v>133</v>
      </c>
      <c r="AJ14" s="39" t="s">
        <v>11</v>
      </c>
      <c r="AK14" s="39" t="s">
        <v>11</v>
      </c>
      <c r="AL14" s="255" t="s">
        <v>132</v>
      </c>
      <c r="AM14" s="255" t="s">
        <v>133</v>
      </c>
      <c r="AN14" s="255" t="s">
        <v>11</v>
      </c>
      <c r="AO14" s="255" t="s">
        <v>11</v>
      </c>
      <c r="AP14" s="255" t="s">
        <v>133</v>
      </c>
      <c r="AQ14" s="204" t="s">
        <v>133</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3</v>
      </c>
    </row>
    <row r="15" spans="3:71" ht="20.100000000000001" customHeight="1">
      <c r="C15" s="609"/>
      <c r="D15" s="610"/>
      <c r="E15" s="611" t="s">
        <v>134</v>
      </c>
      <c r="F15" s="612"/>
      <c r="G15" s="612"/>
      <c r="H15" s="612"/>
      <c r="I15" s="613"/>
      <c r="J15" s="614"/>
      <c r="K15" s="615"/>
      <c r="L15" s="616"/>
      <c r="M15" s="36"/>
      <c r="N15" s="255"/>
      <c r="O15" s="39"/>
      <c r="P15" s="39"/>
      <c r="Q15" s="255"/>
      <c r="R15" s="39"/>
      <c r="S15" s="255"/>
      <c r="T15" s="255"/>
      <c r="U15" s="255"/>
      <c r="V15" s="39"/>
      <c r="W15" s="39"/>
      <c r="X15" s="255"/>
      <c r="Y15" s="255"/>
      <c r="Z15" s="255"/>
      <c r="AA15" s="255"/>
      <c r="AB15" s="255"/>
      <c r="AC15" s="39"/>
      <c r="AD15" s="39"/>
      <c r="AE15" s="255"/>
      <c r="AF15" s="255"/>
      <c r="AG15" s="39"/>
      <c r="AH15" s="39"/>
      <c r="AI15" s="255"/>
      <c r="AJ15" s="39"/>
      <c r="AK15" s="39"/>
      <c r="AL15" s="255"/>
      <c r="AM15" s="255"/>
      <c r="AN15" s="255"/>
      <c r="AO15" s="255"/>
      <c r="AP15" s="255" t="s">
        <v>10</v>
      </c>
      <c r="AQ15" s="204" t="s">
        <v>10</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609"/>
      <c r="D16" s="610"/>
      <c r="E16" s="611"/>
      <c r="F16" s="612"/>
      <c r="G16" s="612"/>
      <c r="H16" s="612"/>
      <c r="I16" s="613"/>
      <c r="J16" s="614"/>
      <c r="K16" s="615"/>
      <c r="L16" s="616"/>
      <c r="M16" s="36"/>
      <c r="N16" s="255"/>
      <c r="O16" s="39"/>
      <c r="P16" s="39"/>
      <c r="Q16" s="255"/>
      <c r="R16" s="39"/>
      <c r="S16" s="255"/>
      <c r="T16" s="255"/>
      <c r="U16" s="255"/>
      <c r="V16" s="39"/>
      <c r="W16" s="39"/>
      <c r="X16" s="255"/>
      <c r="Y16" s="255"/>
      <c r="Z16" s="255"/>
      <c r="AA16" s="255"/>
      <c r="AB16" s="255"/>
      <c r="AC16" s="39"/>
      <c r="AD16" s="39"/>
      <c r="AE16" s="255"/>
      <c r="AF16" s="255"/>
      <c r="AG16" s="39"/>
      <c r="AH16" s="39"/>
      <c r="AI16" s="255"/>
      <c r="AJ16" s="39"/>
      <c r="AK16" s="39"/>
      <c r="AL16" s="255"/>
      <c r="AM16" s="255"/>
      <c r="AN16" s="255"/>
      <c r="AO16" s="255"/>
      <c r="AP16" s="255"/>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0</v>
      </c>
    </row>
    <row r="17" spans="3:71" ht="20.100000000000001" customHeight="1">
      <c r="C17" s="609"/>
      <c r="D17" s="610"/>
      <c r="E17" s="611"/>
      <c r="F17" s="612"/>
      <c r="G17" s="612"/>
      <c r="H17" s="612"/>
      <c r="I17" s="613"/>
      <c r="J17" s="614"/>
      <c r="K17" s="615"/>
      <c r="L17" s="616"/>
      <c r="M17" s="36"/>
      <c r="N17" s="255"/>
      <c r="O17" s="39"/>
      <c r="P17" s="39"/>
      <c r="Q17" s="255"/>
      <c r="R17" s="39"/>
      <c r="S17" s="255"/>
      <c r="T17" s="255"/>
      <c r="U17" s="255"/>
      <c r="V17" s="39"/>
      <c r="W17" s="39"/>
      <c r="X17" s="255"/>
      <c r="Y17" s="255"/>
      <c r="Z17" s="255"/>
      <c r="AA17" s="255"/>
      <c r="AB17" s="255"/>
      <c r="AC17" s="39"/>
      <c r="AD17" s="39"/>
      <c r="AE17" s="255"/>
      <c r="AF17" s="255"/>
      <c r="AG17" s="39"/>
      <c r="AH17" s="39"/>
      <c r="AI17" s="255"/>
      <c r="AJ17" s="39"/>
      <c r="AK17" s="39"/>
      <c r="AL17" s="255"/>
      <c r="AM17" s="255"/>
      <c r="AN17" s="255"/>
      <c r="AO17" s="255"/>
      <c r="AP17" s="255"/>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601"/>
      <c r="D18" s="602"/>
      <c r="E18" s="603"/>
      <c r="F18" s="604"/>
      <c r="G18" s="604"/>
      <c r="H18" s="604"/>
      <c r="I18" s="605"/>
      <c r="J18" s="606"/>
      <c r="K18" s="607"/>
      <c r="L18" s="608"/>
      <c r="M18" s="37"/>
      <c r="N18" s="257"/>
      <c r="O18" s="40"/>
      <c r="P18" s="40"/>
      <c r="Q18" s="257"/>
      <c r="R18" s="40"/>
      <c r="S18" s="257"/>
      <c r="T18" s="257"/>
      <c r="U18" s="257"/>
      <c r="V18" s="40"/>
      <c r="W18" s="40"/>
      <c r="X18" s="257"/>
      <c r="Y18" s="257"/>
      <c r="Z18" s="257"/>
      <c r="AA18" s="257"/>
      <c r="AB18" s="257"/>
      <c r="AC18" s="40"/>
      <c r="AD18" s="40"/>
      <c r="AE18" s="257"/>
      <c r="AF18" s="257"/>
      <c r="AG18" s="40"/>
      <c r="AH18" s="40"/>
      <c r="AI18" s="257"/>
      <c r="AJ18" s="40"/>
      <c r="AK18" s="40"/>
      <c r="AL18" s="257"/>
      <c r="AM18" s="257"/>
      <c r="AN18" s="257"/>
      <c r="AO18" s="257"/>
      <c r="AP18" s="257"/>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0</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0</v>
      </c>
      <c r="BD19" s="43">
        <f t="shared" si="4"/>
        <v>27</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73" t="str">
        <f ca="1">Lists!F2</f>
        <v>Luty</v>
      </c>
      <c r="D20" s="574"/>
      <c r="E20" s="574"/>
      <c r="F20" s="574"/>
      <c r="G20" s="575"/>
    </row>
    <row r="21" spans="3:71" ht="20.100000000000001" customHeight="1" thickBot="1">
      <c r="C21" s="576"/>
      <c r="D21" s="577"/>
      <c r="E21" s="577"/>
      <c r="F21" s="577"/>
      <c r="G21" s="578"/>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436" t="str">
        <f ca="1">INDIRECT("T!"&amp;T!A1&amp;"33")</f>
        <v>Etat</v>
      </c>
      <c r="D24" s="437"/>
      <c r="E24" s="430" t="s">
        <v>6</v>
      </c>
      <c r="F24" s="431"/>
      <c r="G24" s="431"/>
      <c r="H24" s="431"/>
      <c r="I24" s="431"/>
      <c r="J24" s="424" t="str">
        <f ca="1">INDIRECT("T!"&amp;T!A1&amp;"34")</f>
        <v>Pozycja</v>
      </c>
      <c r="K24" s="424"/>
      <c r="L24" s="583"/>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79"/>
      <c r="D25" s="580"/>
      <c r="E25" s="581"/>
      <c r="F25" s="582"/>
      <c r="G25" s="582"/>
      <c r="H25" s="582"/>
      <c r="I25" s="582"/>
      <c r="J25" s="427"/>
      <c r="K25" s="427"/>
      <c r="L25" s="584"/>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585" t="s">
        <v>7</v>
      </c>
      <c r="D26" s="586"/>
      <c r="E26" s="597" t="s">
        <v>8</v>
      </c>
      <c r="F26" s="598"/>
      <c r="G26" s="598"/>
      <c r="H26" s="598"/>
      <c r="I26" s="598"/>
      <c r="J26" s="599" t="s">
        <v>9</v>
      </c>
      <c r="K26" s="599"/>
      <c r="L26" s="600"/>
      <c r="M26" s="35" t="s">
        <v>12</v>
      </c>
      <c r="N26" s="38" t="s">
        <v>12</v>
      </c>
      <c r="O26" s="256" t="s">
        <v>12</v>
      </c>
      <c r="P26" s="256" t="s">
        <v>10</v>
      </c>
      <c r="Q26" s="256" t="s">
        <v>10</v>
      </c>
      <c r="R26" s="256" t="s">
        <v>10</v>
      </c>
      <c r="S26" s="38" t="s">
        <v>135</v>
      </c>
      <c r="T26" s="38" t="s">
        <v>11</v>
      </c>
      <c r="U26" s="256" t="s">
        <v>12</v>
      </c>
      <c r="V26" s="256" t="s">
        <v>12</v>
      </c>
      <c r="W26" s="256" t="s">
        <v>12</v>
      </c>
      <c r="X26" s="38" t="s">
        <v>11</v>
      </c>
      <c r="Y26" s="256" t="s">
        <v>12</v>
      </c>
      <c r="Z26" s="38" t="s">
        <v>17</v>
      </c>
      <c r="AA26" s="38" t="s">
        <v>17</v>
      </c>
      <c r="AB26" s="256" t="s">
        <v>12</v>
      </c>
      <c r="AC26" s="38" t="s">
        <v>12</v>
      </c>
      <c r="AD26" s="256" t="s">
        <v>11</v>
      </c>
      <c r="AE26" s="256" t="s">
        <v>12</v>
      </c>
      <c r="AF26" s="256" t="s">
        <v>17</v>
      </c>
      <c r="AG26" s="38" t="s">
        <v>11</v>
      </c>
      <c r="AH26" s="38" t="s">
        <v>11</v>
      </c>
      <c r="AI26" s="256" t="s">
        <v>12</v>
      </c>
      <c r="AJ26" s="256" t="s">
        <v>12</v>
      </c>
      <c r="AK26" s="256" t="s">
        <v>11</v>
      </c>
      <c r="AL26" s="256" t="s">
        <v>11</v>
      </c>
      <c r="AM26" s="256" t="s">
        <v>12</v>
      </c>
      <c r="AN26" s="38" t="s">
        <v>11</v>
      </c>
      <c r="AO26" s="38"/>
      <c r="AP26" s="256"/>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585" t="s">
        <v>7</v>
      </c>
      <c r="D27" s="586"/>
      <c r="E27" s="587" t="s">
        <v>15</v>
      </c>
      <c r="F27" s="588"/>
      <c r="G27" s="588"/>
      <c r="H27" s="588"/>
      <c r="I27" s="588"/>
      <c r="J27" s="589" t="s">
        <v>16</v>
      </c>
      <c r="K27" s="589"/>
      <c r="L27" s="590"/>
      <c r="M27" s="36" t="s">
        <v>11</v>
      </c>
      <c r="N27" s="39" t="s">
        <v>14</v>
      </c>
      <c r="O27" s="255" t="s">
        <v>14</v>
      </c>
      <c r="P27" s="255" t="s">
        <v>14</v>
      </c>
      <c r="Q27" s="255" t="s">
        <v>14</v>
      </c>
      <c r="R27" s="255" t="s">
        <v>14</v>
      </c>
      <c r="S27" s="39" t="s">
        <v>11</v>
      </c>
      <c r="T27" s="39" t="s">
        <v>17</v>
      </c>
      <c r="U27" s="255" t="s">
        <v>136</v>
      </c>
      <c r="V27" s="255" t="s">
        <v>10</v>
      </c>
      <c r="W27" s="255" t="s">
        <v>10</v>
      </c>
      <c r="X27" s="39" t="s">
        <v>11</v>
      </c>
      <c r="Y27" s="255" t="s">
        <v>10</v>
      </c>
      <c r="Z27" s="39" t="s">
        <v>10</v>
      </c>
      <c r="AA27" s="39" t="s">
        <v>10</v>
      </c>
      <c r="AB27" s="255" t="s">
        <v>17</v>
      </c>
      <c r="AC27" s="39" t="s">
        <v>11</v>
      </c>
      <c r="AD27" s="255" t="s">
        <v>17</v>
      </c>
      <c r="AE27" s="255" t="s">
        <v>11</v>
      </c>
      <c r="AF27" s="255" t="s">
        <v>10</v>
      </c>
      <c r="AG27" s="39" t="s">
        <v>137</v>
      </c>
      <c r="AH27" s="39" t="s">
        <v>17</v>
      </c>
      <c r="AI27" s="255" t="s">
        <v>11</v>
      </c>
      <c r="AJ27" s="255" t="s">
        <v>10</v>
      </c>
      <c r="AK27" s="255" t="s">
        <v>10</v>
      </c>
      <c r="AL27" s="255" t="s">
        <v>18</v>
      </c>
      <c r="AM27" s="255" t="s">
        <v>17</v>
      </c>
      <c r="AN27" s="39" t="s">
        <v>11</v>
      </c>
      <c r="AO27" s="39"/>
      <c r="AP27" s="255"/>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585">
        <v>0.75</v>
      </c>
      <c r="D28" s="586"/>
      <c r="E28" s="587" t="s">
        <v>19</v>
      </c>
      <c r="F28" s="588"/>
      <c r="G28" s="588"/>
      <c r="H28" s="588"/>
      <c r="I28" s="588"/>
      <c r="J28" s="589" t="s">
        <v>16</v>
      </c>
      <c r="K28" s="589"/>
      <c r="L28" s="590"/>
      <c r="M28" s="36" t="s">
        <v>17</v>
      </c>
      <c r="N28" s="39" t="s">
        <v>17</v>
      </c>
      <c r="O28" s="255" t="s">
        <v>11</v>
      </c>
      <c r="P28" s="255" t="s">
        <v>11</v>
      </c>
      <c r="Q28" s="255" t="s">
        <v>12</v>
      </c>
      <c r="R28" s="255" t="s">
        <v>17</v>
      </c>
      <c r="S28" s="39" t="s">
        <v>17</v>
      </c>
      <c r="T28" s="39" t="s">
        <v>11</v>
      </c>
      <c r="U28" s="255" t="s">
        <v>17</v>
      </c>
      <c r="V28" s="255" t="s">
        <v>11</v>
      </c>
      <c r="W28" s="255" t="s">
        <v>12</v>
      </c>
      <c r="X28" s="39" t="s">
        <v>17</v>
      </c>
      <c r="Y28" s="255" t="s">
        <v>14</v>
      </c>
      <c r="Z28" s="39" t="s">
        <v>11</v>
      </c>
      <c r="AA28" s="39" t="s">
        <v>11</v>
      </c>
      <c r="AB28" s="255" t="s">
        <v>14</v>
      </c>
      <c r="AC28" s="39" t="s">
        <v>14</v>
      </c>
      <c r="AD28" s="255" t="s">
        <v>14</v>
      </c>
      <c r="AE28" s="255" t="s">
        <v>14</v>
      </c>
      <c r="AF28" s="255" t="s">
        <v>14</v>
      </c>
      <c r="AG28" s="39" t="s">
        <v>10</v>
      </c>
      <c r="AH28" s="39" t="s">
        <v>137</v>
      </c>
      <c r="AI28" s="255" t="s">
        <v>11</v>
      </c>
      <c r="AJ28" s="255" t="s">
        <v>11</v>
      </c>
      <c r="AK28" s="255" t="s">
        <v>17</v>
      </c>
      <c r="AL28" s="255" t="s">
        <v>11</v>
      </c>
      <c r="AM28" s="255" t="s">
        <v>11</v>
      </c>
      <c r="AN28" s="39" t="s">
        <v>12</v>
      </c>
      <c r="AO28" s="39"/>
      <c r="AP28" s="255"/>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585">
        <v>0.5</v>
      </c>
      <c r="D29" s="586"/>
      <c r="E29" s="587" t="s">
        <v>20</v>
      </c>
      <c r="F29" s="588"/>
      <c r="G29" s="588"/>
      <c r="H29" s="588"/>
      <c r="I29" s="588"/>
      <c r="J29" s="589" t="s">
        <v>16</v>
      </c>
      <c r="K29" s="589"/>
      <c r="L29" s="590"/>
      <c r="M29" s="36" t="s">
        <v>10</v>
      </c>
      <c r="N29" s="39" t="s">
        <v>11</v>
      </c>
      <c r="O29" s="255" t="s">
        <v>10</v>
      </c>
      <c r="P29" s="255" t="s">
        <v>11</v>
      </c>
      <c r="Q29" s="255" t="s">
        <v>11</v>
      </c>
      <c r="R29" s="255" t="s">
        <v>11</v>
      </c>
      <c r="S29" s="39" t="s">
        <v>10</v>
      </c>
      <c r="T29" s="39" t="s">
        <v>10</v>
      </c>
      <c r="U29" s="255" t="s">
        <v>11</v>
      </c>
      <c r="V29" s="255" t="s">
        <v>11</v>
      </c>
      <c r="W29" s="255" t="s">
        <v>11</v>
      </c>
      <c r="X29" s="39" t="s">
        <v>11</v>
      </c>
      <c r="Y29" s="255" t="s">
        <v>11</v>
      </c>
      <c r="Z29" s="39" t="s">
        <v>11</v>
      </c>
      <c r="AA29" s="39" t="s">
        <v>11</v>
      </c>
      <c r="AB29" s="255" t="s">
        <v>14</v>
      </c>
      <c r="AC29" s="39" t="s">
        <v>14</v>
      </c>
      <c r="AD29" s="255" t="s">
        <v>14</v>
      </c>
      <c r="AE29" s="255" t="s">
        <v>14</v>
      </c>
      <c r="AF29" s="255" t="s">
        <v>14</v>
      </c>
      <c r="AG29" s="39" t="s">
        <v>11</v>
      </c>
      <c r="AH29" s="39" t="s">
        <v>11</v>
      </c>
      <c r="AI29" s="255" t="s">
        <v>11</v>
      </c>
      <c r="AJ29" s="255" t="s">
        <v>11</v>
      </c>
      <c r="AK29" s="255" t="s">
        <v>11</v>
      </c>
      <c r="AL29" s="255" t="s">
        <v>11</v>
      </c>
      <c r="AM29" s="255" t="s">
        <v>11</v>
      </c>
      <c r="AN29" s="39" t="s">
        <v>10</v>
      </c>
      <c r="AO29" s="39"/>
      <c r="AP29" s="255"/>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585">
        <v>0.5</v>
      </c>
      <c r="D30" s="586"/>
      <c r="E30" s="587" t="s">
        <v>21</v>
      </c>
      <c r="F30" s="588"/>
      <c r="G30" s="588"/>
      <c r="H30" s="588"/>
      <c r="I30" s="588"/>
      <c r="J30" s="589" t="s">
        <v>16</v>
      </c>
      <c r="K30" s="589"/>
      <c r="L30" s="590"/>
      <c r="M30" s="36" t="s">
        <v>11</v>
      </c>
      <c r="N30" s="39" t="s">
        <v>11</v>
      </c>
      <c r="O30" s="255" t="s">
        <v>11</v>
      </c>
      <c r="P30" s="255" t="s">
        <v>135</v>
      </c>
      <c r="Q30" s="255" t="s">
        <v>11</v>
      </c>
      <c r="R30" s="255" t="s">
        <v>11</v>
      </c>
      <c r="S30" s="39" t="s">
        <v>11</v>
      </c>
      <c r="T30" s="39" t="s">
        <v>11</v>
      </c>
      <c r="U30" s="255" t="s">
        <v>11</v>
      </c>
      <c r="V30" s="255" t="s">
        <v>11</v>
      </c>
      <c r="W30" s="255" t="s">
        <v>11</v>
      </c>
      <c r="X30" s="39" t="s">
        <v>10</v>
      </c>
      <c r="Y30" s="255" t="s">
        <v>11</v>
      </c>
      <c r="Z30" s="39" t="s">
        <v>11</v>
      </c>
      <c r="AA30" s="39" t="s">
        <v>11</v>
      </c>
      <c r="AB30" s="255" t="s">
        <v>10</v>
      </c>
      <c r="AC30" s="39" t="s">
        <v>10</v>
      </c>
      <c r="AD30" s="255" t="s">
        <v>10</v>
      </c>
      <c r="AE30" s="255" t="s">
        <v>10</v>
      </c>
      <c r="AF30" s="255" t="s">
        <v>11</v>
      </c>
      <c r="AG30" s="39" t="s">
        <v>11</v>
      </c>
      <c r="AH30" s="39" t="s">
        <v>11</v>
      </c>
      <c r="AI30" s="255" t="s">
        <v>17</v>
      </c>
      <c r="AJ30" s="255" t="s">
        <v>11</v>
      </c>
      <c r="AK30" s="255" t="s">
        <v>135</v>
      </c>
      <c r="AL30" s="255" t="s">
        <v>17</v>
      </c>
      <c r="AM30" s="255" t="s">
        <v>11</v>
      </c>
      <c r="AN30" s="39" t="s">
        <v>11</v>
      </c>
      <c r="AO30" s="39"/>
      <c r="AP30" s="255"/>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585" t="s">
        <v>7</v>
      </c>
      <c r="D31" s="586"/>
      <c r="E31" s="587" t="s">
        <v>22</v>
      </c>
      <c r="F31" s="588"/>
      <c r="G31" s="588"/>
      <c r="H31" s="588"/>
      <c r="I31" s="588"/>
      <c r="J31" s="589" t="s">
        <v>16</v>
      </c>
      <c r="K31" s="589"/>
      <c r="L31" s="590"/>
      <c r="M31" s="36" t="s">
        <v>11</v>
      </c>
      <c r="N31" s="39" t="s">
        <v>10</v>
      </c>
      <c r="O31" s="255" t="s">
        <v>17</v>
      </c>
      <c r="P31" s="255" t="s">
        <v>17</v>
      </c>
      <c r="Q31" s="255" t="s">
        <v>17</v>
      </c>
      <c r="R31" s="255" t="s">
        <v>11</v>
      </c>
      <c r="S31" s="39" t="s">
        <v>11</v>
      </c>
      <c r="T31" s="39" t="s">
        <v>11</v>
      </c>
      <c r="U31" s="255" t="s">
        <v>10</v>
      </c>
      <c r="V31" s="255" t="s">
        <v>17</v>
      </c>
      <c r="W31" s="255" t="s">
        <v>17</v>
      </c>
      <c r="X31" s="39" t="s">
        <v>13</v>
      </c>
      <c r="Y31" s="255" t="s">
        <v>17</v>
      </c>
      <c r="Z31" s="39" t="s">
        <v>11</v>
      </c>
      <c r="AA31" s="39" t="s">
        <v>11</v>
      </c>
      <c r="AB31" s="255" t="s">
        <v>135</v>
      </c>
      <c r="AC31" s="39" t="s">
        <v>17</v>
      </c>
      <c r="AD31" s="255" t="s">
        <v>138</v>
      </c>
      <c r="AE31" s="255" t="s">
        <v>17</v>
      </c>
      <c r="AF31" s="255" t="s">
        <v>11</v>
      </c>
      <c r="AG31" s="39" t="s">
        <v>17</v>
      </c>
      <c r="AH31" s="39" t="s">
        <v>11</v>
      </c>
      <c r="AI31" s="255" t="s">
        <v>10</v>
      </c>
      <c r="AJ31" s="255" t="s">
        <v>17</v>
      </c>
      <c r="AK31" s="255" t="s">
        <v>11</v>
      </c>
      <c r="AL31" s="255" t="s">
        <v>10</v>
      </c>
      <c r="AM31" s="255" t="s">
        <v>10</v>
      </c>
      <c r="AN31" s="39" t="s">
        <v>17</v>
      </c>
      <c r="AO31" s="39"/>
      <c r="AP31" s="255"/>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585"/>
      <c r="D32" s="586"/>
      <c r="E32" s="587"/>
      <c r="F32" s="588"/>
      <c r="G32" s="588"/>
      <c r="H32" s="588"/>
      <c r="I32" s="588"/>
      <c r="J32" s="589"/>
      <c r="K32" s="589"/>
      <c r="L32" s="590"/>
      <c r="M32" s="36"/>
      <c r="N32" s="39"/>
      <c r="O32" s="255"/>
      <c r="P32" s="255"/>
      <c r="Q32" s="255"/>
      <c r="R32" s="255"/>
      <c r="S32" s="39"/>
      <c r="T32" s="39"/>
      <c r="U32" s="255"/>
      <c r="V32" s="255"/>
      <c r="W32" s="255"/>
      <c r="X32" s="39"/>
      <c r="Y32" s="255"/>
      <c r="Z32" s="39"/>
      <c r="AA32" s="39"/>
      <c r="AB32" s="255"/>
      <c r="AC32" s="39"/>
      <c r="AD32" s="255"/>
      <c r="AE32" s="255"/>
      <c r="AF32" s="255"/>
      <c r="AG32" s="39"/>
      <c r="AH32" s="39"/>
      <c r="AI32" s="255"/>
      <c r="AJ32" s="255"/>
      <c r="AK32" s="255"/>
      <c r="AL32" s="255"/>
      <c r="AM32" s="255"/>
      <c r="AN32" s="39"/>
      <c r="AO32" s="39"/>
      <c r="AP32" s="255"/>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585"/>
      <c r="D33" s="586"/>
      <c r="E33" s="587"/>
      <c r="F33" s="588"/>
      <c r="G33" s="588"/>
      <c r="H33" s="588"/>
      <c r="I33" s="588"/>
      <c r="J33" s="589"/>
      <c r="K33" s="589"/>
      <c r="L33" s="590"/>
      <c r="M33" s="36"/>
      <c r="N33" s="39"/>
      <c r="O33" s="255"/>
      <c r="P33" s="255"/>
      <c r="Q33" s="255"/>
      <c r="R33" s="255"/>
      <c r="S33" s="39"/>
      <c r="T33" s="39"/>
      <c r="U33" s="255"/>
      <c r="V33" s="255"/>
      <c r="W33" s="255"/>
      <c r="X33" s="39"/>
      <c r="Y33" s="255"/>
      <c r="Z33" s="39"/>
      <c r="AA33" s="39"/>
      <c r="AB33" s="255"/>
      <c r="AC33" s="39"/>
      <c r="AD33" s="255"/>
      <c r="AE33" s="255"/>
      <c r="AF33" s="255"/>
      <c r="AG33" s="39"/>
      <c r="AH33" s="39"/>
      <c r="AI33" s="255"/>
      <c r="AJ33" s="255"/>
      <c r="AK33" s="255"/>
      <c r="AL33" s="255"/>
      <c r="AM33" s="255"/>
      <c r="AN33" s="39"/>
      <c r="AO33" s="39"/>
      <c r="AP33" s="255"/>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585"/>
      <c r="D34" s="586"/>
      <c r="E34" s="587"/>
      <c r="F34" s="588"/>
      <c r="G34" s="588"/>
      <c r="H34" s="588"/>
      <c r="I34" s="588"/>
      <c r="J34" s="589"/>
      <c r="K34" s="589"/>
      <c r="L34" s="590"/>
      <c r="M34" s="36"/>
      <c r="N34" s="39"/>
      <c r="O34" s="255"/>
      <c r="P34" s="255"/>
      <c r="Q34" s="255"/>
      <c r="R34" s="255"/>
      <c r="S34" s="39"/>
      <c r="T34" s="39"/>
      <c r="U34" s="255"/>
      <c r="V34" s="255"/>
      <c r="W34" s="255"/>
      <c r="X34" s="39"/>
      <c r="Y34" s="255"/>
      <c r="Z34" s="39"/>
      <c r="AA34" s="39"/>
      <c r="AB34" s="255"/>
      <c r="AC34" s="39"/>
      <c r="AD34" s="255"/>
      <c r="AE34" s="255"/>
      <c r="AF34" s="255"/>
      <c r="AG34" s="39"/>
      <c r="AH34" s="39"/>
      <c r="AI34" s="255"/>
      <c r="AJ34" s="255"/>
      <c r="AK34" s="255"/>
      <c r="AL34" s="255"/>
      <c r="AM34" s="255"/>
      <c r="AN34" s="39"/>
      <c r="AO34" s="39"/>
      <c r="AP34" s="255"/>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591"/>
      <c r="D35" s="592"/>
      <c r="E35" s="593"/>
      <c r="F35" s="594"/>
      <c r="G35" s="594"/>
      <c r="H35" s="594"/>
      <c r="I35" s="594"/>
      <c r="J35" s="595"/>
      <c r="K35" s="595"/>
      <c r="L35" s="596"/>
      <c r="M35" s="37"/>
      <c r="N35" s="40"/>
      <c r="O35" s="257"/>
      <c r="P35" s="257"/>
      <c r="Q35" s="257"/>
      <c r="R35" s="257"/>
      <c r="S35" s="40"/>
      <c r="T35" s="40"/>
      <c r="U35" s="257"/>
      <c r="V35" s="257"/>
      <c r="W35" s="257"/>
      <c r="X35" s="40"/>
      <c r="Y35" s="257"/>
      <c r="Z35" s="40"/>
      <c r="AA35" s="40"/>
      <c r="AB35" s="257"/>
      <c r="AC35" s="40"/>
      <c r="AD35" s="257"/>
      <c r="AE35" s="257"/>
      <c r="AF35" s="257"/>
      <c r="AG35" s="40"/>
      <c r="AH35" s="40"/>
      <c r="AI35" s="257"/>
      <c r="AJ35" s="257"/>
      <c r="AK35" s="257"/>
      <c r="AL35" s="257"/>
      <c r="AM35" s="257"/>
      <c r="AN35" s="40"/>
      <c r="AO35" s="40"/>
      <c r="AP35" s="257"/>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0</v>
      </c>
      <c r="BD36" s="43">
        <f t="shared" si="11"/>
        <v>26</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73" t="str">
        <f ca="1">Lists!F3</f>
        <v>Marzec</v>
      </c>
      <c r="D37" s="574"/>
      <c r="E37" s="574"/>
      <c r="F37" s="574"/>
      <c r="G37" s="575"/>
    </row>
    <row r="38" spans="3:69" ht="20.100000000000001" customHeight="1" thickBot="1">
      <c r="C38" s="576"/>
      <c r="D38" s="577"/>
      <c r="E38" s="577"/>
      <c r="F38" s="577"/>
      <c r="G38" s="578"/>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436" t="str">
        <f ca="1">INDIRECT("T!"&amp;T!A1&amp;"33")</f>
        <v>Etat</v>
      </c>
      <c r="D41" s="437"/>
      <c r="E41" s="430" t="s">
        <v>6</v>
      </c>
      <c r="F41" s="431"/>
      <c r="G41" s="431"/>
      <c r="H41" s="431"/>
      <c r="I41" s="431"/>
      <c r="J41" s="424" t="str">
        <f ca="1">INDIRECT("T!"&amp;T!A1&amp;"34")</f>
        <v>Pozycja</v>
      </c>
      <c r="K41" s="424"/>
      <c r="L41" s="583"/>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79"/>
      <c r="D42" s="580"/>
      <c r="E42" s="581"/>
      <c r="F42" s="582"/>
      <c r="G42" s="582"/>
      <c r="H42" s="582"/>
      <c r="I42" s="582"/>
      <c r="J42" s="427"/>
      <c r="K42" s="427"/>
      <c r="L42" s="584"/>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585" t="s">
        <v>7</v>
      </c>
      <c r="D43" s="586"/>
      <c r="E43" s="597" t="s">
        <v>8</v>
      </c>
      <c r="F43" s="598"/>
      <c r="G43" s="598"/>
      <c r="H43" s="598"/>
      <c r="I43" s="598"/>
      <c r="J43" s="599" t="s">
        <v>9</v>
      </c>
      <c r="K43" s="599"/>
      <c r="L43" s="600"/>
      <c r="M43" s="35" t="s">
        <v>12</v>
      </c>
      <c r="N43" s="256" t="s">
        <v>12</v>
      </c>
      <c r="O43" s="256" t="s">
        <v>12</v>
      </c>
      <c r="P43" s="256" t="s">
        <v>12</v>
      </c>
      <c r="Q43" s="256" t="s">
        <v>12</v>
      </c>
      <c r="R43" s="256" t="s">
        <v>12</v>
      </c>
      <c r="S43" s="38" t="s">
        <v>12</v>
      </c>
      <c r="T43" s="38" t="s">
        <v>23</v>
      </c>
      <c r="U43" s="256" t="s">
        <v>12</v>
      </c>
      <c r="V43" s="38" t="s">
        <v>12</v>
      </c>
      <c r="W43" s="256" t="s">
        <v>12</v>
      </c>
      <c r="X43" s="256" t="s">
        <v>12</v>
      </c>
      <c r="Y43" s="256" t="s">
        <v>11</v>
      </c>
      <c r="Z43" s="38" t="s">
        <v>11</v>
      </c>
      <c r="AA43" s="38" t="s">
        <v>137</v>
      </c>
      <c r="AB43" s="256" t="s">
        <v>12</v>
      </c>
      <c r="AC43" s="256" t="s">
        <v>12</v>
      </c>
      <c r="AD43" s="256" t="s">
        <v>12</v>
      </c>
      <c r="AE43" s="256" t="s">
        <v>12</v>
      </c>
      <c r="AF43" s="38" t="s">
        <v>11</v>
      </c>
      <c r="AG43" s="38" t="s">
        <v>11</v>
      </c>
      <c r="AH43" s="38" t="s">
        <v>11</v>
      </c>
      <c r="AI43" s="256" t="s">
        <v>12</v>
      </c>
      <c r="AJ43" s="256" t="s">
        <v>12</v>
      </c>
      <c r="AK43" s="256" t="s">
        <v>14</v>
      </c>
      <c r="AL43" s="256" t="s">
        <v>14</v>
      </c>
      <c r="AM43" s="256" t="s">
        <v>14</v>
      </c>
      <c r="AN43" s="38" t="s">
        <v>10</v>
      </c>
      <c r="AO43" s="38" t="s">
        <v>11</v>
      </c>
      <c r="AP43" s="256" t="s">
        <v>12</v>
      </c>
      <c r="AQ43" s="180" t="s">
        <v>12</v>
      </c>
      <c r="AS43" s="43">
        <f t="shared" si="11"/>
        <v>1</v>
      </c>
      <c r="AT43" s="43">
        <f t="shared" si="11"/>
        <v>0</v>
      </c>
      <c r="AU43" s="43">
        <f t="shared" si="11"/>
        <v>1</v>
      </c>
      <c r="AV43" s="43">
        <f t="shared" si="11"/>
        <v>0</v>
      </c>
      <c r="AW43" s="43">
        <f t="shared" si="11"/>
        <v>1</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3</v>
      </c>
      <c r="BK43" s="43">
        <f t="shared" si="15"/>
        <v>0</v>
      </c>
      <c r="BL43" s="43">
        <f t="shared" si="15"/>
        <v>0</v>
      </c>
      <c r="BM43" s="43">
        <f t="shared" si="15"/>
        <v>0</v>
      </c>
      <c r="BN43" s="43">
        <f t="shared" si="15"/>
        <v>6</v>
      </c>
      <c r="BO43" s="43">
        <f t="shared" si="15"/>
        <v>3</v>
      </c>
      <c r="BP43" s="43">
        <f t="shared" si="15"/>
        <v>0</v>
      </c>
      <c r="BQ43" s="43">
        <f t="shared" si="15"/>
        <v>0</v>
      </c>
    </row>
    <row r="44" spans="3:69" ht="20.100000000000001" customHeight="1">
      <c r="C44" s="585" t="s">
        <v>7</v>
      </c>
      <c r="D44" s="586"/>
      <c r="E44" s="587" t="s">
        <v>15</v>
      </c>
      <c r="F44" s="588"/>
      <c r="G44" s="588"/>
      <c r="H44" s="588"/>
      <c r="I44" s="588"/>
      <c r="J44" s="589" t="s">
        <v>16</v>
      </c>
      <c r="K44" s="589"/>
      <c r="L44" s="590"/>
      <c r="M44" s="36" t="s">
        <v>11</v>
      </c>
      <c r="N44" s="255" t="s">
        <v>10</v>
      </c>
      <c r="O44" s="255" t="s">
        <v>17</v>
      </c>
      <c r="P44" s="255" t="s">
        <v>23</v>
      </c>
      <c r="Q44" s="255" t="s">
        <v>18</v>
      </c>
      <c r="R44" s="255" t="s">
        <v>18</v>
      </c>
      <c r="S44" s="39" t="s">
        <v>11</v>
      </c>
      <c r="T44" s="39" t="s">
        <v>18</v>
      </c>
      <c r="U44" s="255" t="s">
        <v>12</v>
      </c>
      <c r="V44" s="39" t="s">
        <v>17</v>
      </c>
      <c r="W44" s="255" t="s">
        <v>11</v>
      </c>
      <c r="X44" s="255" t="s">
        <v>23</v>
      </c>
      <c r="Y44" s="255" t="s">
        <v>10</v>
      </c>
      <c r="Z44" s="39" t="s">
        <v>11</v>
      </c>
      <c r="AA44" s="39" t="s">
        <v>11</v>
      </c>
      <c r="AB44" s="255" t="s">
        <v>17</v>
      </c>
      <c r="AC44" s="255" t="s">
        <v>139</v>
      </c>
      <c r="AD44" s="255" t="s">
        <v>18</v>
      </c>
      <c r="AE44" s="255" t="s">
        <v>11</v>
      </c>
      <c r="AF44" s="39" t="s">
        <v>17</v>
      </c>
      <c r="AG44" s="39" t="s">
        <v>18</v>
      </c>
      <c r="AH44" s="39" t="s">
        <v>17</v>
      </c>
      <c r="AI44" s="255" t="s">
        <v>17</v>
      </c>
      <c r="AJ44" s="255" t="s">
        <v>11</v>
      </c>
      <c r="AK44" s="255" t="s">
        <v>12</v>
      </c>
      <c r="AL44" s="255" t="s">
        <v>10</v>
      </c>
      <c r="AM44" s="255" t="s">
        <v>10</v>
      </c>
      <c r="AN44" s="39" t="s">
        <v>11</v>
      </c>
      <c r="AO44" s="39" t="s">
        <v>11</v>
      </c>
      <c r="AP44" s="255" t="s">
        <v>10</v>
      </c>
      <c r="AQ44" s="181" t="s">
        <v>12</v>
      </c>
      <c r="AS44" s="43">
        <f t="shared" si="11"/>
        <v>5</v>
      </c>
      <c r="AT44" s="43">
        <f t="shared" si="11"/>
        <v>6</v>
      </c>
      <c r="AU44" s="43">
        <f t="shared" si="11"/>
        <v>0</v>
      </c>
      <c r="AV44" s="43">
        <f t="shared" si="11"/>
        <v>0</v>
      </c>
      <c r="AW44" s="43">
        <f t="shared" si="11"/>
        <v>2</v>
      </c>
      <c r="AX44" s="43">
        <f t="shared" si="11"/>
        <v>5</v>
      </c>
      <c r="AY44" s="43">
        <f t="shared" si="11"/>
        <v>1</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9</v>
      </c>
      <c r="BO44" s="43">
        <f t="shared" si="15"/>
        <v>0</v>
      </c>
      <c r="BP44" s="43">
        <f t="shared" si="15"/>
        <v>0</v>
      </c>
      <c r="BQ44" s="43">
        <f t="shared" si="15"/>
        <v>0</v>
      </c>
    </row>
    <row r="45" spans="3:69" ht="20.100000000000001" customHeight="1">
      <c r="C45" s="585">
        <v>0.75</v>
      </c>
      <c r="D45" s="586"/>
      <c r="E45" s="587" t="s">
        <v>19</v>
      </c>
      <c r="F45" s="588"/>
      <c r="G45" s="588"/>
      <c r="H45" s="588"/>
      <c r="I45" s="588"/>
      <c r="J45" s="589" t="s">
        <v>16</v>
      </c>
      <c r="K45" s="589"/>
      <c r="L45" s="590"/>
      <c r="M45" s="36" t="s">
        <v>12</v>
      </c>
      <c r="N45" s="255" t="s">
        <v>17</v>
      </c>
      <c r="O45" s="255" t="s">
        <v>11</v>
      </c>
      <c r="P45" s="255" t="s">
        <v>108</v>
      </c>
      <c r="Q45" s="255" t="s">
        <v>108</v>
      </c>
      <c r="R45" s="255" t="s">
        <v>108</v>
      </c>
      <c r="S45" s="39" t="s">
        <v>11</v>
      </c>
      <c r="T45" s="39" t="s">
        <v>11</v>
      </c>
      <c r="U45" s="255" t="s">
        <v>12</v>
      </c>
      <c r="V45" s="39" t="s">
        <v>10</v>
      </c>
      <c r="W45" s="255" t="s">
        <v>18</v>
      </c>
      <c r="X45" s="255" t="s">
        <v>17</v>
      </c>
      <c r="Y45" s="255" t="s">
        <v>11</v>
      </c>
      <c r="Z45" s="39" t="s">
        <v>11</v>
      </c>
      <c r="AA45" s="39" t="s">
        <v>23</v>
      </c>
      <c r="AB45" s="255" t="s">
        <v>11</v>
      </c>
      <c r="AC45" s="255" t="s">
        <v>11</v>
      </c>
      <c r="AD45" s="255" t="s">
        <v>17</v>
      </c>
      <c r="AE45" s="255" t="s">
        <v>17</v>
      </c>
      <c r="AF45" s="39" t="s">
        <v>11</v>
      </c>
      <c r="AG45" s="39" t="s">
        <v>11</v>
      </c>
      <c r="AH45" s="39" t="s">
        <v>11</v>
      </c>
      <c r="AI45" s="255" t="s">
        <v>23</v>
      </c>
      <c r="AJ45" s="255" t="s">
        <v>11</v>
      </c>
      <c r="AK45" s="255" t="s">
        <v>11</v>
      </c>
      <c r="AL45" s="255" t="s">
        <v>17</v>
      </c>
      <c r="AM45" s="255" t="s">
        <v>11</v>
      </c>
      <c r="AN45" s="39" t="s">
        <v>23</v>
      </c>
      <c r="AO45" s="39" t="s">
        <v>10</v>
      </c>
      <c r="AP45" s="255" t="s">
        <v>11</v>
      </c>
      <c r="AQ45" s="181" t="s">
        <v>12</v>
      </c>
      <c r="AS45" s="43">
        <f t="shared" si="11"/>
        <v>2</v>
      </c>
      <c r="AT45" s="43">
        <f t="shared" si="11"/>
        <v>5</v>
      </c>
      <c r="AU45" s="43">
        <f t="shared" si="11"/>
        <v>0</v>
      </c>
      <c r="AV45" s="43">
        <f t="shared" si="11"/>
        <v>0</v>
      </c>
      <c r="AW45" s="43">
        <f t="shared" si="11"/>
        <v>3</v>
      </c>
      <c r="AX45" s="43">
        <f t="shared" si="11"/>
        <v>1</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14</v>
      </c>
      <c r="BO45" s="43">
        <f t="shared" si="15"/>
        <v>0</v>
      </c>
      <c r="BP45" s="43">
        <f t="shared" si="15"/>
        <v>3</v>
      </c>
      <c r="BQ45" s="43">
        <f t="shared" si="15"/>
        <v>0</v>
      </c>
    </row>
    <row r="46" spans="3:69" ht="20.100000000000001" customHeight="1">
      <c r="C46" s="585">
        <v>0.5</v>
      </c>
      <c r="D46" s="586"/>
      <c r="E46" s="587" t="s">
        <v>20</v>
      </c>
      <c r="F46" s="588"/>
      <c r="G46" s="588"/>
      <c r="H46" s="588"/>
      <c r="I46" s="588"/>
      <c r="J46" s="589" t="s">
        <v>16</v>
      </c>
      <c r="K46" s="589"/>
      <c r="L46" s="590"/>
      <c r="M46" s="36" t="s">
        <v>12</v>
      </c>
      <c r="N46" s="255" t="s">
        <v>11</v>
      </c>
      <c r="O46" s="255" t="s">
        <v>18</v>
      </c>
      <c r="P46" s="255" t="s">
        <v>14</v>
      </c>
      <c r="Q46" s="255" t="s">
        <v>14</v>
      </c>
      <c r="R46" s="255" t="s">
        <v>14</v>
      </c>
      <c r="S46" s="39" t="s">
        <v>11</v>
      </c>
      <c r="T46" s="39" t="s">
        <v>11</v>
      </c>
      <c r="U46" s="255" t="s">
        <v>14</v>
      </c>
      <c r="V46" s="39" t="s">
        <v>18</v>
      </c>
      <c r="W46" s="255" t="s">
        <v>11</v>
      </c>
      <c r="X46" s="255" t="s">
        <v>11</v>
      </c>
      <c r="Y46" s="255" t="s">
        <v>11</v>
      </c>
      <c r="Z46" s="39" t="s">
        <v>10</v>
      </c>
      <c r="AA46" s="39" t="s">
        <v>23</v>
      </c>
      <c r="AB46" s="255" t="s">
        <v>11</v>
      </c>
      <c r="AC46" s="255" t="s">
        <v>17</v>
      </c>
      <c r="AD46" s="255" t="s">
        <v>11</v>
      </c>
      <c r="AE46" s="255" t="s">
        <v>11</v>
      </c>
      <c r="AF46" s="39" t="s">
        <v>11</v>
      </c>
      <c r="AG46" s="39" t="s">
        <v>10</v>
      </c>
      <c r="AH46" s="39" t="s">
        <v>10</v>
      </c>
      <c r="AI46" s="255" t="s">
        <v>11</v>
      </c>
      <c r="AJ46" s="255" t="s">
        <v>17</v>
      </c>
      <c r="AK46" s="255" t="s">
        <v>14</v>
      </c>
      <c r="AL46" s="255" t="s">
        <v>11</v>
      </c>
      <c r="AM46" s="255" t="s">
        <v>11</v>
      </c>
      <c r="AN46" s="39" t="s">
        <v>17</v>
      </c>
      <c r="AO46" s="39" t="s">
        <v>17</v>
      </c>
      <c r="AP46" s="255" t="s">
        <v>11</v>
      </c>
      <c r="AQ46" s="181" t="s">
        <v>11</v>
      </c>
      <c r="AS46" s="43">
        <f t="shared" si="11"/>
        <v>3</v>
      </c>
      <c r="AT46" s="43">
        <f t="shared" si="11"/>
        <v>4</v>
      </c>
      <c r="AU46" s="43">
        <f t="shared" si="11"/>
        <v>0</v>
      </c>
      <c r="AV46" s="43">
        <f t="shared" si="11"/>
        <v>0</v>
      </c>
      <c r="AW46" s="43">
        <f t="shared" si="11"/>
        <v>1</v>
      </c>
      <c r="AX46" s="43">
        <f t="shared" si="11"/>
        <v>2</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5</v>
      </c>
      <c r="BK46" s="43">
        <f t="shared" si="15"/>
        <v>0</v>
      </c>
      <c r="BL46" s="43">
        <f t="shared" si="15"/>
        <v>0</v>
      </c>
      <c r="BM46" s="43">
        <f t="shared" si="15"/>
        <v>0</v>
      </c>
      <c r="BN46" s="43">
        <f t="shared" si="15"/>
        <v>15</v>
      </c>
      <c r="BO46" s="43">
        <f t="shared" si="15"/>
        <v>5</v>
      </c>
      <c r="BP46" s="43">
        <f t="shared" si="15"/>
        <v>0</v>
      </c>
      <c r="BQ46" s="43">
        <f t="shared" si="15"/>
        <v>0</v>
      </c>
    </row>
    <row r="47" spans="3:69" ht="20.100000000000001" customHeight="1">
      <c r="C47" s="585">
        <v>0.5</v>
      </c>
      <c r="D47" s="586"/>
      <c r="E47" s="587" t="s">
        <v>21</v>
      </c>
      <c r="F47" s="588"/>
      <c r="G47" s="588"/>
      <c r="H47" s="588"/>
      <c r="I47" s="588"/>
      <c r="J47" s="589" t="s">
        <v>16</v>
      </c>
      <c r="K47" s="589"/>
      <c r="L47" s="590"/>
      <c r="M47" s="36" t="s">
        <v>12</v>
      </c>
      <c r="N47" s="255" t="s">
        <v>10</v>
      </c>
      <c r="O47" s="255" t="s">
        <v>17</v>
      </c>
      <c r="P47" s="255" t="s">
        <v>11</v>
      </c>
      <c r="Q47" s="255" t="s">
        <v>11</v>
      </c>
      <c r="R47" s="255" t="s">
        <v>11</v>
      </c>
      <c r="S47" s="39" t="s">
        <v>11</v>
      </c>
      <c r="T47" s="39" t="s">
        <v>11</v>
      </c>
      <c r="U47" s="255" t="s">
        <v>12</v>
      </c>
      <c r="V47" s="39" t="s">
        <v>11</v>
      </c>
      <c r="W47" s="255" t="s">
        <v>17</v>
      </c>
      <c r="X47" s="255" t="s">
        <v>11</v>
      </c>
      <c r="Y47" s="255" t="s">
        <v>11</v>
      </c>
      <c r="Z47" s="39" t="s">
        <v>11</v>
      </c>
      <c r="AA47" s="39" t="s">
        <v>11</v>
      </c>
      <c r="AB47" s="255" t="s">
        <v>10</v>
      </c>
      <c r="AC47" s="255" t="s">
        <v>10</v>
      </c>
      <c r="AD47" s="255" t="s">
        <v>11</v>
      </c>
      <c r="AE47" s="255" t="s">
        <v>11</v>
      </c>
      <c r="AF47" s="39" t="s">
        <v>11</v>
      </c>
      <c r="AG47" s="39" t="s">
        <v>11</v>
      </c>
      <c r="AH47" s="39" t="s">
        <v>11</v>
      </c>
      <c r="AI47" s="255" t="s">
        <v>10</v>
      </c>
      <c r="AJ47" s="255" t="s">
        <v>11</v>
      </c>
      <c r="AK47" s="255" t="s">
        <v>17</v>
      </c>
      <c r="AL47" s="255" t="s">
        <v>11</v>
      </c>
      <c r="AM47" s="255" t="s">
        <v>11</v>
      </c>
      <c r="AN47" s="39" t="s">
        <v>11</v>
      </c>
      <c r="AO47" s="39" t="s">
        <v>11</v>
      </c>
      <c r="AP47" s="255" t="s">
        <v>135</v>
      </c>
      <c r="AQ47" s="181" t="s">
        <v>10</v>
      </c>
      <c r="AS47" s="43">
        <f t="shared" si="11"/>
        <v>5</v>
      </c>
      <c r="AT47" s="43">
        <f t="shared" si="11"/>
        <v>3</v>
      </c>
      <c r="AU47" s="43">
        <f t="shared" si="11"/>
        <v>0</v>
      </c>
      <c r="AV47" s="43">
        <f t="shared" si="11"/>
        <v>0</v>
      </c>
      <c r="AW47" s="43">
        <f t="shared" si="11"/>
        <v>0</v>
      </c>
      <c r="AX47" s="43">
        <f t="shared" si="11"/>
        <v>0</v>
      </c>
      <c r="AY47" s="43">
        <f t="shared" si="11"/>
        <v>0</v>
      </c>
      <c r="AZ47" s="43">
        <f t="shared" si="11"/>
        <v>0</v>
      </c>
      <c r="BA47" s="43">
        <f t="shared" si="11"/>
        <v>1</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20</v>
      </c>
      <c r="BO47" s="43">
        <f t="shared" si="15"/>
        <v>0</v>
      </c>
      <c r="BP47" s="43">
        <f t="shared" si="15"/>
        <v>0</v>
      </c>
      <c r="BQ47" s="43">
        <f t="shared" si="15"/>
        <v>0</v>
      </c>
    </row>
    <row r="48" spans="3:69" ht="20.100000000000001" customHeight="1">
      <c r="C48" s="585" t="s">
        <v>7</v>
      </c>
      <c r="D48" s="586"/>
      <c r="E48" s="587" t="s">
        <v>22</v>
      </c>
      <c r="F48" s="588"/>
      <c r="G48" s="588"/>
      <c r="H48" s="588"/>
      <c r="I48" s="588"/>
      <c r="J48" s="589" t="s">
        <v>16</v>
      </c>
      <c r="K48" s="589"/>
      <c r="L48" s="590"/>
      <c r="M48" s="36" t="s">
        <v>12</v>
      </c>
      <c r="N48" s="255" t="s">
        <v>11</v>
      </c>
      <c r="O48" s="255" t="s">
        <v>10</v>
      </c>
      <c r="P48" s="255" t="s">
        <v>18</v>
      </c>
      <c r="Q48" s="255" t="s">
        <v>18</v>
      </c>
      <c r="R48" s="255" t="s">
        <v>18</v>
      </c>
      <c r="S48" s="39" t="s">
        <v>18</v>
      </c>
      <c r="T48" s="39" t="s">
        <v>11</v>
      </c>
      <c r="U48" s="255" t="s">
        <v>12</v>
      </c>
      <c r="V48" s="39" t="s">
        <v>11</v>
      </c>
      <c r="W48" s="255" t="s">
        <v>10</v>
      </c>
      <c r="X48" s="255" t="s">
        <v>10</v>
      </c>
      <c r="Y48" s="255" t="s">
        <v>17</v>
      </c>
      <c r="Z48" s="39" t="s">
        <v>17</v>
      </c>
      <c r="AA48" s="39" t="s">
        <v>17</v>
      </c>
      <c r="AB48" s="255" t="s">
        <v>11</v>
      </c>
      <c r="AC48" s="255" t="s">
        <v>11</v>
      </c>
      <c r="AD48" s="255" t="s">
        <v>10</v>
      </c>
      <c r="AE48" s="255" t="s">
        <v>10</v>
      </c>
      <c r="AF48" s="39" t="s">
        <v>10</v>
      </c>
      <c r="AG48" s="39" t="s">
        <v>17</v>
      </c>
      <c r="AH48" s="39" t="s">
        <v>11</v>
      </c>
      <c r="AI48" s="255" t="s">
        <v>11</v>
      </c>
      <c r="AJ48" s="255" t="s">
        <v>10</v>
      </c>
      <c r="AK48" s="255" t="s">
        <v>10</v>
      </c>
      <c r="AL48" s="255" t="s">
        <v>11</v>
      </c>
      <c r="AM48" s="255" t="s">
        <v>17</v>
      </c>
      <c r="AN48" s="39" t="s">
        <v>11</v>
      </c>
      <c r="AO48" s="39" t="s">
        <v>11</v>
      </c>
      <c r="AP48" s="255" t="s">
        <v>17</v>
      </c>
      <c r="AQ48" s="181" t="s">
        <v>17</v>
      </c>
      <c r="AS48" s="43">
        <f t="shared" si="11"/>
        <v>8</v>
      </c>
      <c r="AT48" s="43">
        <f t="shared" si="11"/>
        <v>7</v>
      </c>
      <c r="AU48" s="43">
        <f t="shared" si="11"/>
        <v>0</v>
      </c>
      <c r="AV48" s="43">
        <f t="shared" si="11"/>
        <v>0</v>
      </c>
      <c r="AW48" s="43">
        <f t="shared" si="11"/>
        <v>0</v>
      </c>
      <c r="AX48" s="43">
        <f t="shared" si="11"/>
        <v>4</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10</v>
      </c>
      <c r="BO48" s="43">
        <f t="shared" si="15"/>
        <v>0</v>
      </c>
      <c r="BP48" s="43">
        <f t="shared" si="15"/>
        <v>0</v>
      </c>
      <c r="BQ48" s="43">
        <f t="shared" si="15"/>
        <v>0</v>
      </c>
    </row>
    <row r="49" spans="3:69" ht="20.100000000000001" customHeight="1">
      <c r="C49" s="585"/>
      <c r="D49" s="586"/>
      <c r="E49" s="587"/>
      <c r="F49" s="588"/>
      <c r="G49" s="588"/>
      <c r="H49" s="588"/>
      <c r="I49" s="588"/>
      <c r="J49" s="589"/>
      <c r="K49" s="589"/>
      <c r="L49" s="590"/>
      <c r="M49" s="36"/>
      <c r="N49" s="255"/>
      <c r="O49" s="255"/>
      <c r="P49" s="255"/>
      <c r="Q49" s="255"/>
      <c r="R49" s="255"/>
      <c r="S49" s="39"/>
      <c r="T49" s="39"/>
      <c r="U49" s="255"/>
      <c r="V49" s="39"/>
      <c r="W49" s="255"/>
      <c r="X49" s="255"/>
      <c r="Y49" s="255"/>
      <c r="Z49" s="39"/>
      <c r="AA49" s="39"/>
      <c r="AB49" s="255"/>
      <c r="AC49" s="255"/>
      <c r="AD49" s="255"/>
      <c r="AE49" s="255"/>
      <c r="AF49" s="39"/>
      <c r="AG49" s="39"/>
      <c r="AH49" s="39"/>
      <c r="AI49" s="255"/>
      <c r="AJ49" s="255"/>
      <c r="AK49" s="255"/>
      <c r="AL49" s="255"/>
      <c r="AM49" s="255"/>
      <c r="AN49" s="39"/>
      <c r="AO49" s="39"/>
      <c r="AP49" s="255"/>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585"/>
      <c r="D50" s="586"/>
      <c r="E50" s="587"/>
      <c r="F50" s="588"/>
      <c r="G50" s="588"/>
      <c r="H50" s="588"/>
      <c r="I50" s="588"/>
      <c r="J50" s="589"/>
      <c r="K50" s="589"/>
      <c r="L50" s="590"/>
      <c r="M50" s="36"/>
      <c r="N50" s="255"/>
      <c r="O50" s="255"/>
      <c r="P50" s="255"/>
      <c r="Q50" s="255"/>
      <c r="R50" s="255"/>
      <c r="S50" s="39"/>
      <c r="T50" s="39"/>
      <c r="U50" s="255"/>
      <c r="V50" s="39"/>
      <c r="W50" s="255"/>
      <c r="X50" s="255"/>
      <c r="Y50" s="255"/>
      <c r="Z50" s="39"/>
      <c r="AA50" s="39"/>
      <c r="AB50" s="255"/>
      <c r="AC50" s="255"/>
      <c r="AD50" s="255"/>
      <c r="AE50" s="255"/>
      <c r="AF50" s="39"/>
      <c r="AG50" s="39"/>
      <c r="AH50" s="39"/>
      <c r="AI50" s="255"/>
      <c r="AJ50" s="255"/>
      <c r="AK50" s="255"/>
      <c r="AL50" s="255"/>
      <c r="AM50" s="255"/>
      <c r="AN50" s="39"/>
      <c r="AO50" s="39"/>
      <c r="AP50" s="255"/>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585"/>
      <c r="D51" s="586"/>
      <c r="E51" s="587"/>
      <c r="F51" s="588"/>
      <c r="G51" s="588"/>
      <c r="H51" s="588"/>
      <c r="I51" s="588"/>
      <c r="J51" s="589"/>
      <c r="K51" s="589"/>
      <c r="L51" s="590"/>
      <c r="M51" s="36"/>
      <c r="N51" s="255"/>
      <c r="O51" s="255"/>
      <c r="P51" s="255"/>
      <c r="Q51" s="255"/>
      <c r="R51" s="255"/>
      <c r="S51" s="39"/>
      <c r="T51" s="39"/>
      <c r="U51" s="255"/>
      <c r="V51" s="39"/>
      <c r="W51" s="255"/>
      <c r="X51" s="255"/>
      <c r="Y51" s="255"/>
      <c r="Z51" s="39"/>
      <c r="AA51" s="39"/>
      <c r="AB51" s="255"/>
      <c r="AC51" s="255"/>
      <c r="AD51" s="255"/>
      <c r="AE51" s="255"/>
      <c r="AF51" s="39"/>
      <c r="AG51" s="39"/>
      <c r="AH51" s="39"/>
      <c r="AI51" s="255"/>
      <c r="AJ51" s="255"/>
      <c r="AK51" s="255"/>
      <c r="AL51" s="255"/>
      <c r="AM51" s="255"/>
      <c r="AN51" s="39"/>
      <c r="AO51" s="39"/>
      <c r="AP51" s="255"/>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591"/>
      <c r="D52" s="592"/>
      <c r="E52" s="593"/>
      <c r="F52" s="594"/>
      <c r="G52" s="594"/>
      <c r="H52" s="594"/>
      <c r="I52" s="594"/>
      <c r="J52" s="595"/>
      <c r="K52" s="595"/>
      <c r="L52" s="596"/>
      <c r="M52" s="37"/>
      <c r="N52" s="257"/>
      <c r="O52" s="257"/>
      <c r="P52" s="257"/>
      <c r="Q52" s="257"/>
      <c r="R52" s="257"/>
      <c r="S52" s="40"/>
      <c r="T52" s="40"/>
      <c r="U52" s="257"/>
      <c r="V52" s="40"/>
      <c r="W52" s="257"/>
      <c r="X52" s="257"/>
      <c r="Y52" s="257"/>
      <c r="Z52" s="40"/>
      <c r="AA52" s="40"/>
      <c r="AB52" s="257"/>
      <c r="AC52" s="257"/>
      <c r="AD52" s="257"/>
      <c r="AE52" s="257"/>
      <c r="AF52" s="40"/>
      <c r="AG52" s="40"/>
      <c r="AH52" s="40"/>
      <c r="AI52" s="257"/>
      <c r="AJ52" s="257"/>
      <c r="AK52" s="257"/>
      <c r="AL52" s="257"/>
      <c r="AM52" s="257"/>
      <c r="AN52" s="40"/>
      <c r="AO52" s="40"/>
      <c r="AP52" s="257"/>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0</v>
      </c>
      <c r="BD53" s="43">
        <f t="shared" si="17"/>
        <v>26</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73" t="str">
        <f ca="1">Lists!F4</f>
        <v>Kwiecień</v>
      </c>
      <c r="D54" s="574"/>
      <c r="E54" s="574"/>
      <c r="F54" s="574"/>
      <c r="G54" s="575"/>
    </row>
    <row r="55" spans="3:69" ht="20.100000000000001" customHeight="1" thickBot="1">
      <c r="C55" s="576"/>
      <c r="D55" s="577"/>
      <c r="E55" s="577"/>
      <c r="F55" s="577"/>
      <c r="G55" s="578"/>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436" t="str">
        <f ca="1">INDIRECT("T!"&amp;T!A1&amp;"33")</f>
        <v>Etat</v>
      </c>
      <c r="D58" s="437"/>
      <c r="E58" s="430" t="s">
        <v>6</v>
      </c>
      <c r="F58" s="431"/>
      <c r="G58" s="431"/>
      <c r="H58" s="431"/>
      <c r="I58" s="431"/>
      <c r="J58" s="424" t="str">
        <f ca="1">INDIRECT("T!"&amp;T!A1&amp;"34")</f>
        <v>Pozycja</v>
      </c>
      <c r="K58" s="424"/>
      <c r="L58" s="583"/>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79"/>
      <c r="D59" s="580"/>
      <c r="E59" s="581"/>
      <c r="F59" s="582"/>
      <c r="G59" s="582"/>
      <c r="H59" s="582"/>
      <c r="I59" s="582"/>
      <c r="J59" s="427"/>
      <c r="K59" s="427"/>
      <c r="L59" s="584"/>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585" t="s">
        <v>7</v>
      </c>
      <c r="D60" s="586"/>
      <c r="E60" s="597" t="s">
        <v>8</v>
      </c>
      <c r="F60" s="598"/>
      <c r="G60" s="598"/>
      <c r="H60" s="598"/>
      <c r="I60" s="598"/>
      <c r="J60" s="599" t="s">
        <v>9</v>
      </c>
      <c r="K60" s="599"/>
      <c r="L60" s="600"/>
      <c r="M60" s="35" t="s">
        <v>12</v>
      </c>
      <c r="N60" s="256" t="s">
        <v>10</v>
      </c>
      <c r="O60" s="256" t="s">
        <v>17</v>
      </c>
      <c r="P60" s="38" t="s">
        <v>11</v>
      </c>
      <c r="Q60" s="38" t="s">
        <v>11</v>
      </c>
      <c r="R60" s="38" t="s">
        <v>12</v>
      </c>
      <c r="S60" s="256" t="s">
        <v>12</v>
      </c>
      <c r="T60" s="256" t="s">
        <v>12</v>
      </c>
      <c r="U60" s="256" t="s">
        <v>10</v>
      </c>
      <c r="V60" s="256" t="s">
        <v>12</v>
      </c>
      <c r="W60" s="38" t="s">
        <v>11</v>
      </c>
      <c r="X60" s="38" t="s">
        <v>11</v>
      </c>
      <c r="Y60" s="256" t="s">
        <v>12</v>
      </c>
      <c r="Z60" s="256" t="s">
        <v>12</v>
      </c>
      <c r="AA60" s="256" t="s">
        <v>12</v>
      </c>
      <c r="AB60" s="256" t="s">
        <v>14</v>
      </c>
      <c r="AC60" s="256" t="s">
        <v>136</v>
      </c>
      <c r="AD60" s="38" t="s">
        <v>11</v>
      </c>
      <c r="AE60" s="38" t="s">
        <v>11</v>
      </c>
      <c r="AF60" s="256" t="s">
        <v>12</v>
      </c>
      <c r="AG60" s="256" t="s">
        <v>12</v>
      </c>
      <c r="AH60" s="38" t="s">
        <v>17</v>
      </c>
      <c r="AI60" s="256" t="s">
        <v>12</v>
      </c>
      <c r="AJ60" s="256" t="s">
        <v>11</v>
      </c>
      <c r="AK60" s="38" t="s">
        <v>11</v>
      </c>
      <c r="AL60" s="38" t="s">
        <v>12</v>
      </c>
      <c r="AM60" s="256" t="s">
        <v>12</v>
      </c>
      <c r="AN60" s="256" t="s">
        <v>12</v>
      </c>
      <c r="AO60" s="256" t="s">
        <v>11</v>
      </c>
      <c r="AP60" s="256" t="s">
        <v>12</v>
      </c>
      <c r="AQ60" s="203"/>
      <c r="AS60" s="43">
        <f t="shared" si="17"/>
        <v>2</v>
      </c>
      <c r="AT60" s="43">
        <f t="shared" si="17"/>
        <v>2</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1</v>
      </c>
      <c r="BK60" s="43">
        <f t="shared" si="16"/>
        <v>0</v>
      </c>
      <c r="BL60" s="43">
        <f t="shared" si="16"/>
        <v>0</v>
      </c>
      <c r="BM60" s="43">
        <f t="shared" si="16"/>
        <v>0</v>
      </c>
      <c r="BN60" s="43">
        <f t="shared" si="16"/>
        <v>9</v>
      </c>
      <c r="BO60" s="43">
        <f t="shared" si="16"/>
        <v>1</v>
      </c>
      <c r="BP60" s="43">
        <f t="shared" si="16"/>
        <v>0</v>
      </c>
      <c r="BQ60" s="43">
        <f t="shared" si="16"/>
        <v>0</v>
      </c>
    </row>
    <row r="61" spans="3:69" ht="20.100000000000001" customHeight="1">
      <c r="C61" s="585" t="s">
        <v>7</v>
      </c>
      <c r="D61" s="586"/>
      <c r="E61" s="587" t="s">
        <v>15</v>
      </c>
      <c r="F61" s="588"/>
      <c r="G61" s="588"/>
      <c r="H61" s="588"/>
      <c r="I61" s="588"/>
      <c r="J61" s="589" t="s">
        <v>16</v>
      </c>
      <c r="K61" s="589"/>
      <c r="L61" s="590"/>
      <c r="M61" s="36" t="s">
        <v>17</v>
      </c>
      <c r="N61" s="255" t="s">
        <v>11</v>
      </c>
      <c r="O61" s="255" t="s">
        <v>10</v>
      </c>
      <c r="P61" s="39" t="s">
        <v>11</v>
      </c>
      <c r="Q61" s="39" t="s">
        <v>11</v>
      </c>
      <c r="R61" s="39" t="s">
        <v>11</v>
      </c>
      <c r="S61" s="255" t="s">
        <v>17</v>
      </c>
      <c r="T61" s="255" t="s">
        <v>17</v>
      </c>
      <c r="U61" s="255" t="s">
        <v>13</v>
      </c>
      <c r="V61" s="255" t="s">
        <v>10</v>
      </c>
      <c r="W61" s="39" t="s">
        <v>11</v>
      </c>
      <c r="X61" s="39" t="s">
        <v>11</v>
      </c>
      <c r="Y61" s="255" t="s">
        <v>10</v>
      </c>
      <c r="Z61" s="255" t="s">
        <v>17</v>
      </c>
      <c r="AA61" s="255" t="s">
        <v>17</v>
      </c>
      <c r="AB61" s="255" t="s">
        <v>13</v>
      </c>
      <c r="AC61" s="255" t="s">
        <v>10</v>
      </c>
      <c r="AD61" s="39" t="s">
        <v>11</v>
      </c>
      <c r="AE61" s="39" t="s">
        <v>11</v>
      </c>
      <c r="AF61" s="255" t="s">
        <v>10</v>
      </c>
      <c r="AG61" s="255" t="s">
        <v>17</v>
      </c>
      <c r="AH61" s="39" t="s">
        <v>18</v>
      </c>
      <c r="AI61" s="255" t="s">
        <v>17</v>
      </c>
      <c r="AJ61" s="255" t="s">
        <v>17</v>
      </c>
      <c r="AK61" s="39" t="s">
        <v>11</v>
      </c>
      <c r="AL61" s="39" t="s">
        <v>23</v>
      </c>
      <c r="AM61" s="255" t="s">
        <v>10</v>
      </c>
      <c r="AN61" s="255" t="s">
        <v>10</v>
      </c>
      <c r="AO61" s="255" t="s">
        <v>10</v>
      </c>
      <c r="AP61" s="255" t="s">
        <v>10</v>
      </c>
      <c r="AQ61" s="204"/>
      <c r="AS61" s="43">
        <f t="shared" si="17"/>
        <v>9</v>
      </c>
      <c r="AT61" s="43">
        <f t="shared" si="17"/>
        <v>8</v>
      </c>
      <c r="AU61" s="43">
        <f t="shared" si="17"/>
        <v>0</v>
      </c>
      <c r="AV61" s="43">
        <f t="shared" si="17"/>
        <v>0</v>
      </c>
      <c r="AW61" s="43">
        <f t="shared" si="17"/>
        <v>1</v>
      </c>
      <c r="AX61" s="43">
        <f t="shared" si="17"/>
        <v>1</v>
      </c>
      <c r="AY61" s="43">
        <f t="shared" si="17"/>
        <v>0</v>
      </c>
      <c r="AZ61" s="43">
        <f t="shared" si="17"/>
        <v>2</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9</v>
      </c>
      <c r="BO61" s="43">
        <f t="shared" si="16"/>
        <v>0</v>
      </c>
      <c r="BP61" s="43">
        <f t="shared" si="16"/>
        <v>0</v>
      </c>
      <c r="BQ61" s="43">
        <f t="shared" si="16"/>
        <v>0</v>
      </c>
    </row>
    <row r="62" spans="3:69" ht="20.100000000000001" customHeight="1">
      <c r="C62" s="585">
        <v>0.75</v>
      </c>
      <c r="D62" s="586"/>
      <c r="E62" s="587" t="s">
        <v>19</v>
      </c>
      <c r="F62" s="588"/>
      <c r="G62" s="588"/>
      <c r="H62" s="588"/>
      <c r="I62" s="588"/>
      <c r="J62" s="589" t="s">
        <v>16</v>
      </c>
      <c r="K62" s="589"/>
      <c r="L62" s="590"/>
      <c r="M62" s="36" t="s">
        <v>11</v>
      </c>
      <c r="N62" s="255" t="s">
        <v>17</v>
      </c>
      <c r="O62" s="255" t="s">
        <v>138</v>
      </c>
      <c r="P62" s="39" t="s">
        <v>11</v>
      </c>
      <c r="Q62" s="39" t="s">
        <v>11</v>
      </c>
      <c r="R62" s="39" t="s">
        <v>11</v>
      </c>
      <c r="S62" s="255" t="s">
        <v>135</v>
      </c>
      <c r="T62" s="255" t="s">
        <v>10</v>
      </c>
      <c r="U62" s="255" t="s">
        <v>17</v>
      </c>
      <c r="V62" s="255" t="s">
        <v>11</v>
      </c>
      <c r="W62" s="39" t="s">
        <v>10</v>
      </c>
      <c r="X62" s="39" t="s">
        <v>11</v>
      </c>
      <c r="Y62" s="255" t="s">
        <v>11</v>
      </c>
      <c r="Z62" s="255" t="s">
        <v>10</v>
      </c>
      <c r="AA62" s="255" t="s">
        <v>10</v>
      </c>
      <c r="AB62" s="255" t="s">
        <v>17</v>
      </c>
      <c r="AC62" s="255" t="s">
        <v>11</v>
      </c>
      <c r="AD62" s="39" t="s">
        <v>10</v>
      </c>
      <c r="AE62" s="39" t="s">
        <v>137</v>
      </c>
      <c r="AF62" s="255" t="s">
        <v>11</v>
      </c>
      <c r="AG62" s="255" t="s">
        <v>11</v>
      </c>
      <c r="AH62" s="39" t="s">
        <v>11</v>
      </c>
      <c r="AI62" s="255" t="s">
        <v>11</v>
      </c>
      <c r="AJ62" s="255" t="s">
        <v>10</v>
      </c>
      <c r="AK62" s="39" t="s">
        <v>10</v>
      </c>
      <c r="AL62" s="39" t="s">
        <v>10</v>
      </c>
      <c r="AM62" s="255" t="s">
        <v>11</v>
      </c>
      <c r="AN62" s="255" t="s">
        <v>11</v>
      </c>
      <c r="AO62" s="255" t="s">
        <v>17</v>
      </c>
      <c r="AP62" s="255" t="s">
        <v>12</v>
      </c>
      <c r="AQ62" s="204"/>
      <c r="AS62" s="43">
        <f t="shared" si="17"/>
        <v>8</v>
      </c>
      <c r="AT62" s="43">
        <f t="shared" si="17"/>
        <v>4</v>
      </c>
      <c r="AU62" s="43">
        <f t="shared" si="17"/>
        <v>1</v>
      </c>
      <c r="AV62" s="43">
        <f t="shared" si="17"/>
        <v>0</v>
      </c>
      <c r="AW62" s="43">
        <f t="shared" si="17"/>
        <v>0</v>
      </c>
      <c r="AX62" s="43">
        <f t="shared" si="17"/>
        <v>0</v>
      </c>
      <c r="AY62" s="43">
        <f t="shared" si="17"/>
        <v>0</v>
      </c>
      <c r="AZ62" s="43">
        <f t="shared" si="17"/>
        <v>0</v>
      </c>
      <c r="BA62" s="43">
        <f t="shared" si="17"/>
        <v>1</v>
      </c>
      <c r="BB62" s="43">
        <f t="shared" si="17"/>
        <v>1</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14</v>
      </c>
      <c r="BO62" s="43">
        <f t="shared" si="16"/>
        <v>0</v>
      </c>
      <c r="BP62" s="43">
        <f t="shared" si="16"/>
        <v>0</v>
      </c>
      <c r="BQ62" s="43">
        <f t="shared" si="16"/>
        <v>0</v>
      </c>
    </row>
    <row r="63" spans="3:69" ht="20.100000000000001" customHeight="1">
      <c r="C63" s="585">
        <v>0.25</v>
      </c>
      <c r="D63" s="586"/>
      <c r="E63" s="587" t="s">
        <v>20</v>
      </c>
      <c r="F63" s="588"/>
      <c r="G63" s="588"/>
      <c r="H63" s="588"/>
      <c r="I63" s="588"/>
      <c r="J63" s="589" t="s">
        <v>16</v>
      </c>
      <c r="K63" s="589"/>
      <c r="L63" s="590"/>
      <c r="M63" s="36" t="s">
        <v>11</v>
      </c>
      <c r="N63" s="255" t="s">
        <v>14</v>
      </c>
      <c r="O63" s="255" t="s">
        <v>14</v>
      </c>
      <c r="P63" s="39" t="s">
        <v>11</v>
      </c>
      <c r="Q63" s="39" t="s">
        <v>11</v>
      </c>
      <c r="R63" s="39" t="s">
        <v>11</v>
      </c>
      <c r="S63" s="255" t="s">
        <v>11</v>
      </c>
      <c r="T63" s="255" t="s">
        <v>11</v>
      </c>
      <c r="U63" s="255" t="s">
        <v>11</v>
      </c>
      <c r="V63" s="255" t="s">
        <v>11</v>
      </c>
      <c r="W63" s="39" t="s">
        <v>11</v>
      </c>
      <c r="X63" s="39" t="s">
        <v>10</v>
      </c>
      <c r="Y63" s="255" t="s">
        <v>11</v>
      </c>
      <c r="Z63" s="255" t="s">
        <v>11</v>
      </c>
      <c r="AA63" s="255" t="s">
        <v>11</v>
      </c>
      <c r="AB63" s="255" t="s">
        <v>11</v>
      </c>
      <c r="AC63" s="255" t="s">
        <v>11</v>
      </c>
      <c r="AD63" s="39" t="s">
        <v>23</v>
      </c>
      <c r="AE63" s="39" t="s">
        <v>11</v>
      </c>
      <c r="AF63" s="255" t="s">
        <v>11</v>
      </c>
      <c r="AG63" s="255" t="s">
        <v>10</v>
      </c>
      <c r="AH63" s="39" t="s">
        <v>11</v>
      </c>
      <c r="AI63" s="255" t="s">
        <v>11</v>
      </c>
      <c r="AJ63" s="255" t="s">
        <v>11</v>
      </c>
      <c r="AK63" s="39" t="s">
        <v>17</v>
      </c>
      <c r="AL63" s="39" t="s">
        <v>17</v>
      </c>
      <c r="AM63" s="255" t="s">
        <v>11</v>
      </c>
      <c r="AN63" s="255" t="s">
        <v>11</v>
      </c>
      <c r="AO63" s="255" t="s">
        <v>11</v>
      </c>
      <c r="AP63" s="255" t="s">
        <v>11</v>
      </c>
      <c r="AQ63" s="204"/>
      <c r="AS63" s="43">
        <f t="shared" si="17"/>
        <v>2</v>
      </c>
      <c r="AT63" s="43">
        <f t="shared" si="17"/>
        <v>2</v>
      </c>
      <c r="AU63" s="43">
        <f t="shared" si="17"/>
        <v>0</v>
      </c>
      <c r="AV63" s="43">
        <f t="shared" si="17"/>
        <v>0</v>
      </c>
      <c r="AW63" s="43">
        <f t="shared" si="17"/>
        <v>1</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2</v>
      </c>
      <c r="BK63" s="43">
        <f t="shared" si="16"/>
        <v>0</v>
      </c>
      <c r="BL63" s="43">
        <f t="shared" si="16"/>
        <v>0</v>
      </c>
      <c r="BM63" s="43">
        <f t="shared" si="16"/>
        <v>0</v>
      </c>
      <c r="BN63" s="43">
        <f t="shared" si="16"/>
        <v>23</v>
      </c>
      <c r="BO63" s="43">
        <f t="shared" si="16"/>
        <v>2</v>
      </c>
      <c r="BP63" s="43">
        <f t="shared" si="16"/>
        <v>0</v>
      </c>
      <c r="BQ63" s="43">
        <f t="shared" si="16"/>
        <v>0</v>
      </c>
    </row>
    <row r="64" spans="3:69" ht="20.100000000000001" customHeight="1">
      <c r="C64" s="585">
        <v>0.5</v>
      </c>
      <c r="D64" s="586"/>
      <c r="E64" s="587" t="s">
        <v>21</v>
      </c>
      <c r="F64" s="588"/>
      <c r="G64" s="588"/>
      <c r="H64" s="588"/>
      <c r="I64" s="588"/>
      <c r="J64" s="589" t="s">
        <v>16</v>
      </c>
      <c r="K64" s="589"/>
      <c r="L64" s="590"/>
      <c r="M64" s="36" t="s">
        <v>10</v>
      </c>
      <c r="N64" s="255" t="s">
        <v>11</v>
      </c>
      <c r="O64" s="255" t="s">
        <v>11</v>
      </c>
      <c r="P64" s="39" t="s">
        <v>11</v>
      </c>
      <c r="Q64" s="39" t="s">
        <v>11</v>
      </c>
      <c r="R64" s="39" t="s">
        <v>11</v>
      </c>
      <c r="S64" s="255" t="s">
        <v>11</v>
      </c>
      <c r="T64" s="255" t="s">
        <v>11</v>
      </c>
      <c r="U64" s="255" t="s">
        <v>11</v>
      </c>
      <c r="V64" s="255" t="s">
        <v>11</v>
      </c>
      <c r="W64" s="39" t="s">
        <v>11</v>
      </c>
      <c r="X64" s="39" t="s">
        <v>11</v>
      </c>
      <c r="Y64" s="255" t="s">
        <v>11</v>
      </c>
      <c r="Z64" s="255" t="s">
        <v>140</v>
      </c>
      <c r="AA64" s="255" t="s">
        <v>135</v>
      </c>
      <c r="AB64" s="255" t="s">
        <v>10</v>
      </c>
      <c r="AC64" s="255" t="s">
        <v>11</v>
      </c>
      <c r="AD64" s="39" t="s">
        <v>11</v>
      </c>
      <c r="AE64" s="39" t="s">
        <v>11</v>
      </c>
      <c r="AF64" s="255" t="s">
        <v>139</v>
      </c>
      <c r="AG64" s="255" t="s">
        <v>139</v>
      </c>
      <c r="AH64" s="39" t="s">
        <v>10</v>
      </c>
      <c r="AI64" s="255" t="s">
        <v>10</v>
      </c>
      <c r="AJ64" s="255" t="s">
        <v>11</v>
      </c>
      <c r="AK64" s="39" t="s">
        <v>11</v>
      </c>
      <c r="AL64" s="39" t="s">
        <v>11</v>
      </c>
      <c r="AM64" s="255" t="s">
        <v>17</v>
      </c>
      <c r="AN64" s="255" t="s">
        <v>135</v>
      </c>
      <c r="AO64" s="255" t="s">
        <v>11</v>
      </c>
      <c r="AP64" s="255" t="s">
        <v>17</v>
      </c>
      <c r="AQ64" s="204"/>
      <c r="AS64" s="43">
        <f t="shared" si="17"/>
        <v>4</v>
      </c>
      <c r="AT64" s="43">
        <f t="shared" si="17"/>
        <v>2</v>
      </c>
      <c r="AU64" s="43">
        <f t="shared" si="17"/>
        <v>0</v>
      </c>
      <c r="AV64" s="43">
        <f t="shared" si="17"/>
        <v>0</v>
      </c>
      <c r="AW64" s="43">
        <f t="shared" si="17"/>
        <v>0</v>
      </c>
      <c r="AX64" s="43">
        <f t="shared" si="17"/>
        <v>0</v>
      </c>
      <c r="AY64" s="43">
        <f t="shared" si="17"/>
        <v>2</v>
      </c>
      <c r="AZ64" s="43">
        <f t="shared" si="17"/>
        <v>0</v>
      </c>
      <c r="BA64" s="43">
        <f t="shared" si="17"/>
        <v>2</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19</v>
      </c>
      <c r="BO64" s="43">
        <f t="shared" si="16"/>
        <v>0</v>
      </c>
      <c r="BP64" s="43">
        <f t="shared" si="16"/>
        <v>0</v>
      </c>
      <c r="BQ64" s="43">
        <f t="shared" si="16"/>
        <v>0</v>
      </c>
    </row>
    <row r="65" spans="3:69" ht="20.100000000000001" customHeight="1">
      <c r="C65" s="585" t="s">
        <v>7</v>
      </c>
      <c r="D65" s="586"/>
      <c r="E65" s="587" t="s">
        <v>22</v>
      </c>
      <c r="F65" s="588"/>
      <c r="G65" s="588"/>
      <c r="H65" s="588"/>
      <c r="I65" s="588"/>
      <c r="J65" s="589" t="s">
        <v>16</v>
      </c>
      <c r="K65" s="589"/>
      <c r="L65" s="590"/>
      <c r="M65" s="36" t="s">
        <v>11</v>
      </c>
      <c r="N65" s="255" t="s">
        <v>135</v>
      </c>
      <c r="O65" s="255" t="s">
        <v>135</v>
      </c>
      <c r="P65" s="39" t="s">
        <v>10</v>
      </c>
      <c r="Q65" s="39" t="s">
        <v>11</v>
      </c>
      <c r="R65" s="39" t="s">
        <v>11</v>
      </c>
      <c r="S65" s="255" t="s">
        <v>10</v>
      </c>
      <c r="T65" s="255" t="s">
        <v>11</v>
      </c>
      <c r="U65" s="255" t="s">
        <v>135</v>
      </c>
      <c r="V65" s="255" t="s">
        <v>17</v>
      </c>
      <c r="W65" s="39" t="s">
        <v>17</v>
      </c>
      <c r="X65" s="39" t="s">
        <v>17</v>
      </c>
      <c r="Y65" s="255" t="s">
        <v>17</v>
      </c>
      <c r="Z65" s="255" t="s">
        <v>136</v>
      </c>
      <c r="AA65" s="255" t="s">
        <v>18</v>
      </c>
      <c r="AB65" s="255" t="s">
        <v>11</v>
      </c>
      <c r="AC65" s="255" t="s">
        <v>17</v>
      </c>
      <c r="AD65" s="39" t="s">
        <v>17</v>
      </c>
      <c r="AE65" s="39" t="s">
        <v>17</v>
      </c>
      <c r="AF65" s="255" t="s">
        <v>17</v>
      </c>
      <c r="AG65" s="255" t="s">
        <v>13</v>
      </c>
      <c r="AH65" s="39" t="s">
        <v>14</v>
      </c>
      <c r="AI65" s="255" t="s">
        <v>14</v>
      </c>
      <c r="AJ65" s="255" t="s">
        <v>14</v>
      </c>
      <c r="AK65" s="39" t="s">
        <v>11</v>
      </c>
      <c r="AL65" s="39" t="s">
        <v>11</v>
      </c>
      <c r="AM65" s="255" t="s">
        <v>11</v>
      </c>
      <c r="AN65" s="255" t="s">
        <v>17</v>
      </c>
      <c r="AO65" s="255" t="s">
        <v>139</v>
      </c>
      <c r="AP65" s="255" t="s">
        <v>11</v>
      </c>
      <c r="AQ65" s="204"/>
      <c r="AS65" s="43">
        <f t="shared" si="17"/>
        <v>2</v>
      </c>
      <c r="AT65" s="43">
        <f t="shared" si="17"/>
        <v>9</v>
      </c>
      <c r="AU65" s="43">
        <f t="shared" si="17"/>
        <v>0</v>
      </c>
      <c r="AV65" s="43">
        <f t="shared" si="17"/>
        <v>0</v>
      </c>
      <c r="AW65" s="43">
        <f t="shared" si="17"/>
        <v>0</v>
      </c>
      <c r="AX65" s="43">
        <f t="shared" si="17"/>
        <v>1</v>
      </c>
      <c r="AY65" s="43">
        <f t="shared" si="17"/>
        <v>1</v>
      </c>
      <c r="AZ65" s="43">
        <f t="shared" si="17"/>
        <v>1</v>
      </c>
      <c r="BA65" s="43">
        <f t="shared" si="17"/>
        <v>3</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3</v>
      </c>
      <c r="BK65" s="43">
        <f t="shared" si="16"/>
        <v>0</v>
      </c>
      <c r="BL65" s="43">
        <f t="shared" si="16"/>
        <v>0</v>
      </c>
      <c r="BM65" s="43">
        <f t="shared" si="16"/>
        <v>0</v>
      </c>
      <c r="BN65" s="43">
        <f t="shared" si="16"/>
        <v>9</v>
      </c>
      <c r="BO65" s="43">
        <f t="shared" si="16"/>
        <v>3</v>
      </c>
      <c r="BP65" s="43">
        <f t="shared" si="16"/>
        <v>0</v>
      </c>
      <c r="BQ65" s="43">
        <f t="shared" si="16"/>
        <v>0</v>
      </c>
    </row>
    <row r="66" spans="3:69" ht="20.100000000000001" customHeight="1">
      <c r="C66" s="585"/>
      <c r="D66" s="586"/>
      <c r="E66" s="587" t="s">
        <v>24</v>
      </c>
      <c r="F66" s="588"/>
      <c r="G66" s="588"/>
      <c r="H66" s="588"/>
      <c r="I66" s="588"/>
      <c r="J66" s="589"/>
      <c r="K66" s="589"/>
      <c r="L66" s="590"/>
      <c r="M66" s="36"/>
      <c r="N66" s="255"/>
      <c r="O66" s="255"/>
      <c r="P66" s="39"/>
      <c r="Q66" s="39"/>
      <c r="R66" s="39"/>
      <c r="S66" s="255"/>
      <c r="T66" s="255" t="s">
        <v>10</v>
      </c>
      <c r="U66" s="255" t="s">
        <v>10</v>
      </c>
      <c r="V66" s="255" t="s">
        <v>10</v>
      </c>
      <c r="W66" s="39"/>
      <c r="X66" s="39"/>
      <c r="Y66" s="255" t="s">
        <v>13</v>
      </c>
      <c r="Z66" s="255" t="s">
        <v>10</v>
      </c>
      <c r="AA66" s="255" t="s">
        <v>10</v>
      </c>
      <c r="AB66" s="255" t="s">
        <v>17</v>
      </c>
      <c r="AC66" s="255" t="s">
        <v>13</v>
      </c>
      <c r="AD66" s="39"/>
      <c r="AE66" s="39"/>
      <c r="AF66" s="255" t="s">
        <v>13</v>
      </c>
      <c r="AG66" s="255" t="s">
        <v>17</v>
      </c>
      <c r="AH66" s="39" t="s">
        <v>13</v>
      </c>
      <c r="AI66" s="255" t="s">
        <v>10</v>
      </c>
      <c r="AJ66" s="255" t="s">
        <v>10</v>
      </c>
      <c r="AK66" s="39"/>
      <c r="AL66" s="39"/>
      <c r="AM66" s="255" t="s">
        <v>17</v>
      </c>
      <c r="AN66" s="255" t="s">
        <v>17</v>
      </c>
      <c r="AO66" s="255" t="s">
        <v>13</v>
      </c>
      <c r="AP66" s="255" t="s">
        <v>13</v>
      </c>
      <c r="AQ66" s="204"/>
      <c r="AS66" s="43">
        <f t="shared" si="17"/>
        <v>7</v>
      </c>
      <c r="AT66" s="43">
        <f t="shared" si="17"/>
        <v>4</v>
      </c>
      <c r="AU66" s="43">
        <f t="shared" si="17"/>
        <v>0</v>
      </c>
      <c r="AV66" s="43">
        <f t="shared" si="17"/>
        <v>0</v>
      </c>
      <c r="AW66" s="43">
        <f t="shared" si="17"/>
        <v>0</v>
      </c>
      <c r="AX66" s="43">
        <f t="shared" si="17"/>
        <v>0</v>
      </c>
      <c r="AY66" s="43">
        <f t="shared" si="17"/>
        <v>0</v>
      </c>
      <c r="AZ66" s="43">
        <f t="shared" si="17"/>
        <v>6</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585"/>
      <c r="D67" s="586"/>
      <c r="E67" s="587" t="s">
        <v>26</v>
      </c>
      <c r="F67" s="588"/>
      <c r="G67" s="588"/>
      <c r="H67" s="588"/>
      <c r="I67" s="588"/>
      <c r="J67" s="589"/>
      <c r="K67" s="589"/>
      <c r="L67" s="590"/>
      <c r="M67" s="36"/>
      <c r="N67" s="255"/>
      <c r="O67" s="255"/>
      <c r="P67" s="39"/>
      <c r="Q67" s="39"/>
      <c r="R67" s="39"/>
      <c r="S67" s="255"/>
      <c r="T67" s="255"/>
      <c r="U67" s="255"/>
      <c r="V67" s="255"/>
      <c r="W67" s="39"/>
      <c r="X67" s="39"/>
      <c r="Y67" s="255"/>
      <c r="Z67" s="255"/>
      <c r="AA67" s="255"/>
      <c r="AB67" s="255"/>
      <c r="AC67" s="255"/>
      <c r="AD67" s="39"/>
      <c r="AE67" s="39"/>
      <c r="AF67" s="255" t="s">
        <v>10</v>
      </c>
      <c r="AG67" s="255" t="s">
        <v>10</v>
      </c>
      <c r="AH67" s="39" t="s">
        <v>17</v>
      </c>
      <c r="AI67" s="255" t="s">
        <v>13</v>
      </c>
      <c r="AJ67" s="255" t="s">
        <v>13</v>
      </c>
      <c r="AK67" s="39" t="s">
        <v>11</v>
      </c>
      <c r="AL67" s="39" t="s">
        <v>11</v>
      </c>
      <c r="AM67" s="255" t="s">
        <v>11</v>
      </c>
      <c r="AN67" s="255" t="s">
        <v>11</v>
      </c>
      <c r="AO67" s="255" t="s">
        <v>10</v>
      </c>
      <c r="AP67" s="255" t="s">
        <v>10</v>
      </c>
      <c r="AQ67" s="204"/>
      <c r="AS67" s="43">
        <f t="shared" si="17"/>
        <v>4</v>
      </c>
      <c r="AT67" s="43">
        <f t="shared" si="17"/>
        <v>1</v>
      </c>
      <c r="AU67" s="43">
        <f t="shared" si="17"/>
        <v>0</v>
      </c>
      <c r="AV67" s="43">
        <f t="shared" si="17"/>
        <v>0</v>
      </c>
      <c r="AW67" s="43">
        <f t="shared" si="17"/>
        <v>0</v>
      </c>
      <c r="AX67" s="43">
        <f t="shared" si="17"/>
        <v>0</v>
      </c>
      <c r="AY67" s="43">
        <f t="shared" si="17"/>
        <v>0</v>
      </c>
      <c r="AZ67" s="43">
        <f t="shared" si="17"/>
        <v>2</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4</v>
      </c>
      <c r="BO67" s="43">
        <f t="shared" si="20"/>
        <v>0</v>
      </c>
      <c r="BP67" s="43">
        <f t="shared" si="20"/>
        <v>0</v>
      </c>
      <c r="BQ67" s="43">
        <f t="shared" si="20"/>
        <v>0</v>
      </c>
    </row>
    <row r="68" spans="3:69" ht="20.100000000000001" customHeight="1">
      <c r="C68" s="585"/>
      <c r="D68" s="586"/>
      <c r="E68" s="587"/>
      <c r="F68" s="588"/>
      <c r="G68" s="588"/>
      <c r="H68" s="588"/>
      <c r="I68" s="588"/>
      <c r="J68" s="589"/>
      <c r="K68" s="589"/>
      <c r="L68" s="590"/>
      <c r="M68" s="36"/>
      <c r="N68" s="255"/>
      <c r="O68" s="255"/>
      <c r="P68" s="39"/>
      <c r="Q68" s="39"/>
      <c r="R68" s="39"/>
      <c r="S68" s="255"/>
      <c r="T68" s="255"/>
      <c r="U68" s="255"/>
      <c r="V68" s="255"/>
      <c r="W68" s="39"/>
      <c r="X68" s="39"/>
      <c r="Y68" s="255"/>
      <c r="Z68" s="255"/>
      <c r="AA68" s="255"/>
      <c r="AB68" s="255"/>
      <c r="AC68" s="255"/>
      <c r="AD68" s="39"/>
      <c r="AE68" s="39"/>
      <c r="AF68" s="255"/>
      <c r="AG68" s="255"/>
      <c r="AH68" s="39"/>
      <c r="AI68" s="255"/>
      <c r="AJ68" s="255"/>
      <c r="AK68" s="39"/>
      <c r="AL68" s="39"/>
      <c r="AM68" s="255"/>
      <c r="AN68" s="255"/>
      <c r="AO68" s="255"/>
      <c r="AP68" s="255"/>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591"/>
      <c r="D69" s="592"/>
      <c r="E69" s="593"/>
      <c r="F69" s="594"/>
      <c r="G69" s="594"/>
      <c r="H69" s="594"/>
      <c r="I69" s="594"/>
      <c r="J69" s="595"/>
      <c r="K69" s="595"/>
      <c r="L69" s="596"/>
      <c r="M69" s="37"/>
      <c r="N69" s="257"/>
      <c r="O69" s="257"/>
      <c r="P69" s="40"/>
      <c r="Q69" s="40"/>
      <c r="R69" s="40"/>
      <c r="S69" s="257"/>
      <c r="T69" s="257"/>
      <c r="U69" s="257"/>
      <c r="V69" s="257"/>
      <c r="W69" s="40"/>
      <c r="X69" s="40"/>
      <c r="Y69" s="257"/>
      <c r="Z69" s="257"/>
      <c r="AA69" s="257"/>
      <c r="AB69" s="257"/>
      <c r="AC69" s="257"/>
      <c r="AD69" s="40"/>
      <c r="AE69" s="40"/>
      <c r="AF69" s="257"/>
      <c r="AG69" s="257"/>
      <c r="AH69" s="40"/>
      <c r="AI69" s="257"/>
      <c r="AJ69" s="257"/>
      <c r="AK69" s="40"/>
      <c r="AL69" s="40"/>
      <c r="AM69" s="257"/>
      <c r="AN69" s="257"/>
      <c r="AO69" s="257"/>
      <c r="AP69" s="257"/>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0</v>
      </c>
      <c r="BD70" s="43">
        <f t="shared" si="21"/>
        <v>24</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73" t="str">
        <f ca="1">Lists!F5</f>
        <v>Maj</v>
      </c>
      <c r="D71" s="574"/>
      <c r="E71" s="574"/>
      <c r="F71" s="574"/>
      <c r="G71" s="575"/>
    </row>
    <row r="72" spans="3:69" ht="20.100000000000001" customHeight="1" thickBot="1">
      <c r="C72" s="576"/>
      <c r="D72" s="577"/>
      <c r="E72" s="577"/>
      <c r="F72" s="577"/>
      <c r="G72" s="578"/>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436" t="str">
        <f ca="1">INDIRECT("T!"&amp;T!A1&amp;"33")</f>
        <v>Etat</v>
      </c>
      <c r="D75" s="437"/>
      <c r="E75" s="430" t="s">
        <v>6</v>
      </c>
      <c r="F75" s="431"/>
      <c r="G75" s="431"/>
      <c r="H75" s="431"/>
      <c r="I75" s="431"/>
      <c r="J75" s="424" t="str">
        <f ca="1">INDIRECT("T!"&amp;T!A1&amp;"34")</f>
        <v>Pozycja</v>
      </c>
      <c r="K75" s="424"/>
      <c r="L75" s="583"/>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79"/>
      <c r="D76" s="580"/>
      <c r="E76" s="581"/>
      <c r="F76" s="582"/>
      <c r="G76" s="582"/>
      <c r="H76" s="582"/>
      <c r="I76" s="582"/>
      <c r="J76" s="427"/>
      <c r="K76" s="427"/>
      <c r="L76" s="584"/>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557"/>
      <c r="D77" s="558"/>
      <c r="E77" s="569"/>
      <c r="F77" s="570"/>
      <c r="G77" s="570"/>
      <c r="H77" s="570"/>
      <c r="I77" s="570"/>
      <c r="J77" s="571"/>
      <c r="K77" s="571"/>
      <c r="L77" s="572"/>
      <c r="M77" s="84"/>
      <c r="N77" s="85"/>
      <c r="O77" s="85"/>
      <c r="P77" s="261"/>
      <c r="Q77" s="261"/>
      <c r="R77" s="261"/>
      <c r="S77" s="261"/>
      <c r="T77" s="261"/>
      <c r="U77" s="85"/>
      <c r="V77" s="85"/>
      <c r="W77" s="261"/>
      <c r="X77" s="261"/>
      <c r="Y77" s="261"/>
      <c r="Z77" s="261"/>
      <c r="AA77" s="261"/>
      <c r="AB77" s="85"/>
      <c r="AC77" s="85"/>
      <c r="AD77" s="261"/>
      <c r="AE77" s="261"/>
      <c r="AF77" s="261"/>
      <c r="AG77" s="261"/>
      <c r="AH77" s="261"/>
      <c r="AI77" s="85"/>
      <c r="AJ77" s="85"/>
      <c r="AK77" s="261"/>
      <c r="AL77" s="85"/>
      <c r="AM77" s="261"/>
      <c r="AN77" s="261"/>
      <c r="AO77" s="261"/>
      <c r="AP77" s="85"/>
      <c r="AQ77" s="89"/>
      <c r="AS77" s="43">
        <f t="shared" si="21"/>
        <v>0</v>
      </c>
      <c r="AT77" s="43">
        <f t="shared" si="21"/>
        <v>0</v>
      </c>
      <c r="AU77" s="43">
        <f t="shared" si="21"/>
        <v>0</v>
      </c>
      <c r="AV77" s="43">
        <f t="shared" si="21"/>
        <v>0</v>
      </c>
      <c r="AW77" s="43">
        <f t="shared" si="21"/>
        <v>0</v>
      </c>
      <c r="AX77" s="43">
        <f t="shared" si="21"/>
        <v>0</v>
      </c>
      <c r="AY77" s="43">
        <f t="shared" si="21"/>
        <v>0</v>
      </c>
      <c r="AZ77" s="43">
        <f t="shared" si="21"/>
        <v>0</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0</v>
      </c>
      <c r="BK77" s="43">
        <f t="shared" si="20"/>
        <v>0</v>
      </c>
      <c r="BL77" s="43">
        <f t="shared" si="20"/>
        <v>0</v>
      </c>
      <c r="BM77" s="43">
        <f t="shared" si="20"/>
        <v>0</v>
      </c>
      <c r="BN77" s="43">
        <f t="shared" si="20"/>
        <v>0</v>
      </c>
      <c r="BO77" s="43">
        <f t="shared" si="20"/>
        <v>0</v>
      </c>
      <c r="BP77" s="43">
        <f t="shared" si="20"/>
        <v>0</v>
      </c>
      <c r="BQ77" s="43">
        <f t="shared" si="20"/>
        <v>0</v>
      </c>
    </row>
    <row r="78" spans="3:69" ht="20.100000000000001" customHeight="1">
      <c r="C78" s="557"/>
      <c r="D78" s="558"/>
      <c r="E78" s="559"/>
      <c r="F78" s="560"/>
      <c r="G78" s="560"/>
      <c r="H78" s="560"/>
      <c r="I78" s="560"/>
      <c r="J78" s="561"/>
      <c r="K78" s="561"/>
      <c r="L78" s="562"/>
      <c r="M78" s="86"/>
      <c r="N78" s="87"/>
      <c r="O78" s="87"/>
      <c r="P78" s="259"/>
      <c r="Q78" s="259"/>
      <c r="R78" s="259"/>
      <c r="S78" s="259"/>
      <c r="T78" s="259"/>
      <c r="U78" s="87"/>
      <c r="V78" s="87"/>
      <c r="W78" s="259"/>
      <c r="X78" s="259"/>
      <c r="Y78" s="259"/>
      <c r="Z78" s="259"/>
      <c r="AA78" s="259"/>
      <c r="AB78" s="87"/>
      <c r="AC78" s="87"/>
      <c r="AD78" s="259"/>
      <c r="AE78" s="259"/>
      <c r="AF78" s="259"/>
      <c r="AG78" s="259"/>
      <c r="AH78" s="259"/>
      <c r="AI78" s="87"/>
      <c r="AJ78" s="87"/>
      <c r="AK78" s="259"/>
      <c r="AL78" s="87"/>
      <c r="AM78" s="259"/>
      <c r="AN78" s="259"/>
      <c r="AO78" s="259"/>
      <c r="AP78" s="87"/>
      <c r="AQ78" s="90"/>
      <c r="AS78" s="43">
        <f t="shared" si="21"/>
        <v>0</v>
      </c>
      <c r="AT78" s="43">
        <f t="shared" si="21"/>
        <v>0</v>
      </c>
      <c r="AU78" s="43">
        <f t="shared" si="21"/>
        <v>0</v>
      </c>
      <c r="AV78" s="43">
        <f t="shared" si="21"/>
        <v>0</v>
      </c>
      <c r="AW78" s="43">
        <f t="shared" si="21"/>
        <v>0</v>
      </c>
      <c r="AX78" s="43">
        <f t="shared" si="21"/>
        <v>0</v>
      </c>
      <c r="AY78" s="43">
        <f t="shared" si="21"/>
        <v>0</v>
      </c>
      <c r="AZ78" s="43">
        <f t="shared" si="21"/>
        <v>0</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0</v>
      </c>
      <c r="BO78" s="43">
        <f t="shared" si="20"/>
        <v>0</v>
      </c>
      <c r="BP78" s="43">
        <f t="shared" si="20"/>
        <v>0</v>
      </c>
      <c r="BQ78" s="43">
        <f t="shared" si="20"/>
        <v>0</v>
      </c>
    </row>
    <row r="79" spans="3:69" ht="20.100000000000001" customHeight="1">
      <c r="C79" s="557"/>
      <c r="D79" s="558"/>
      <c r="E79" s="559"/>
      <c r="F79" s="560"/>
      <c r="G79" s="560"/>
      <c r="H79" s="560"/>
      <c r="I79" s="560"/>
      <c r="J79" s="561"/>
      <c r="K79" s="561"/>
      <c r="L79" s="562"/>
      <c r="M79" s="86"/>
      <c r="N79" s="87"/>
      <c r="O79" s="87"/>
      <c r="P79" s="259"/>
      <c r="Q79" s="259"/>
      <c r="R79" s="259"/>
      <c r="S79" s="259"/>
      <c r="T79" s="259"/>
      <c r="U79" s="87"/>
      <c r="V79" s="87"/>
      <c r="W79" s="259"/>
      <c r="X79" s="259"/>
      <c r="Y79" s="259"/>
      <c r="Z79" s="259"/>
      <c r="AA79" s="259"/>
      <c r="AB79" s="87"/>
      <c r="AC79" s="87"/>
      <c r="AD79" s="259"/>
      <c r="AE79" s="259"/>
      <c r="AF79" s="259"/>
      <c r="AG79" s="259"/>
      <c r="AH79" s="259"/>
      <c r="AI79" s="87"/>
      <c r="AJ79" s="87"/>
      <c r="AK79" s="259"/>
      <c r="AL79" s="87"/>
      <c r="AM79" s="259"/>
      <c r="AN79" s="259"/>
      <c r="AO79" s="259"/>
      <c r="AP79" s="87"/>
      <c r="AQ79" s="90"/>
      <c r="AS79" s="43">
        <f t="shared" si="21"/>
        <v>0</v>
      </c>
      <c r="AT79" s="43">
        <f t="shared" si="21"/>
        <v>0</v>
      </c>
      <c r="AU79" s="43">
        <f t="shared" si="21"/>
        <v>0</v>
      </c>
      <c r="AV79" s="43">
        <f t="shared" si="21"/>
        <v>0</v>
      </c>
      <c r="AW79" s="43">
        <f t="shared" si="21"/>
        <v>0</v>
      </c>
      <c r="AX79" s="43">
        <f t="shared" si="21"/>
        <v>0</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0</v>
      </c>
      <c r="BK79" s="43">
        <f t="shared" si="20"/>
        <v>0</v>
      </c>
      <c r="BL79" s="43">
        <f t="shared" si="20"/>
        <v>0</v>
      </c>
      <c r="BM79" s="43">
        <f t="shared" si="20"/>
        <v>0</v>
      </c>
      <c r="BN79" s="43">
        <f t="shared" si="20"/>
        <v>0</v>
      </c>
      <c r="BO79" s="43">
        <f t="shared" si="20"/>
        <v>0</v>
      </c>
      <c r="BP79" s="43">
        <f t="shared" si="20"/>
        <v>0</v>
      </c>
      <c r="BQ79" s="43">
        <f t="shared" si="20"/>
        <v>0</v>
      </c>
    </row>
    <row r="80" spans="3:69" ht="20.100000000000001" customHeight="1">
      <c r="C80" s="557"/>
      <c r="D80" s="558"/>
      <c r="E80" s="559"/>
      <c r="F80" s="560"/>
      <c r="G80" s="560"/>
      <c r="H80" s="560"/>
      <c r="I80" s="560"/>
      <c r="J80" s="561"/>
      <c r="K80" s="561"/>
      <c r="L80" s="562"/>
      <c r="M80" s="86"/>
      <c r="N80" s="87"/>
      <c r="O80" s="87"/>
      <c r="P80" s="259"/>
      <c r="Q80" s="259"/>
      <c r="R80" s="259"/>
      <c r="S80" s="259"/>
      <c r="T80" s="259"/>
      <c r="U80" s="87"/>
      <c r="V80" s="87"/>
      <c r="W80" s="259"/>
      <c r="X80" s="259"/>
      <c r="Y80" s="259"/>
      <c r="Z80" s="259"/>
      <c r="AA80" s="259"/>
      <c r="AB80" s="87"/>
      <c r="AC80" s="87"/>
      <c r="AD80" s="259"/>
      <c r="AE80" s="259"/>
      <c r="AF80" s="259"/>
      <c r="AG80" s="259"/>
      <c r="AH80" s="259"/>
      <c r="AI80" s="87"/>
      <c r="AJ80" s="87"/>
      <c r="AK80" s="259"/>
      <c r="AL80" s="87"/>
      <c r="AM80" s="259"/>
      <c r="AN80" s="259"/>
      <c r="AO80" s="259"/>
      <c r="AP80" s="87"/>
      <c r="AQ80" s="90"/>
      <c r="AS80" s="43">
        <f t="shared" si="21"/>
        <v>0</v>
      </c>
      <c r="AT80" s="43">
        <f t="shared" si="21"/>
        <v>0</v>
      </c>
      <c r="AU80" s="43">
        <f t="shared" si="21"/>
        <v>0</v>
      </c>
      <c r="AV80" s="43">
        <f t="shared" si="21"/>
        <v>0</v>
      </c>
      <c r="AW80" s="43">
        <f t="shared" si="21"/>
        <v>0</v>
      </c>
      <c r="AX80" s="43">
        <f t="shared" si="21"/>
        <v>0</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0</v>
      </c>
      <c r="BO80" s="43">
        <f t="shared" si="20"/>
        <v>0</v>
      </c>
      <c r="BP80" s="43">
        <f t="shared" si="20"/>
        <v>0</v>
      </c>
      <c r="BQ80" s="43">
        <f t="shared" si="20"/>
        <v>0</v>
      </c>
    </row>
    <row r="81" spans="3:69" ht="20.100000000000001" customHeight="1">
      <c r="C81" s="557"/>
      <c r="D81" s="558"/>
      <c r="E81" s="559"/>
      <c r="F81" s="560"/>
      <c r="G81" s="560"/>
      <c r="H81" s="560"/>
      <c r="I81" s="560"/>
      <c r="J81" s="561"/>
      <c r="K81" s="561"/>
      <c r="L81" s="562"/>
      <c r="M81" s="86"/>
      <c r="N81" s="87"/>
      <c r="O81" s="87"/>
      <c r="P81" s="259"/>
      <c r="Q81" s="259"/>
      <c r="R81" s="259"/>
      <c r="S81" s="259"/>
      <c r="T81" s="259"/>
      <c r="U81" s="87"/>
      <c r="V81" s="87"/>
      <c r="W81" s="259"/>
      <c r="X81" s="259"/>
      <c r="Y81" s="259"/>
      <c r="Z81" s="259"/>
      <c r="AA81" s="259"/>
      <c r="AB81" s="87"/>
      <c r="AC81" s="87"/>
      <c r="AD81" s="259"/>
      <c r="AE81" s="259"/>
      <c r="AF81" s="259"/>
      <c r="AG81" s="259"/>
      <c r="AH81" s="259"/>
      <c r="AI81" s="87"/>
      <c r="AJ81" s="87"/>
      <c r="AK81" s="259"/>
      <c r="AL81" s="87"/>
      <c r="AM81" s="259"/>
      <c r="AN81" s="259"/>
      <c r="AO81" s="259"/>
      <c r="AP81" s="87"/>
      <c r="AQ81" s="90"/>
      <c r="AS81" s="43">
        <f t="shared" si="21"/>
        <v>0</v>
      </c>
      <c r="AT81" s="43">
        <f t="shared" si="21"/>
        <v>0</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0</v>
      </c>
      <c r="BO81" s="43">
        <f t="shared" si="20"/>
        <v>0</v>
      </c>
      <c r="BP81" s="43">
        <f t="shared" si="20"/>
        <v>0</v>
      </c>
      <c r="BQ81" s="43">
        <f t="shared" si="20"/>
        <v>0</v>
      </c>
    </row>
    <row r="82" spans="3:69" ht="20.100000000000001" customHeight="1">
      <c r="C82" s="557"/>
      <c r="D82" s="558"/>
      <c r="E82" s="559"/>
      <c r="F82" s="560"/>
      <c r="G82" s="560"/>
      <c r="H82" s="560"/>
      <c r="I82" s="560"/>
      <c r="J82" s="561"/>
      <c r="K82" s="561"/>
      <c r="L82" s="562"/>
      <c r="M82" s="86"/>
      <c r="N82" s="87"/>
      <c r="O82" s="87"/>
      <c r="P82" s="259"/>
      <c r="Q82" s="259"/>
      <c r="R82" s="259"/>
      <c r="S82" s="259"/>
      <c r="T82" s="259"/>
      <c r="U82" s="87"/>
      <c r="V82" s="87"/>
      <c r="W82" s="259"/>
      <c r="X82" s="259"/>
      <c r="Y82" s="259"/>
      <c r="Z82" s="259"/>
      <c r="AA82" s="259"/>
      <c r="AB82" s="87"/>
      <c r="AC82" s="87"/>
      <c r="AD82" s="259"/>
      <c r="AE82" s="259"/>
      <c r="AF82" s="259"/>
      <c r="AG82" s="259"/>
      <c r="AH82" s="259"/>
      <c r="AI82" s="87"/>
      <c r="AJ82" s="87"/>
      <c r="AK82" s="259"/>
      <c r="AL82" s="87"/>
      <c r="AM82" s="259"/>
      <c r="AN82" s="259"/>
      <c r="AO82" s="259"/>
      <c r="AP82" s="87"/>
      <c r="AQ82" s="90"/>
      <c r="AS82" s="43">
        <f t="shared" si="21"/>
        <v>0</v>
      </c>
      <c r="AT82" s="43">
        <f t="shared" si="21"/>
        <v>0</v>
      </c>
      <c r="AU82" s="43">
        <f t="shared" si="21"/>
        <v>0</v>
      </c>
      <c r="AV82" s="43">
        <f t="shared" si="21"/>
        <v>0</v>
      </c>
      <c r="AW82" s="43">
        <f t="shared" si="21"/>
        <v>0</v>
      </c>
      <c r="AX82" s="43">
        <f t="shared" si="21"/>
        <v>0</v>
      </c>
      <c r="AY82" s="43">
        <f t="shared" si="21"/>
        <v>0</v>
      </c>
      <c r="AZ82" s="43">
        <f t="shared" si="21"/>
        <v>0</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0</v>
      </c>
      <c r="BO82" s="43">
        <f t="shared" si="20"/>
        <v>0</v>
      </c>
      <c r="BP82" s="43">
        <f t="shared" si="20"/>
        <v>0</v>
      </c>
      <c r="BQ82" s="43">
        <f t="shared" si="20"/>
        <v>0</v>
      </c>
    </row>
    <row r="83" spans="3:69" ht="20.100000000000001" customHeight="1">
      <c r="C83" s="557"/>
      <c r="D83" s="558"/>
      <c r="E83" s="559"/>
      <c r="F83" s="560"/>
      <c r="G83" s="560"/>
      <c r="H83" s="560"/>
      <c r="I83" s="560"/>
      <c r="J83" s="561"/>
      <c r="K83" s="561"/>
      <c r="L83" s="562"/>
      <c r="M83" s="86"/>
      <c r="N83" s="87"/>
      <c r="O83" s="87"/>
      <c r="P83" s="259"/>
      <c r="Q83" s="259"/>
      <c r="R83" s="259"/>
      <c r="S83" s="259"/>
      <c r="T83" s="259"/>
      <c r="U83" s="87"/>
      <c r="V83" s="87"/>
      <c r="W83" s="259"/>
      <c r="X83" s="259"/>
      <c r="Y83" s="259"/>
      <c r="Z83" s="259"/>
      <c r="AA83" s="259"/>
      <c r="AB83" s="87"/>
      <c r="AC83" s="87"/>
      <c r="AD83" s="259"/>
      <c r="AE83" s="259"/>
      <c r="AF83" s="259"/>
      <c r="AG83" s="259"/>
      <c r="AH83" s="259"/>
      <c r="AI83" s="87"/>
      <c r="AJ83" s="87"/>
      <c r="AK83" s="259"/>
      <c r="AL83" s="87"/>
      <c r="AM83" s="259"/>
      <c r="AN83" s="259"/>
      <c r="AO83" s="259"/>
      <c r="AP83" s="87"/>
      <c r="AQ83" s="90"/>
      <c r="AS83" s="43">
        <f t="shared" si="21"/>
        <v>0</v>
      </c>
      <c r="AT83" s="43">
        <f t="shared" si="21"/>
        <v>0</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0</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0</v>
      </c>
      <c r="BO83" s="43">
        <f t="shared" si="24"/>
        <v>0</v>
      </c>
      <c r="BP83" s="43">
        <f t="shared" si="24"/>
        <v>0</v>
      </c>
      <c r="BQ83" s="43">
        <f t="shared" si="24"/>
        <v>0</v>
      </c>
    </row>
    <row r="84" spans="3:69" ht="20.100000000000001" customHeight="1">
      <c r="C84" s="557"/>
      <c r="D84" s="558"/>
      <c r="E84" s="559"/>
      <c r="F84" s="560"/>
      <c r="G84" s="560"/>
      <c r="H84" s="560"/>
      <c r="I84" s="560"/>
      <c r="J84" s="561"/>
      <c r="K84" s="561"/>
      <c r="L84" s="562"/>
      <c r="M84" s="86"/>
      <c r="N84" s="87"/>
      <c r="O84" s="87"/>
      <c r="P84" s="259"/>
      <c r="Q84" s="259"/>
      <c r="R84" s="259"/>
      <c r="S84" s="259"/>
      <c r="T84" s="259"/>
      <c r="U84" s="87"/>
      <c r="V84" s="87"/>
      <c r="W84" s="259"/>
      <c r="X84" s="259"/>
      <c r="Y84" s="259"/>
      <c r="Z84" s="259"/>
      <c r="AA84" s="259"/>
      <c r="AB84" s="87"/>
      <c r="AC84" s="87"/>
      <c r="AD84" s="259"/>
      <c r="AE84" s="259"/>
      <c r="AF84" s="259"/>
      <c r="AG84" s="259"/>
      <c r="AH84" s="259"/>
      <c r="AI84" s="87"/>
      <c r="AJ84" s="87"/>
      <c r="AK84" s="259"/>
      <c r="AL84" s="87"/>
      <c r="AM84" s="259"/>
      <c r="AN84" s="259"/>
      <c r="AO84" s="259"/>
      <c r="AP84" s="87"/>
      <c r="AQ84" s="90"/>
      <c r="AS84" s="43">
        <f t="shared" ref="AS84:BH99" si="25">COUNTIFS($M84:$AQ84,AS$2)</f>
        <v>0</v>
      </c>
      <c r="AT84" s="43">
        <f t="shared" si="25"/>
        <v>0</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0</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0</v>
      </c>
      <c r="BO84" s="43">
        <f t="shared" si="24"/>
        <v>0</v>
      </c>
      <c r="BP84" s="43">
        <f t="shared" si="24"/>
        <v>0</v>
      </c>
      <c r="BQ84" s="43">
        <f t="shared" si="24"/>
        <v>0</v>
      </c>
    </row>
    <row r="85" spans="3:69" ht="20.100000000000001" customHeight="1">
      <c r="C85" s="557"/>
      <c r="D85" s="558"/>
      <c r="E85" s="559"/>
      <c r="F85" s="560"/>
      <c r="G85" s="560"/>
      <c r="H85" s="560"/>
      <c r="I85" s="560"/>
      <c r="J85" s="561"/>
      <c r="K85" s="561"/>
      <c r="L85" s="562"/>
      <c r="M85" s="86"/>
      <c r="N85" s="87"/>
      <c r="O85" s="87"/>
      <c r="P85" s="259"/>
      <c r="Q85" s="259"/>
      <c r="R85" s="259"/>
      <c r="S85" s="259"/>
      <c r="T85" s="259"/>
      <c r="U85" s="87"/>
      <c r="V85" s="87"/>
      <c r="W85" s="259"/>
      <c r="X85" s="259"/>
      <c r="Y85" s="259"/>
      <c r="Z85" s="259"/>
      <c r="AA85" s="259"/>
      <c r="AB85" s="87"/>
      <c r="AC85" s="87"/>
      <c r="AD85" s="259"/>
      <c r="AE85" s="259"/>
      <c r="AF85" s="259"/>
      <c r="AG85" s="259"/>
      <c r="AH85" s="259"/>
      <c r="AI85" s="87"/>
      <c r="AJ85" s="87"/>
      <c r="AK85" s="259"/>
      <c r="AL85" s="87"/>
      <c r="AM85" s="259"/>
      <c r="AN85" s="259"/>
      <c r="AO85" s="259"/>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563"/>
      <c r="D86" s="564"/>
      <c r="E86" s="565"/>
      <c r="F86" s="566"/>
      <c r="G86" s="566"/>
      <c r="H86" s="566"/>
      <c r="I86" s="566"/>
      <c r="J86" s="567"/>
      <c r="K86" s="567"/>
      <c r="L86" s="568"/>
      <c r="M86" s="88"/>
      <c r="N86" s="77"/>
      <c r="O86" s="77"/>
      <c r="P86" s="263"/>
      <c r="Q86" s="263"/>
      <c r="R86" s="263"/>
      <c r="S86" s="263"/>
      <c r="T86" s="263"/>
      <c r="U86" s="77"/>
      <c r="V86" s="77"/>
      <c r="W86" s="263"/>
      <c r="X86" s="263"/>
      <c r="Y86" s="263"/>
      <c r="Z86" s="263"/>
      <c r="AA86" s="263"/>
      <c r="AB86" s="77"/>
      <c r="AC86" s="77"/>
      <c r="AD86" s="263"/>
      <c r="AE86" s="263"/>
      <c r="AF86" s="263"/>
      <c r="AG86" s="263"/>
      <c r="AH86" s="263"/>
      <c r="AI86" s="77"/>
      <c r="AJ86" s="77"/>
      <c r="AK86" s="263"/>
      <c r="AL86" s="77"/>
      <c r="AM86" s="263"/>
      <c r="AN86" s="263"/>
      <c r="AO86" s="263"/>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0</v>
      </c>
      <c r="BD87" s="43">
        <f t="shared" si="25"/>
        <v>25</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73" t="str">
        <f ca="1">Lists!F6</f>
        <v>Czerwiec</v>
      </c>
      <c r="D88" s="574"/>
      <c r="E88" s="574"/>
      <c r="F88" s="574"/>
      <c r="G88" s="575"/>
    </row>
    <row r="89" spans="3:69" ht="20.100000000000001" customHeight="1" thickBot="1">
      <c r="C89" s="576"/>
      <c r="D89" s="577"/>
      <c r="E89" s="577"/>
      <c r="F89" s="577"/>
      <c r="G89" s="578"/>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436" t="str">
        <f ca="1">INDIRECT("T!"&amp;T!A1&amp;"33")</f>
        <v>Etat</v>
      </c>
      <c r="D92" s="437"/>
      <c r="E92" s="430" t="s">
        <v>6</v>
      </c>
      <c r="F92" s="431"/>
      <c r="G92" s="431"/>
      <c r="H92" s="431"/>
      <c r="I92" s="431"/>
      <c r="J92" s="424" t="str">
        <f ca="1">INDIRECT("T!"&amp;T!A1&amp;"34")</f>
        <v>Pozycja</v>
      </c>
      <c r="K92" s="424"/>
      <c r="L92" s="583"/>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79"/>
      <c r="D93" s="580"/>
      <c r="E93" s="581"/>
      <c r="F93" s="582"/>
      <c r="G93" s="582"/>
      <c r="H93" s="582"/>
      <c r="I93" s="582"/>
      <c r="J93" s="427"/>
      <c r="K93" s="427"/>
      <c r="L93" s="584"/>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557"/>
      <c r="D94" s="558"/>
      <c r="E94" s="569"/>
      <c r="F94" s="570"/>
      <c r="G94" s="570"/>
      <c r="H94" s="570"/>
      <c r="I94" s="570"/>
      <c r="J94" s="571"/>
      <c r="K94" s="571"/>
      <c r="L94" s="572"/>
      <c r="M94" s="84"/>
      <c r="N94" s="261"/>
      <c r="O94" s="261"/>
      <c r="P94" s="85"/>
      <c r="Q94" s="261"/>
      <c r="R94" s="85"/>
      <c r="S94" s="85"/>
      <c r="T94" s="261"/>
      <c r="U94" s="261"/>
      <c r="V94" s="261"/>
      <c r="W94" s="261"/>
      <c r="X94" s="261"/>
      <c r="Y94" s="85"/>
      <c r="Z94" s="85"/>
      <c r="AA94" s="261"/>
      <c r="AB94" s="261"/>
      <c r="AC94" s="261"/>
      <c r="AD94" s="261"/>
      <c r="AE94" s="261"/>
      <c r="AF94" s="85"/>
      <c r="AG94" s="85"/>
      <c r="AH94" s="261"/>
      <c r="AI94" s="85"/>
      <c r="AJ94" s="261"/>
      <c r="AK94" s="261"/>
      <c r="AL94" s="261"/>
      <c r="AM94" s="85"/>
      <c r="AN94" s="85"/>
      <c r="AO94" s="261"/>
      <c r="AP94" s="261"/>
      <c r="AQ94" s="183"/>
      <c r="AS94" s="43">
        <f t="shared" si="25"/>
        <v>0</v>
      </c>
      <c r="AT94" s="43">
        <f t="shared" si="25"/>
        <v>0</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0</v>
      </c>
      <c r="BK94" s="43">
        <f t="shared" si="24"/>
        <v>0</v>
      </c>
      <c r="BL94" s="43">
        <f t="shared" si="24"/>
        <v>0</v>
      </c>
      <c r="BM94" s="43">
        <f t="shared" si="24"/>
        <v>0</v>
      </c>
      <c r="BN94" s="43">
        <f t="shared" si="24"/>
        <v>0</v>
      </c>
      <c r="BO94" s="43">
        <f t="shared" si="24"/>
        <v>0</v>
      </c>
      <c r="BP94" s="43">
        <f t="shared" si="24"/>
        <v>0</v>
      </c>
      <c r="BQ94" s="43">
        <f t="shared" si="24"/>
        <v>0</v>
      </c>
    </row>
    <row r="95" spans="3:69" ht="20.100000000000001" customHeight="1">
      <c r="C95" s="557"/>
      <c r="D95" s="558"/>
      <c r="E95" s="559"/>
      <c r="F95" s="560"/>
      <c r="G95" s="560"/>
      <c r="H95" s="560"/>
      <c r="I95" s="560"/>
      <c r="J95" s="561"/>
      <c r="K95" s="561"/>
      <c r="L95" s="562"/>
      <c r="M95" s="86"/>
      <c r="N95" s="259"/>
      <c r="O95" s="259"/>
      <c r="P95" s="87"/>
      <c r="Q95" s="259"/>
      <c r="R95" s="87"/>
      <c r="S95" s="87"/>
      <c r="T95" s="259"/>
      <c r="U95" s="259"/>
      <c r="V95" s="259"/>
      <c r="W95" s="259"/>
      <c r="X95" s="259"/>
      <c r="Y95" s="87"/>
      <c r="Z95" s="87"/>
      <c r="AA95" s="259"/>
      <c r="AB95" s="259"/>
      <c r="AC95" s="259"/>
      <c r="AD95" s="259"/>
      <c r="AE95" s="259"/>
      <c r="AF95" s="87"/>
      <c r="AG95" s="87"/>
      <c r="AH95" s="259"/>
      <c r="AI95" s="87"/>
      <c r="AJ95" s="259"/>
      <c r="AK95" s="259"/>
      <c r="AL95" s="259"/>
      <c r="AM95" s="87"/>
      <c r="AN95" s="87"/>
      <c r="AO95" s="259"/>
      <c r="AP95" s="259"/>
      <c r="AQ95" s="184"/>
      <c r="AS95" s="43">
        <f t="shared" si="25"/>
        <v>0</v>
      </c>
      <c r="AT95" s="43">
        <f t="shared" si="25"/>
        <v>0</v>
      </c>
      <c r="AU95" s="43">
        <f t="shared" si="25"/>
        <v>0</v>
      </c>
      <c r="AV95" s="43">
        <f t="shared" si="25"/>
        <v>0</v>
      </c>
      <c r="AW95" s="43">
        <f t="shared" si="25"/>
        <v>0</v>
      </c>
      <c r="AX95" s="43">
        <f t="shared" si="25"/>
        <v>0</v>
      </c>
      <c r="AY95" s="43">
        <f t="shared" si="25"/>
        <v>0</v>
      </c>
      <c r="AZ95" s="43">
        <f t="shared" si="25"/>
        <v>0</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0</v>
      </c>
      <c r="BK95" s="43">
        <f t="shared" si="24"/>
        <v>0</v>
      </c>
      <c r="BL95" s="43">
        <f t="shared" si="24"/>
        <v>0</v>
      </c>
      <c r="BM95" s="43">
        <f t="shared" si="24"/>
        <v>0</v>
      </c>
      <c r="BN95" s="43">
        <f t="shared" si="24"/>
        <v>0</v>
      </c>
      <c r="BO95" s="43">
        <f t="shared" si="24"/>
        <v>0</v>
      </c>
      <c r="BP95" s="43">
        <f t="shared" si="24"/>
        <v>0</v>
      </c>
      <c r="BQ95" s="43">
        <f t="shared" si="24"/>
        <v>0</v>
      </c>
    </row>
    <row r="96" spans="3:69" ht="20.100000000000001" customHeight="1">
      <c r="C96" s="557"/>
      <c r="D96" s="558"/>
      <c r="E96" s="559"/>
      <c r="F96" s="560"/>
      <c r="G96" s="560"/>
      <c r="H96" s="560"/>
      <c r="I96" s="560"/>
      <c r="J96" s="561"/>
      <c r="K96" s="561"/>
      <c r="L96" s="562"/>
      <c r="M96" s="86"/>
      <c r="N96" s="259"/>
      <c r="O96" s="259"/>
      <c r="P96" s="87"/>
      <c r="Q96" s="259"/>
      <c r="R96" s="87"/>
      <c r="S96" s="87"/>
      <c r="T96" s="259"/>
      <c r="U96" s="259"/>
      <c r="V96" s="259"/>
      <c r="W96" s="259"/>
      <c r="X96" s="259"/>
      <c r="Y96" s="87"/>
      <c r="Z96" s="87"/>
      <c r="AA96" s="259"/>
      <c r="AB96" s="259"/>
      <c r="AC96" s="259"/>
      <c r="AD96" s="259"/>
      <c r="AE96" s="259"/>
      <c r="AF96" s="87"/>
      <c r="AG96" s="87"/>
      <c r="AH96" s="259"/>
      <c r="AI96" s="87"/>
      <c r="AJ96" s="259"/>
      <c r="AK96" s="259"/>
      <c r="AL96" s="259"/>
      <c r="AM96" s="87"/>
      <c r="AN96" s="87"/>
      <c r="AO96" s="259"/>
      <c r="AP96" s="259"/>
      <c r="AQ96" s="184"/>
      <c r="AS96" s="43">
        <f t="shared" si="25"/>
        <v>0</v>
      </c>
      <c r="AT96" s="43">
        <f t="shared" si="25"/>
        <v>0</v>
      </c>
      <c r="AU96" s="43">
        <f t="shared" si="25"/>
        <v>0</v>
      </c>
      <c r="AV96" s="43">
        <f t="shared" si="25"/>
        <v>0</v>
      </c>
      <c r="AW96" s="43">
        <f t="shared" si="25"/>
        <v>0</v>
      </c>
      <c r="AX96" s="43">
        <f t="shared" si="25"/>
        <v>0</v>
      </c>
      <c r="AY96" s="43">
        <f t="shared" si="25"/>
        <v>0</v>
      </c>
      <c r="AZ96" s="43">
        <f t="shared" si="25"/>
        <v>0</v>
      </c>
      <c r="BA96" s="43">
        <f t="shared" si="25"/>
        <v>0</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0</v>
      </c>
      <c r="BK96" s="43">
        <f t="shared" si="24"/>
        <v>0</v>
      </c>
      <c r="BL96" s="43">
        <f t="shared" si="24"/>
        <v>0</v>
      </c>
      <c r="BM96" s="43">
        <f t="shared" si="24"/>
        <v>0</v>
      </c>
      <c r="BN96" s="43">
        <f t="shared" si="24"/>
        <v>0</v>
      </c>
      <c r="BO96" s="43">
        <f t="shared" si="24"/>
        <v>0</v>
      </c>
      <c r="BP96" s="43">
        <f t="shared" si="24"/>
        <v>0</v>
      </c>
      <c r="BQ96" s="43">
        <f t="shared" si="24"/>
        <v>0</v>
      </c>
    </row>
    <row r="97" spans="3:69" ht="20.100000000000001" customHeight="1">
      <c r="C97" s="557"/>
      <c r="D97" s="558"/>
      <c r="E97" s="559"/>
      <c r="F97" s="560"/>
      <c r="G97" s="560"/>
      <c r="H97" s="560"/>
      <c r="I97" s="560"/>
      <c r="J97" s="561"/>
      <c r="K97" s="561"/>
      <c r="L97" s="562"/>
      <c r="M97" s="86"/>
      <c r="N97" s="259"/>
      <c r="O97" s="259"/>
      <c r="P97" s="87"/>
      <c r="Q97" s="259"/>
      <c r="R97" s="87"/>
      <c r="S97" s="87"/>
      <c r="T97" s="259"/>
      <c r="U97" s="259"/>
      <c r="V97" s="259"/>
      <c r="W97" s="259"/>
      <c r="X97" s="259"/>
      <c r="Y97" s="87"/>
      <c r="Z97" s="87"/>
      <c r="AA97" s="259"/>
      <c r="AB97" s="259"/>
      <c r="AC97" s="259"/>
      <c r="AD97" s="259"/>
      <c r="AE97" s="259"/>
      <c r="AF97" s="87"/>
      <c r="AG97" s="87"/>
      <c r="AH97" s="259"/>
      <c r="AI97" s="87"/>
      <c r="AJ97" s="259"/>
      <c r="AK97" s="259"/>
      <c r="AL97" s="259"/>
      <c r="AM97" s="87"/>
      <c r="AN97" s="87"/>
      <c r="AO97" s="259"/>
      <c r="AP97" s="259"/>
      <c r="AQ97" s="184"/>
      <c r="AS97" s="43">
        <f t="shared" si="25"/>
        <v>0</v>
      </c>
      <c r="AT97" s="43">
        <f t="shared" si="25"/>
        <v>0</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0</v>
      </c>
      <c r="BO97" s="43">
        <f t="shared" si="24"/>
        <v>0</v>
      </c>
      <c r="BP97" s="43">
        <f t="shared" si="24"/>
        <v>0</v>
      </c>
      <c r="BQ97" s="43">
        <f t="shared" si="24"/>
        <v>0</v>
      </c>
    </row>
    <row r="98" spans="3:69" ht="20.100000000000001" customHeight="1">
      <c r="C98" s="557"/>
      <c r="D98" s="558"/>
      <c r="E98" s="559"/>
      <c r="F98" s="560"/>
      <c r="G98" s="560"/>
      <c r="H98" s="560"/>
      <c r="I98" s="560"/>
      <c r="J98" s="561"/>
      <c r="K98" s="561"/>
      <c r="L98" s="562"/>
      <c r="M98" s="86"/>
      <c r="N98" s="259"/>
      <c r="O98" s="259"/>
      <c r="P98" s="87"/>
      <c r="Q98" s="259"/>
      <c r="R98" s="87"/>
      <c r="S98" s="87"/>
      <c r="T98" s="259"/>
      <c r="U98" s="259"/>
      <c r="V98" s="259"/>
      <c r="W98" s="259"/>
      <c r="X98" s="259"/>
      <c r="Y98" s="87"/>
      <c r="Z98" s="87"/>
      <c r="AA98" s="259"/>
      <c r="AB98" s="259"/>
      <c r="AC98" s="259"/>
      <c r="AD98" s="259"/>
      <c r="AE98" s="259"/>
      <c r="AF98" s="87"/>
      <c r="AG98" s="87"/>
      <c r="AH98" s="259"/>
      <c r="AI98" s="87"/>
      <c r="AJ98" s="259"/>
      <c r="AK98" s="259"/>
      <c r="AL98" s="259"/>
      <c r="AM98" s="87"/>
      <c r="AN98" s="87"/>
      <c r="AO98" s="259"/>
      <c r="AP98" s="259"/>
      <c r="AQ98" s="184"/>
      <c r="AS98" s="43">
        <f t="shared" si="25"/>
        <v>0</v>
      </c>
      <c r="AT98" s="43">
        <f t="shared" si="25"/>
        <v>0</v>
      </c>
      <c r="AU98" s="43">
        <f t="shared" si="25"/>
        <v>0</v>
      </c>
      <c r="AV98" s="43">
        <f t="shared" si="25"/>
        <v>0</v>
      </c>
      <c r="AW98" s="43">
        <f t="shared" si="25"/>
        <v>0</v>
      </c>
      <c r="AX98" s="43">
        <f t="shared" si="25"/>
        <v>0</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0</v>
      </c>
      <c r="BK98" s="43">
        <f t="shared" si="24"/>
        <v>0</v>
      </c>
      <c r="BL98" s="43">
        <f t="shared" si="24"/>
        <v>0</v>
      </c>
      <c r="BM98" s="43">
        <f t="shared" si="24"/>
        <v>0</v>
      </c>
      <c r="BN98" s="43">
        <f t="shared" si="24"/>
        <v>0</v>
      </c>
      <c r="BO98" s="43">
        <f t="shared" si="24"/>
        <v>0</v>
      </c>
      <c r="BP98" s="43">
        <f t="shared" si="24"/>
        <v>0</v>
      </c>
      <c r="BQ98" s="43">
        <f t="shared" si="24"/>
        <v>0</v>
      </c>
    </row>
    <row r="99" spans="3:69" ht="20.100000000000001" customHeight="1">
      <c r="C99" s="557"/>
      <c r="D99" s="558"/>
      <c r="E99" s="559"/>
      <c r="F99" s="560"/>
      <c r="G99" s="560"/>
      <c r="H99" s="560"/>
      <c r="I99" s="560"/>
      <c r="J99" s="561"/>
      <c r="K99" s="561"/>
      <c r="L99" s="562"/>
      <c r="M99" s="86"/>
      <c r="N99" s="259"/>
      <c r="O99" s="259"/>
      <c r="P99" s="87"/>
      <c r="Q99" s="259"/>
      <c r="R99" s="87"/>
      <c r="S99" s="87"/>
      <c r="T99" s="259"/>
      <c r="U99" s="259"/>
      <c r="V99" s="259"/>
      <c r="W99" s="259"/>
      <c r="X99" s="259"/>
      <c r="Y99" s="87"/>
      <c r="Z99" s="87"/>
      <c r="AA99" s="259"/>
      <c r="AB99" s="259"/>
      <c r="AC99" s="259"/>
      <c r="AD99" s="259"/>
      <c r="AE99" s="259"/>
      <c r="AF99" s="87"/>
      <c r="AG99" s="87"/>
      <c r="AH99" s="259"/>
      <c r="AI99" s="87"/>
      <c r="AJ99" s="259"/>
      <c r="AK99" s="259"/>
      <c r="AL99" s="259"/>
      <c r="AM99" s="87"/>
      <c r="AN99" s="87"/>
      <c r="AO99" s="259"/>
      <c r="AP99" s="259"/>
      <c r="AQ99" s="184"/>
      <c r="AS99" s="43">
        <f t="shared" si="25"/>
        <v>0</v>
      </c>
      <c r="AT99" s="43">
        <f t="shared" si="25"/>
        <v>0</v>
      </c>
      <c r="AU99" s="43">
        <f t="shared" si="25"/>
        <v>0</v>
      </c>
      <c r="AV99" s="43">
        <f t="shared" si="25"/>
        <v>0</v>
      </c>
      <c r="AW99" s="43">
        <f t="shared" si="25"/>
        <v>0</v>
      </c>
      <c r="AX99" s="43">
        <f t="shared" si="25"/>
        <v>0</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0</v>
      </c>
      <c r="BO99" s="43">
        <f t="shared" si="28"/>
        <v>0</v>
      </c>
      <c r="BP99" s="43">
        <f t="shared" si="28"/>
        <v>0</v>
      </c>
      <c r="BQ99" s="43">
        <f t="shared" si="28"/>
        <v>0</v>
      </c>
    </row>
    <row r="100" spans="3:69" ht="20.100000000000001" customHeight="1">
      <c r="C100" s="557"/>
      <c r="D100" s="558"/>
      <c r="E100" s="559"/>
      <c r="F100" s="560"/>
      <c r="G100" s="560"/>
      <c r="H100" s="560"/>
      <c r="I100" s="560"/>
      <c r="J100" s="561"/>
      <c r="K100" s="561"/>
      <c r="L100" s="562"/>
      <c r="M100" s="86"/>
      <c r="N100" s="259"/>
      <c r="O100" s="259"/>
      <c r="P100" s="87"/>
      <c r="Q100" s="259"/>
      <c r="R100" s="87"/>
      <c r="S100" s="87"/>
      <c r="T100" s="259"/>
      <c r="U100" s="259"/>
      <c r="V100" s="259"/>
      <c r="W100" s="259"/>
      <c r="X100" s="259"/>
      <c r="Y100" s="87"/>
      <c r="Z100" s="87"/>
      <c r="AA100" s="259"/>
      <c r="AB100" s="259"/>
      <c r="AC100" s="259"/>
      <c r="AD100" s="259"/>
      <c r="AE100" s="259"/>
      <c r="AF100" s="87"/>
      <c r="AG100" s="87"/>
      <c r="AH100" s="259"/>
      <c r="AI100" s="87"/>
      <c r="AJ100" s="259"/>
      <c r="AK100" s="259"/>
      <c r="AL100" s="259"/>
      <c r="AM100" s="87"/>
      <c r="AN100" s="87"/>
      <c r="AO100" s="259"/>
      <c r="AP100" s="259"/>
      <c r="AQ100" s="184"/>
      <c r="AS100" s="43">
        <f t="shared" ref="AS100:BH115" si="29">COUNTIFS($M100:$AQ100,AS$2)</f>
        <v>0</v>
      </c>
      <c r="AT100" s="43">
        <f t="shared" si="29"/>
        <v>0</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0</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0</v>
      </c>
      <c r="BO100" s="43">
        <f t="shared" si="28"/>
        <v>0</v>
      </c>
      <c r="BP100" s="43">
        <f t="shared" si="28"/>
        <v>0</v>
      </c>
      <c r="BQ100" s="43">
        <f t="shared" si="28"/>
        <v>0</v>
      </c>
    </row>
    <row r="101" spans="3:69" ht="20.100000000000001" customHeight="1">
      <c r="C101" s="557"/>
      <c r="D101" s="558"/>
      <c r="E101" s="559"/>
      <c r="F101" s="560"/>
      <c r="G101" s="560"/>
      <c r="H101" s="560"/>
      <c r="I101" s="560"/>
      <c r="J101" s="561"/>
      <c r="K101" s="561"/>
      <c r="L101" s="562"/>
      <c r="M101" s="86"/>
      <c r="N101" s="259"/>
      <c r="O101" s="259"/>
      <c r="P101" s="87"/>
      <c r="Q101" s="259"/>
      <c r="R101" s="87"/>
      <c r="S101" s="87"/>
      <c r="T101" s="259"/>
      <c r="U101" s="259"/>
      <c r="V101" s="259"/>
      <c r="W101" s="259"/>
      <c r="X101" s="259"/>
      <c r="Y101" s="87"/>
      <c r="Z101" s="87"/>
      <c r="AA101" s="259"/>
      <c r="AB101" s="259"/>
      <c r="AC101" s="259"/>
      <c r="AD101" s="259"/>
      <c r="AE101" s="259"/>
      <c r="AF101" s="87"/>
      <c r="AG101" s="87"/>
      <c r="AH101" s="259"/>
      <c r="AI101" s="87"/>
      <c r="AJ101" s="259"/>
      <c r="AK101" s="259"/>
      <c r="AL101" s="259"/>
      <c r="AM101" s="87"/>
      <c r="AN101" s="87"/>
      <c r="AO101" s="259"/>
      <c r="AP101" s="259"/>
      <c r="AQ101" s="184"/>
      <c r="AS101" s="43">
        <f t="shared" si="29"/>
        <v>0</v>
      </c>
      <c r="AT101" s="43">
        <f t="shared" si="29"/>
        <v>0</v>
      </c>
      <c r="AU101" s="43">
        <f t="shared" si="29"/>
        <v>0</v>
      </c>
      <c r="AV101" s="43">
        <f t="shared" si="29"/>
        <v>0</v>
      </c>
      <c r="AW101" s="43">
        <f t="shared" si="29"/>
        <v>0</v>
      </c>
      <c r="AX101" s="43">
        <f t="shared" si="29"/>
        <v>0</v>
      </c>
      <c r="AY101" s="43">
        <f t="shared" si="29"/>
        <v>0</v>
      </c>
      <c r="AZ101" s="43">
        <f t="shared" si="29"/>
        <v>0</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0</v>
      </c>
      <c r="BK101" s="43">
        <f t="shared" si="28"/>
        <v>0</v>
      </c>
      <c r="BL101" s="43">
        <f t="shared" si="28"/>
        <v>0</v>
      </c>
      <c r="BM101" s="43">
        <f t="shared" si="28"/>
        <v>0</v>
      </c>
      <c r="BN101" s="43">
        <f t="shared" si="28"/>
        <v>0</v>
      </c>
      <c r="BO101" s="43">
        <f t="shared" si="28"/>
        <v>0</v>
      </c>
      <c r="BP101" s="43">
        <f t="shared" si="28"/>
        <v>0</v>
      </c>
      <c r="BQ101" s="43">
        <f t="shared" si="28"/>
        <v>0</v>
      </c>
    </row>
    <row r="102" spans="3:69" ht="20.100000000000001" customHeight="1">
      <c r="C102" s="557"/>
      <c r="D102" s="558"/>
      <c r="E102" s="559"/>
      <c r="F102" s="560"/>
      <c r="G102" s="560"/>
      <c r="H102" s="560"/>
      <c r="I102" s="560"/>
      <c r="J102" s="561"/>
      <c r="K102" s="561"/>
      <c r="L102" s="562"/>
      <c r="M102" s="86"/>
      <c r="N102" s="259"/>
      <c r="O102" s="259"/>
      <c r="P102" s="87"/>
      <c r="Q102" s="259"/>
      <c r="R102" s="87"/>
      <c r="S102" s="87"/>
      <c r="T102" s="259"/>
      <c r="U102" s="259"/>
      <c r="V102" s="259"/>
      <c r="W102" s="259"/>
      <c r="X102" s="259"/>
      <c r="Y102" s="87"/>
      <c r="Z102" s="87"/>
      <c r="AA102" s="259"/>
      <c r="AB102" s="259"/>
      <c r="AC102" s="259"/>
      <c r="AD102" s="259"/>
      <c r="AE102" s="259"/>
      <c r="AF102" s="87"/>
      <c r="AG102" s="87"/>
      <c r="AH102" s="259"/>
      <c r="AI102" s="87"/>
      <c r="AJ102" s="259"/>
      <c r="AK102" s="259"/>
      <c r="AL102" s="259"/>
      <c r="AM102" s="87"/>
      <c r="AN102" s="87"/>
      <c r="AO102" s="259"/>
      <c r="AP102" s="259"/>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0</v>
      </c>
      <c r="BO102" s="43">
        <f t="shared" si="28"/>
        <v>0</v>
      </c>
      <c r="BP102" s="43">
        <f t="shared" si="28"/>
        <v>0</v>
      </c>
      <c r="BQ102" s="43">
        <f t="shared" si="28"/>
        <v>0</v>
      </c>
    </row>
    <row r="103" spans="3:69" ht="20.100000000000001" customHeight="1" thickBot="1">
      <c r="C103" s="563"/>
      <c r="D103" s="564"/>
      <c r="E103" s="565"/>
      <c r="F103" s="566"/>
      <c r="G103" s="566"/>
      <c r="H103" s="566"/>
      <c r="I103" s="566"/>
      <c r="J103" s="567"/>
      <c r="K103" s="567"/>
      <c r="L103" s="568"/>
      <c r="M103" s="88"/>
      <c r="N103" s="263"/>
      <c r="O103" s="263"/>
      <c r="P103" s="77"/>
      <c r="Q103" s="263"/>
      <c r="R103" s="77"/>
      <c r="S103" s="77"/>
      <c r="T103" s="263"/>
      <c r="U103" s="263"/>
      <c r="V103" s="263"/>
      <c r="W103" s="263"/>
      <c r="X103" s="263"/>
      <c r="Y103" s="77"/>
      <c r="Z103" s="77"/>
      <c r="AA103" s="263"/>
      <c r="AB103" s="263"/>
      <c r="AC103" s="263"/>
      <c r="AD103" s="263"/>
      <c r="AE103" s="263"/>
      <c r="AF103" s="77"/>
      <c r="AG103" s="77"/>
      <c r="AH103" s="263"/>
      <c r="AI103" s="77"/>
      <c r="AJ103" s="263"/>
      <c r="AK103" s="263"/>
      <c r="AL103" s="263"/>
      <c r="AM103" s="77"/>
      <c r="AN103" s="77"/>
      <c r="AO103" s="263"/>
      <c r="AP103" s="263"/>
      <c r="AQ103" s="185"/>
      <c r="AS103" s="43">
        <f t="shared" si="29"/>
        <v>0</v>
      </c>
      <c r="AT103" s="43">
        <f t="shared" si="29"/>
        <v>0</v>
      </c>
      <c r="AU103" s="43">
        <f t="shared" si="29"/>
        <v>0</v>
      </c>
      <c r="AV103" s="43">
        <f t="shared" si="29"/>
        <v>0</v>
      </c>
      <c r="AW103" s="43">
        <f t="shared" si="29"/>
        <v>0</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0</v>
      </c>
      <c r="BK103" s="43">
        <f t="shared" si="28"/>
        <v>0</v>
      </c>
      <c r="BL103" s="43">
        <f t="shared" si="28"/>
        <v>0</v>
      </c>
      <c r="BM103" s="43">
        <f t="shared" si="28"/>
        <v>0</v>
      </c>
      <c r="BN103" s="43">
        <f t="shared" si="28"/>
        <v>0</v>
      </c>
      <c r="BO103" s="43">
        <f t="shared" si="28"/>
        <v>0</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0</v>
      </c>
      <c r="BD104" s="43">
        <f t="shared" si="29"/>
        <v>27</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73" t="str">
        <f ca="1">Lists!F7</f>
        <v>Lipiec</v>
      </c>
      <c r="D105" s="574"/>
      <c r="E105" s="574"/>
      <c r="F105" s="574"/>
      <c r="G105" s="575"/>
    </row>
    <row r="106" spans="3:69" ht="20.100000000000001" customHeight="1" thickBot="1">
      <c r="C106" s="576"/>
      <c r="D106" s="577"/>
      <c r="E106" s="577"/>
      <c r="F106" s="577"/>
      <c r="G106" s="578"/>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436" t="str">
        <f ca="1">INDIRECT("T!"&amp;T!A1&amp;"33")</f>
        <v>Etat</v>
      </c>
      <c r="D109" s="437"/>
      <c r="E109" s="430" t="s">
        <v>6</v>
      </c>
      <c r="F109" s="431"/>
      <c r="G109" s="431"/>
      <c r="H109" s="431"/>
      <c r="I109" s="431"/>
      <c r="J109" s="424" t="str">
        <f ca="1">INDIRECT("T!"&amp;T!A1&amp;"34")</f>
        <v>Pozycja</v>
      </c>
      <c r="K109" s="424"/>
      <c r="L109" s="583"/>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579"/>
      <c r="D110" s="580"/>
      <c r="E110" s="581"/>
      <c r="F110" s="582"/>
      <c r="G110" s="582"/>
      <c r="H110" s="582"/>
      <c r="I110" s="582"/>
      <c r="J110" s="427"/>
      <c r="K110" s="427"/>
      <c r="L110" s="584"/>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557"/>
      <c r="D111" s="558"/>
      <c r="E111" s="569"/>
      <c r="F111" s="570"/>
      <c r="G111" s="570"/>
      <c r="H111" s="570"/>
      <c r="I111" s="570"/>
      <c r="J111" s="571"/>
      <c r="K111" s="571"/>
      <c r="L111" s="572"/>
      <c r="M111" s="260"/>
      <c r="N111" s="261"/>
      <c r="O111" s="261"/>
      <c r="P111" s="85"/>
      <c r="Q111" s="85"/>
      <c r="R111" s="261"/>
      <c r="S111" s="261"/>
      <c r="T111" s="261"/>
      <c r="U111" s="261"/>
      <c r="V111" s="261"/>
      <c r="W111" s="85"/>
      <c r="X111" s="85"/>
      <c r="Y111" s="261"/>
      <c r="Z111" s="261"/>
      <c r="AA111" s="261"/>
      <c r="AB111" s="261"/>
      <c r="AC111" s="261"/>
      <c r="AD111" s="85"/>
      <c r="AE111" s="85"/>
      <c r="AF111" s="261"/>
      <c r="AG111" s="261"/>
      <c r="AH111" s="261"/>
      <c r="AI111" s="261"/>
      <c r="AJ111" s="261"/>
      <c r="AK111" s="85"/>
      <c r="AL111" s="85"/>
      <c r="AM111" s="261"/>
      <c r="AN111" s="261"/>
      <c r="AO111" s="261"/>
      <c r="AP111" s="261"/>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557"/>
      <c r="D112" s="558"/>
      <c r="E112" s="559"/>
      <c r="F112" s="560"/>
      <c r="G112" s="560"/>
      <c r="H112" s="560"/>
      <c r="I112" s="560"/>
      <c r="J112" s="561"/>
      <c r="K112" s="561"/>
      <c r="L112" s="562"/>
      <c r="M112" s="258"/>
      <c r="N112" s="259"/>
      <c r="O112" s="259"/>
      <c r="P112" s="87"/>
      <c r="Q112" s="87"/>
      <c r="R112" s="259"/>
      <c r="S112" s="259"/>
      <c r="T112" s="259"/>
      <c r="U112" s="259"/>
      <c r="V112" s="259"/>
      <c r="W112" s="87"/>
      <c r="X112" s="87"/>
      <c r="Y112" s="259"/>
      <c r="Z112" s="259"/>
      <c r="AA112" s="259"/>
      <c r="AB112" s="259"/>
      <c r="AC112" s="259"/>
      <c r="AD112" s="87"/>
      <c r="AE112" s="87"/>
      <c r="AF112" s="259"/>
      <c r="AG112" s="259"/>
      <c r="AH112" s="259"/>
      <c r="AI112" s="259"/>
      <c r="AJ112" s="259"/>
      <c r="AK112" s="87"/>
      <c r="AL112" s="87"/>
      <c r="AM112" s="259"/>
      <c r="AN112" s="259"/>
      <c r="AO112" s="259"/>
      <c r="AP112" s="259"/>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557"/>
      <c r="D113" s="558"/>
      <c r="E113" s="559"/>
      <c r="F113" s="560"/>
      <c r="G113" s="560"/>
      <c r="H113" s="560"/>
      <c r="I113" s="560"/>
      <c r="J113" s="561"/>
      <c r="K113" s="561"/>
      <c r="L113" s="562"/>
      <c r="M113" s="258"/>
      <c r="N113" s="259"/>
      <c r="O113" s="259"/>
      <c r="P113" s="87"/>
      <c r="Q113" s="87"/>
      <c r="R113" s="259"/>
      <c r="S113" s="259"/>
      <c r="T113" s="259"/>
      <c r="U113" s="259"/>
      <c r="V113" s="259"/>
      <c r="W113" s="87"/>
      <c r="X113" s="87"/>
      <c r="Y113" s="259"/>
      <c r="Z113" s="259"/>
      <c r="AA113" s="259"/>
      <c r="AB113" s="259"/>
      <c r="AC113" s="259"/>
      <c r="AD113" s="87"/>
      <c r="AE113" s="87"/>
      <c r="AF113" s="259"/>
      <c r="AG113" s="259"/>
      <c r="AH113" s="259"/>
      <c r="AI113" s="259"/>
      <c r="AJ113" s="259"/>
      <c r="AK113" s="87"/>
      <c r="AL113" s="87"/>
      <c r="AM113" s="259"/>
      <c r="AN113" s="259"/>
      <c r="AO113" s="259"/>
      <c r="AP113" s="259"/>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557"/>
      <c r="D114" s="558"/>
      <c r="E114" s="559"/>
      <c r="F114" s="560"/>
      <c r="G114" s="560"/>
      <c r="H114" s="560"/>
      <c r="I114" s="560"/>
      <c r="J114" s="561"/>
      <c r="K114" s="561"/>
      <c r="L114" s="562"/>
      <c r="M114" s="258"/>
      <c r="N114" s="259"/>
      <c r="O114" s="259"/>
      <c r="P114" s="87"/>
      <c r="Q114" s="87"/>
      <c r="R114" s="259"/>
      <c r="S114" s="259"/>
      <c r="T114" s="259"/>
      <c r="U114" s="259"/>
      <c r="V114" s="259"/>
      <c r="W114" s="87"/>
      <c r="X114" s="87"/>
      <c r="Y114" s="259"/>
      <c r="Z114" s="259"/>
      <c r="AA114" s="259"/>
      <c r="AB114" s="259"/>
      <c r="AC114" s="259"/>
      <c r="AD114" s="87"/>
      <c r="AE114" s="87"/>
      <c r="AF114" s="259"/>
      <c r="AG114" s="259"/>
      <c r="AH114" s="259"/>
      <c r="AI114" s="259"/>
      <c r="AJ114" s="259"/>
      <c r="AK114" s="87"/>
      <c r="AL114" s="87"/>
      <c r="AM114" s="259"/>
      <c r="AN114" s="259"/>
      <c r="AO114" s="259"/>
      <c r="AP114" s="259"/>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557"/>
      <c r="D115" s="558"/>
      <c r="E115" s="559"/>
      <c r="F115" s="560"/>
      <c r="G115" s="560"/>
      <c r="H115" s="560"/>
      <c r="I115" s="560"/>
      <c r="J115" s="561"/>
      <c r="K115" s="561"/>
      <c r="L115" s="562"/>
      <c r="M115" s="258"/>
      <c r="N115" s="259"/>
      <c r="O115" s="259"/>
      <c r="P115" s="87"/>
      <c r="Q115" s="87"/>
      <c r="R115" s="259"/>
      <c r="S115" s="259"/>
      <c r="T115" s="259"/>
      <c r="U115" s="259"/>
      <c r="V115" s="259"/>
      <c r="W115" s="87"/>
      <c r="X115" s="87"/>
      <c r="Y115" s="259"/>
      <c r="Z115" s="259"/>
      <c r="AA115" s="259"/>
      <c r="AB115" s="259"/>
      <c r="AC115" s="259"/>
      <c r="AD115" s="87"/>
      <c r="AE115" s="87"/>
      <c r="AF115" s="259"/>
      <c r="AG115" s="259"/>
      <c r="AH115" s="259"/>
      <c r="AI115" s="259"/>
      <c r="AJ115" s="259"/>
      <c r="AK115" s="87"/>
      <c r="AL115" s="87"/>
      <c r="AM115" s="259"/>
      <c r="AN115" s="259"/>
      <c r="AO115" s="259"/>
      <c r="AP115" s="259"/>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557"/>
      <c r="D116" s="558"/>
      <c r="E116" s="559"/>
      <c r="F116" s="560"/>
      <c r="G116" s="560"/>
      <c r="H116" s="560"/>
      <c r="I116" s="560"/>
      <c r="J116" s="561"/>
      <c r="K116" s="561"/>
      <c r="L116" s="562"/>
      <c r="M116" s="258"/>
      <c r="N116" s="259"/>
      <c r="O116" s="259"/>
      <c r="P116" s="87"/>
      <c r="Q116" s="87"/>
      <c r="R116" s="259"/>
      <c r="S116" s="259"/>
      <c r="T116" s="259"/>
      <c r="U116" s="259"/>
      <c r="V116" s="259"/>
      <c r="W116" s="87"/>
      <c r="X116" s="87"/>
      <c r="Y116" s="259"/>
      <c r="Z116" s="259"/>
      <c r="AA116" s="259"/>
      <c r="AB116" s="259"/>
      <c r="AC116" s="259"/>
      <c r="AD116" s="87"/>
      <c r="AE116" s="87"/>
      <c r="AF116" s="259"/>
      <c r="AG116" s="259"/>
      <c r="AH116" s="259"/>
      <c r="AI116" s="259"/>
      <c r="AJ116" s="259"/>
      <c r="AK116" s="87"/>
      <c r="AL116" s="87"/>
      <c r="AM116" s="259"/>
      <c r="AN116" s="259"/>
      <c r="AO116" s="259"/>
      <c r="AP116" s="259"/>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557"/>
      <c r="D117" s="558"/>
      <c r="E117" s="559"/>
      <c r="F117" s="560"/>
      <c r="G117" s="560"/>
      <c r="H117" s="560"/>
      <c r="I117" s="560"/>
      <c r="J117" s="561"/>
      <c r="K117" s="561"/>
      <c r="L117" s="562"/>
      <c r="M117" s="258"/>
      <c r="N117" s="259"/>
      <c r="O117" s="259"/>
      <c r="P117" s="87"/>
      <c r="Q117" s="87"/>
      <c r="R117" s="259"/>
      <c r="S117" s="259"/>
      <c r="T117" s="259"/>
      <c r="U117" s="259"/>
      <c r="V117" s="259"/>
      <c r="W117" s="87"/>
      <c r="X117" s="87"/>
      <c r="Y117" s="259"/>
      <c r="Z117" s="259"/>
      <c r="AA117" s="259"/>
      <c r="AB117" s="259"/>
      <c r="AC117" s="259"/>
      <c r="AD117" s="87"/>
      <c r="AE117" s="87"/>
      <c r="AF117" s="259"/>
      <c r="AG117" s="259"/>
      <c r="AH117" s="259"/>
      <c r="AI117" s="259"/>
      <c r="AJ117" s="259"/>
      <c r="AK117" s="87"/>
      <c r="AL117" s="87"/>
      <c r="AM117" s="259"/>
      <c r="AN117" s="259"/>
      <c r="AO117" s="259"/>
      <c r="AP117" s="259"/>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557"/>
      <c r="D118" s="558"/>
      <c r="E118" s="559"/>
      <c r="F118" s="560"/>
      <c r="G118" s="560"/>
      <c r="H118" s="560"/>
      <c r="I118" s="560"/>
      <c r="J118" s="561"/>
      <c r="K118" s="561"/>
      <c r="L118" s="562"/>
      <c r="M118" s="258"/>
      <c r="N118" s="259"/>
      <c r="O118" s="259"/>
      <c r="P118" s="87"/>
      <c r="Q118" s="87"/>
      <c r="R118" s="259"/>
      <c r="S118" s="259"/>
      <c r="T118" s="259"/>
      <c r="U118" s="259"/>
      <c r="V118" s="259"/>
      <c r="W118" s="87"/>
      <c r="X118" s="87"/>
      <c r="Y118" s="259"/>
      <c r="Z118" s="259"/>
      <c r="AA118" s="259"/>
      <c r="AB118" s="259"/>
      <c r="AC118" s="259"/>
      <c r="AD118" s="87"/>
      <c r="AE118" s="87"/>
      <c r="AF118" s="259"/>
      <c r="AG118" s="259"/>
      <c r="AH118" s="259"/>
      <c r="AI118" s="259"/>
      <c r="AJ118" s="259"/>
      <c r="AK118" s="87"/>
      <c r="AL118" s="87"/>
      <c r="AM118" s="259"/>
      <c r="AN118" s="259"/>
      <c r="AO118" s="259"/>
      <c r="AP118" s="259"/>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557"/>
      <c r="D119" s="558"/>
      <c r="E119" s="559"/>
      <c r="F119" s="560"/>
      <c r="G119" s="560"/>
      <c r="H119" s="560"/>
      <c r="I119" s="560"/>
      <c r="J119" s="561"/>
      <c r="K119" s="561"/>
      <c r="L119" s="562"/>
      <c r="M119" s="258"/>
      <c r="N119" s="259"/>
      <c r="O119" s="259"/>
      <c r="P119" s="87"/>
      <c r="Q119" s="87"/>
      <c r="R119" s="259"/>
      <c r="S119" s="259"/>
      <c r="T119" s="259"/>
      <c r="U119" s="259"/>
      <c r="V119" s="259"/>
      <c r="W119" s="87"/>
      <c r="X119" s="87"/>
      <c r="Y119" s="259"/>
      <c r="Z119" s="259"/>
      <c r="AA119" s="259"/>
      <c r="AB119" s="259"/>
      <c r="AC119" s="259"/>
      <c r="AD119" s="87"/>
      <c r="AE119" s="87"/>
      <c r="AF119" s="259"/>
      <c r="AG119" s="259"/>
      <c r="AH119" s="259"/>
      <c r="AI119" s="259"/>
      <c r="AJ119" s="259"/>
      <c r="AK119" s="87"/>
      <c r="AL119" s="87"/>
      <c r="AM119" s="259"/>
      <c r="AN119" s="259"/>
      <c r="AO119" s="259"/>
      <c r="AP119" s="259"/>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563"/>
      <c r="D120" s="564"/>
      <c r="E120" s="565"/>
      <c r="F120" s="566"/>
      <c r="G120" s="566"/>
      <c r="H120" s="566"/>
      <c r="I120" s="566"/>
      <c r="J120" s="567"/>
      <c r="K120" s="567"/>
      <c r="L120" s="568"/>
      <c r="M120" s="262"/>
      <c r="N120" s="263"/>
      <c r="O120" s="263"/>
      <c r="P120" s="77"/>
      <c r="Q120" s="77"/>
      <c r="R120" s="263"/>
      <c r="S120" s="263"/>
      <c r="T120" s="263"/>
      <c r="U120" s="263"/>
      <c r="V120" s="263"/>
      <c r="W120" s="77"/>
      <c r="X120" s="77"/>
      <c r="Y120" s="263"/>
      <c r="Z120" s="263"/>
      <c r="AA120" s="263"/>
      <c r="AB120" s="263"/>
      <c r="AC120" s="263"/>
      <c r="AD120" s="77"/>
      <c r="AE120" s="77"/>
      <c r="AF120" s="263"/>
      <c r="AG120" s="263"/>
      <c r="AH120" s="263"/>
      <c r="AI120" s="263"/>
      <c r="AJ120" s="263"/>
      <c r="AK120" s="77"/>
      <c r="AL120" s="77"/>
      <c r="AM120" s="263"/>
      <c r="AN120" s="263"/>
      <c r="AO120" s="263"/>
      <c r="AP120" s="263"/>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0</v>
      </c>
      <c r="BD121" s="43">
        <f t="shared" si="33"/>
        <v>31</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73" t="str">
        <f ca="1">Lists!F8</f>
        <v>Sierpień</v>
      </c>
      <c r="D122" s="574"/>
      <c r="E122" s="574"/>
      <c r="F122" s="574"/>
      <c r="G122" s="575"/>
    </row>
    <row r="123" spans="3:69" ht="20.100000000000001" customHeight="1" thickBot="1">
      <c r="C123" s="576"/>
      <c r="D123" s="577"/>
      <c r="E123" s="577"/>
      <c r="F123" s="577"/>
      <c r="G123" s="578"/>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436" t="str">
        <f ca="1">INDIRECT("T!"&amp;T!A1&amp;"33")</f>
        <v>Etat</v>
      </c>
      <c r="D126" s="437"/>
      <c r="E126" s="430" t="s">
        <v>6</v>
      </c>
      <c r="F126" s="431"/>
      <c r="G126" s="431"/>
      <c r="H126" s="431"/>
      <c r="I126" s="431"/>
      <c r="J126" s="424" t="str">
        <f ca="1">INDIRECT("T!"&amp;T!A1&amp;"34")</f>
        <v>Pozycja</v>
      </c>
      <c r="K126" s="424"/>
      <c r="L126" s="583"/>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579"/>
      <c r="D127" s="580"/>
      <c r="E127" s="581"/>
      <c r="F127" s="582"/>
      <c r="G127" s="582"/>
      <c r="H127" s="582"/>
      <c r="I127" s="582"/>
      <c r="J127" s="427"/>
      <c r="K127" s="427"/>
      <c r="L127" s="584"/>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557"/>
      <c r="D128" s="558"/>
      <c r="E128" s="569"/>
      <c r="F128" s="570"/>
      <c r="G128" s="570"/>
      <c r="H128" s="570"/>
      <c r="I128" s="570"/>
      <c r="J128" s="571"/>
      <c r="K128" s="571"/>
      <c r="L128" s="572"/>
      <c r="M128" s="84"/>
      <c r="N128" s="85"/>
      <c r="O128" s="261"/>
      <c r="P128" s="261"/>
      <c r="Q128" s="261"/>
      <c r="R128" s="261"/>
      <c r="S128" s="261"/>
      <c r="T128" s="85"/>
      <c r="U128" s="85"/>
      <c r="V128" s="261"/>
      <c r="W128" s="261"/>
      <c r="X128" s="261"/>
      <c r="Y128" s="261"/>
      <c r="Z128" s="261"/>
      <c r="AA128" s="85"/>
      <c r="AB128" s="85"/>
      <c r="AC128" s="261"/>
      <c r="AD128" s="261"/>
      <c r="AE128" s="261"/>
      <c r="AF128" s="261"/>
      <c r="AG128" s="261"/>
      <c r="AH128" s="85"/>
      <c r="AI128" s="85"/>
      <c r="AJ128" s="261"/>
      <c r="AK128" s="261"/>
      <c r="AL128" s="261"/>
      <c r="AM128" s="261"/>
      <c r="AN128" s="261"/>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557"/>
      <c r="D129" s="558"/>
      <c r="E129" s="559"/>
      <c r="F129" s="560"/>
      <c r="G129" s="560"/>
      <c r="H129" s="560"/>
      <c r="I129" s="560"/>
      <c r="J129" s="561"/>
      <c r="K129" s="561"/>
      <c r="L129" s="562"/>
      <c r="M129" s="86"/>
      <c r="N129" s="87"/>
      <c r="O129" s="259"/>
      <c r="P129" s="259"/>
      <c r="Q129" s="259"/>
      <c r="R129" s="259"/>
      <c r="S129" s="259"/>
      <c r="T129" s="87"/>
      <c r="U129" s="87"/>
      <c r="V129" s="259"/>
      <c r="W129" s="259"/>
      <c r="X129" s="259"/>
      <c r="Y129" s="259"/>
      <c r="Z129" s="259"/>
      <c r="AA129" s="87"/>
      <c r="AB129" s="87"/>
      <c r="AC129" s="259"/>
      <c r="AD129" s="259"/>
      <c r="AE129" s="259"/>
      <c r="AF129" s="259"/>
      <c r="AG129" s="259"/>
      <c r="AH129" s="87"/>
      <c r="AI129" s="87"/>
      <c r="AJ129" s="259"/>
      <c r="AK129" s="259"/>
      <c r="AL129" s="259"/>
      <c r="AM129" s="259"/>
      <c r="AN129" s="259"/>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557"/>
      <c r="D130" s="558"/>
      <c r="E130" s="559"/>
      <c r="F130" s="560"/>
      <c r="G130" s="560"/>
      <c r="H130" s="560"/>
      <c r="I130" s="560"/>
      <c r="J130" s="561"/>
      <c r="K130" s="561"/>
      <c r="L130" s="562"/>
      <c r="M130" s="86"/>
      <c r="N130" s="87"/>
      <c r="O130" s="259"/>
      <c r="P130" s="259"/>
      <c r="Q130" s="259"/>
      <c r="R130" s="259"/>
      <c r="S130" s="259"/>
      <c r="T130" s="87"/>
      <c r="U130" s="87"/>
      <c r="V130" s="259"/>
      <c r="W130" s="259"/>
      <c r="X130" s="259"/>
      <c r="Y130" s="259"/>
      <c r="Z130" s="259"/>
      <c r="AA130" s="87"/>
      <c r="AB130" s="87"/>
      <c r="AC130" s="259"/>
      <c r="AD130" s="259"/>
      <c r="AE130" s="259"/>
      <c r="AF130" s="259"/>
      <c r="AG130" s="259"/>
      <c r="AH130" s="87"/>
      <c r="AI130" s="87"/>
      <c r="AJ130" s="259"/>
      <c r="AK130" s="259"/>
      <c r="AL130" s="259"/>
      <c r="AM130" s="259"/>
      <c r="AN130" s="259"/>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557"/>
      <c r="D131" s="558"/>
      <c r="E131" s="559"/>
      <c r="F131" s="560"/>
      <c r="G131" s="560"/>
      <c r="H131" s="560"/>
      <c r="I131" s="560"/>
      <c r="J131" s="561"/>
      <c r="K131" s="561"/>
      <c r="L131" s="562"/>
      <c r="M131" s="86"/>
      <c r="N131" s="87"/>
      <c r="O131" s="259"/>
      <c r="P131" s="259"/>
      <c r="Q131" s="259"/>
      <c r="R131" s="259"/>
      <c r="S131" s="259"/>
      <c r="T131" s="87"/>
      <c r="U131" s="87"/>
      <c r="V131" s="259"/>
      <c r="W131" s="259"/>
      <c r="X131" s="259"/>
      <c r="Y131" s="259"/>
      <c r="Z131" s="259"/>
      <c r="AA131" s="87"/>
      <c r="AB131" s="87"/>
      <c r="AC131" s="259"/>
      <c r="AD131" s="259"/>
      <c r="AE131" s="259"/>
      <c r="AF131" s="259"/>
      <c r="AG131" s="259"/>
      <c r="AH131" s="87"/>
      <c r="AI131" s="87"/>
      <c r="AJ131" s="259"/>
      <c r="AK131" s="259"/>
      <c r="AL131" s="259"/>
      <c r="AM131" s="259"/>
      <c r="AN131" s="259"/>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557"/>
      <c r="D132" s="558"/>
      <c r="E132" s="559"/>
      <c r="F132" s="560"/>
      <c r="G132" s="560"/>
      <c r="H132" s="560"/>
      <c r="I132" s="560"/>
      <c r="J132" s="561"/>
      <c r="K132" s="561"/>
      <c r="L132" s="562"/>
      <c r="M132" s="86"/>
      <c r="N132" s="87"/>
      <c r="O132" s="259"/>
      <c r="P132" s="259"/>
      <c r="Q132" s="259"/>
      <c r="R132" s="259"/>
      <c r="S132" s="259"/>
      <c r="T132" s="87"/>
      <c r="U132" s="87"/>
      <c r="V132" s="259"/>
      <c r="W132" s="259"/>
      <c r="X132" s="259"/>
      <c r="Y132" s="259"/>
      <c r="Z132" s="259"/>
      <c r="AA132" s="87"/>
      <c r="AB132" s="87"/>
      <c r="AC132" s="259"/>
      <c r="AD132" s="259"/>
      <c r="AE132" s="259"/>
      <c r="AF132" s="259"/>
      <c r="AG132" s="259"/>
      <c r="AH132" s="87"/>
      <c r="AI132" s="87"/>
      <c r="AJ132" s="259"/>
      <c r="AK132" s="259"/>
      <c r="AL132" s="259"/>
      <c r="AM132" s="259"/>
      <c r="AN132" s="259"/>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557"/>
      <c r="D133" s="558"/>
      <c r="E133" s="559"/>
      <c r="F133" s="560"/>
      <c r="G133" s="560"/>
      <c r="H133" s="560"/>
      <c r="I133" s="560"/>
      <c r="J133" s="561"/>
      <c r="K133" s="561"/>
      <c r="L133" s="562"/>
      <c r="M133" s="86"/>
      <c r="N133" s="87"/>
      <c r="O133" s="259"/>
      <c r="P133" s="259"/>
      <c r="Q133" s="259"/>
      <c r="R133" s="259"/>
      <c r="S133" s="259"/>
      <c r="T133" s="87"/>
      <c r="U133" s="87"/>
      <c r="V133" s="259"/>
      <c r="W133" s="259"/>
      <c r="X133" s="259"/>
      <c r="Y133" s="259"/>
      <c r="Z133" s="259"/>
      <c r="AA133" s="87"/>
      <c r="AB133" s="87"/>
      <c r="AC133" s="259"/>
      <c r="AD133" s="259"/>
      <c r="AE133" s="259"/>
      <c r="AF133" s="259"/>
      <c r="AG133" s="259"/>
      <c r="AH133" s="87"/>
      <c r="AI133" s="87"/>
      <c r="AJ133" s="259"/>
      <c r="AK133" s="259"/>
      <c r="AL133" s="259"/>
      <c r="AM133" s="259"/>
      <c r="AN133" s="259"/>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557"/>
      <c r="D134" s="558"/>
      <c r="E134" s="559"/>
      <c r="F134" s="560"/>
      <c r="G134" s="560"/>
      <c r="H134" s="560"/>
      <c r="I134" s="560"/>
      <c r="J134" s="561"/>
      <c r="K134" s="561"/>
      <c r="L134" s="562"/>
      <c r="M134" s="86"/>
      <c r="N134" s="87"/>
      <c r="O134" s="259"/>
      <c r="P134" s="259"/>
      <c r="Q134" s="259"/>
      <c r="R134" s="259"/>
      <c r="S134" s="259"/>
      <c r="T134" s="87"/>
      <c r="U134" s="87"/>
      <c r="V134" s="259"/>
      <c r="W134" s="259"/>
      <c r="X134" s="259"/>
      <c r="Y134" s="259"/>
      <c r="Z134" s="259"/>
      <c r="AA134" s="87"/>
      <c r="AB134" s="87"/>
      <c r="AC134" s="259"/>
      <c r="AD134" s="259"/>
      <c r="AE134" s="259"/>
      <c r="AF134" s="259"/>
      <c r="AG134" s="259"/>
      <c r="AH134" s="87"/>
      <c r="AI134" s="87"/>
      <c r="AJ134" s="259"/>
      <c r="AK134" s="259"/>
      <c r="AL134" s="259"/>
      <c r="AM134" s="259"/>
      <c r="AN134" s="259"/>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557"/>
      <c r="D135" s="558"/>
      <c r="E135" s="559"/>
      <c r="F135" s="560"/>
      <c r="G135" s="560"/>
      <c r="H135" s="560"/>
      <c r="I135" s="560"/>
      <c r="J135" s="561"/>
      <c r="K135" s="561"/>
      <c r="L135" s="562"/>
      <c r="M135" s="86"/>
      <c r="N135" s="87"/>
      <c r="O135" s="259"/>
      <c r="P135" s="259"/>
      <c r="Q135" s="259"/>
      <c r="R135" s="259"/>
      <c r="S135" s="259"/>
      <c r="T135" s="87"/>
      <c r="U135" s="87"/>
      <c r="V135" s="259"/>
      <c r="W135" s="259"/>
      <c r="X135" s="259"/>
      <c r="Y135" s="259"/>
      <c r="Z135" s="259"/>
      <c r="AA135" s="87"/>
      <c r="AB135" s="87"/>
      <c r="AC135" s="259"/>
      <c r="AD135" s="259"/>
      <c r="AE135" s="259"/>
      <c r="AF135" s="259"/>
      <c r="AG135" s="259"/>
      <c r="AH135" s="87"/>
      <c r="AI135" s="87"/>
      <c r="AJ135" s="259"/>
      <c r="AK135" s="259"/>
      <c r="AL135" s="259"/>
      <c r="AM135" s="259"/>
      <c r="AN135" s="259"/>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557"/>
      <c r="D136" s="558"/>
      <c r="E136" s="559"/>
      <c r="F136" s="560"/>
      <c r="G136" s="560"/>
      <c r="H136" s="560"/>
      <c r="I136" s="560"/>
      <c r="J136" s="561"/>
      <c r="K136" s="561"/>
      <c r="L136" s="562"/>
      <c r="M136" s="86"/>
      <c r="N136" s="87"/>
      <c r="O136" s="259"/>
      <c r="P136" s="259"/>
      <c r="Q136" s="259"/>
      <c r="R136" s="259"/>
      <c r="S136" s="259"/>
      <c r="T136" s="87"/>
      <c r="U136" s="87"/>
      <c r="V136" s="259"/>
      <c r="W136" s="259"/>
      <c r="X136" s="259"/>
      <c r="Y136" s="259"/>
      <c r="Z136" s="259"/>
      <c r="AA136" s="87"/>
      <c r="AB136" s="87"/>
      <c r="AC136" s="259"/>
      <c r="AD136" s="259"/>
      <c r="AE136" s="259"/>
      <c r="AF136" s="259"/>
      <c r="AG136" s="259"/>
      <c r="AH136" s="87"/>
      <c r="AI136" s="87"/>
      <c r="AJ136" s="259"/>
      <c r="AK136" s="259"/>
      <c r="AL136" s="259"/>
      <c r="AM136" s="259"/>
      <c r="AN136" s="259"/>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563"/>
      <c r="D137" s="564"/>
      <c r="E137" s="565"/>
      <c r="F137" s="566"/>
      <c r="G137" s="566"/>
      <c r="H137" s="566"/>
      <c r="I137" s="566"/>
      <c r="J137" s="567"/>
      <c r="K137" s="567"/>
      <c r="L137" s="568"/>
      <c r="M137" s="88"/>
      <c r="N137" s="77"/>
      <c r="O137" s="263"/>
      <c r="P137" s="263"/>
      <c r="Q137" s="263"/>
      <c r="R137" s="263"/>
      <c r="S137" s="263"/>
      <c r="T137" s="77"/>
      <c r="U137" s="77"/>
      <c r="V137" s="263"/>
      <c r="W137" s="263"/>
      <c r="X137" s="263"/>
      <c r="Y137" s="263"/>
      <c r="Z137" s="263"/>
      <c r="AA137" s="77"/>
      <c r="AB137" s="77"/>
      <c r="AC137" s="263"/>
      <c r="AD137" s="263"/>
      <c r="AE137" s="263"/>
      <c r="AF137" s="263"/>
      <c r="AG137" s="263"/>
      <c r="AH137" s="77"/>
      <c r="AI137" s="77"/>
      <c r="AJ137" s="263"/>
      <c r="AK137" s="263"/>
      <c r="AL137" s="263"/>
      <c r="AM137" s="263"/>
      <c r="AN137" s="263"/>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0</v>
      </c>
      <c r="BD138" s="43">
        <f t="shared" si="37"/>
        <v>28</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73" t="str">
        <f ca="1">Lists!F9</f>
        <v>Wrzesień</v>
      </c>
      <c r="D139" s="574"/>
      <c r="E139" s="574"/>
      <c r="F139" s="574"/>
      <c r="G139" s="575"/>
    </row>
    <row r="140" spans="3:69" ht="20.100000000000001" customHeight="1" thickBot="1">
      <c r="C140" s="576"/>
      <c r="D140" s="577"/>
      <c r="E140" s="577"/>
      <c r="F140" s="577"/>
      <c r="G140" s="578"/>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436" t="str">
        <f ca="1">INDIRECT("T!"&amp;T!A1&amp;"33")</f>
        <v>Etat</v>
      </c>
      <c r="D143" s="437"/>
      <c r="E143" s="430" t="s">
        <v>6</v>
      </c>
      <c r="F143" s="431"/>
      <c r="G143" s="431"/>
      <c r="H143" s="431"/>
      <c r="I143" s="431"/>
      <c r="J143" s="424" t="str">
        <f ca="1">INDIRECT("T!"&amp;T!A1&amp;"34")</f>
        <v>Pozycja</v>
      </c>
      <c r="K143" s="424"/>
      <c r="L143" s="583"/>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579"/>
      <c r="D144" s="580"/>
      <c r="E144" s="581"/>
      <c r="F144" s="582"/>
      <c r="G144" s="582"/>
      <c r="H144" s="582"/>
      <c r="I144" s="582"/>
      <c r="J144" s="427"/>
      <c r="K144" s="427"/>
      <c r="L144" s="584"/>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557"/>
      <c r="D145" s="558"/>
      <c r="E145" s="569"/>
      <c r="F145" s="570"/>
      <c r="G145" s="570"/>
      <c r="H145" s="570"/>
      <c r="I145" s="570"/>
      <c r="J145" s="571"/>
      <c r="K145" s="571"/>
      <c r="L145" s="572"/>
      <c r="M145" s="260"/>
      <c r="N145" s="261"/>
      <c r="O145" s="261"/>
      <c r="P145" s="261"/>
      <c r="Q145" s="85"/>
      <c r="R145" s="85"/>
      <c r="S145" s="261"/>
      <c r="T145" s="261"/>
      <c r="U145" s="261"/>
      <c r="V145" s="261"/>
      <c r="W145" s="261"/>
      <c r="X145" s="85"/>
      <c r="Y145" s="85"/>
      <c r="Z145" s="261"/>
      <c r="AA145" s="261"/>
      <c r="AB145" s="261"/>
      <c r="AC145" s="261"/>
      <c r="AD145" s="261"/>
      <c r="AE145" s="85"/>
      <c r="AF145" s="85"/>
      <c r="AG145" s="261"/>
      <c r="AH145" s="261"/>
      <c r="AI145" s="85"/>
      <c r="AJ145" s="261"/>
      <c r="AK145" s="261"/>
      <c r="AL145" s="85"/>
      <c r="AM145" s="85"/>
      <c r="AN145" s="261"/>
      <c r="AO145" s="261"/>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557"/>
      <c r="D146" s="558"/>
      <c r="E146" s="559"/>
      <c r="F146" s="560"/>
      <c r="G146" s="560"/>
      <c r="H146" s="560"/>
      <c r="I146" s="560"/>
      <c r="J146" s="561"/>
      <c r="K146" s="561"/>
      <c r="L146" s="562"/>
      <c r="M146" s="258"/>
      <c r="N146" s="259"/>
      <c r="O146" s="259"/>
      <c r="P146" s="259"/>
      <c r="Q146" s="87"/>
      <c r="R146" s="87"/>
      <c r="S146" s="259"/>
      <c r="T146" s="259"/>
      <c r="U146" s="259"/>
      <c r="V146" s="259"/>
      <c r="W146" s="259"/>
      <c r="X146" s="87"/>
      <c r="Y146" s="87"/>
      <c r="Z146" s="259"/>
      <c r="AA146" s="259"/>
      <c r="AB146" s="259"/>
      <c r="AC146" s="259"/>
      <c r="AD146" s="259"/>
      <c r="AE146" s="87"/>
      <c r="AF146" s="87"/>
      <c r="AG146" s="259"/>
      <c r="AH146" s="259"/>
      <c r="AI146" s="87"/>
      <c r="AJ146" s="259"/>
      <c r="AK146" s="259"/>
      <c r="AL146" s="87"/>
      <c r="AM146" s="87"/>
      <c r="AN146" s="259"/>
      <c r="AO146" s="259"/>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557"/>
      <c r="D147" s="558"/>
      <c r="E147" s="559"/>
      <c r="F147" s="560"/>
      <c r="G147" s="560"/>
      <c r="H147" s="560"/>
      <c r="I147" s="560"/>
      <c r="J147" s="561"/>
      <c r="K147" s="561"/>
      <c r="L147" s="562"/>
      <c r="M147" s="258"/>
      <c r="N147" s="259"/>
      <c r="O147" s="259"/>
      <c r="P147" s="259"/>
      <c r="Q147" s="87"/>
      <c r="R147" s="87"/>
      <c r="S147" s="259"/>
      <c r="T147" s="259"/>
      <c r="U147" s="259"/>
      <c r="V147" s="259"/>
      <c r="W147" s="259"/>
      <c r="X147" s="87"/>
      <c r="Y147" s="87"/>
      <c r="Z147" s="259"/>
      <c r="AA147" s="259"/>
      <c r="AB147" s="259"/>
      <c r="AC147" s="259"/>
      <c r="AD147" s="259"/>
      <c r="AE147" s="87"/>
      <c r="AF147" s="87"/>
      <c r="AG147" s="259"/>
      <c r="AH147" s="259"/>
      <c r="AI147" s="87"/>
      <c r="AJ147" s="259"/>
      <c r="AK147" s="259"/>
      <c r="AL147" s="87"/>
      <c r="AM147" s="87"/>
      <c r="AN147" s="259"/>
      <c r="AO147" s="259"/>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557"/>
      <c r="D148" s="558"/>
      <c r="E148" s="559"/>
      <c r="F148" s="560"/>
      <c r="G148" s="560"/>
      <c r="H148" s="560"/>
      <c r="I148" s="560"/>
      <c r="J148" s="561"/>
      <c r="K148" s="561"/>
      <c r="L148" s="562"/>
      <c r="M148" s="258"/>
      <c r="N148" s="259"/>
      <c r="O148" s="259"/>
      <c r="P148" s="259"/>
      <c r="Q148" s="87"/>
      <c r="R148" s="87"/>
      <c r="S148" s="259"/>
      <c r="T148" s="259"/>
      <c r="U148" s="259"/>
      <c r="V148" s="259"/>
      <c r="W148" s="259"/>
      <c r="X148" s="87"/>
      <c r="Y148" s="87"/>
      <c r="Z148" s="259"/>
      <c r="AA148" s="259"/>
      <c r="AB148" s="259"/>
      <c r="AC148" s="259"/>
      <c r="AD148" s="259"/>
      <c r="AE148" s="87"/>
      <c r="AF148" s="87"/>
      <c r="AG148" s="259"/>
      <c r="AH148" s="259"/>
      <c r="AI148" s="87"/>
      <c r="AJ148" s="259"/>
      <c r="AK148" s="259"/>
      <c r="AL148" s="87"/>
      <c r="AM148" s="87"/>
      <c r="AN148" s="259"/>
      <c r="AO148" s="259"/>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557"/>
      <c r="D149" s="558"/>
      <c r="E149" s="559"/>
      <c r="F149" s="560"/>
      <c r="G149" s="560"/>
      <c r="H149" s="560"/>
      <c r="I149" s="560"/>
      <c r="J149" s="561"/>
      <c r="K149" s="561"/>
      <c r="L149" s="562"/>
      <c r="M149" s="258"/>
      <c r="N149" s="259"/>
      <c r="O149" s="259"/>
      <c r="P149" s="259"/>
      <c r="Q149" s="87"/>
      <c r="R149" s="87"/>
      <c r="S149" s="259"/>
      <c r="T149" s="259"/>
      <c r="U149" s="259"/>
      <c r="V149" s="259"/>
      <c r="W149" s="259"/>
      <c r="X149" s="87"/>
      <c r="Y149" s="87"/>
      <c r="Z149" s="259"/>
      <c r="AA149" s="259"/>
      <c r="AB149" s="259"/>
      <c r="AC149" s="259"/>
      <c r="AD149" s="259"/>
      <c r="AE149" s="87"/>
      <c r="AF149" s="87"/>
      <c r="AG149" s="259"/>
      <c r="AH149" s="259"/>
      <c r="AI149" s="87"/>
      <c r="AJ149" s="259"/>
      <c r="AK149" s="259"/>
      <c r="AL149" s="87"/>
      <c r="AM149" s="87"/>
      <c r="AN149" s="259"/>
      <c r="AO149" s="259"/>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557"/>
      <c r="D150" s="558"/>
      <c r="E150" s="559"/>
      <c r="F150" s="560"/>
      <c r="G150" s="560"/>
      <c r="H150" s="560"/>
      <c r="I150" s="560"/>
      <c r="J150" s="561"/>
      <c r="K150" s="561"/>
      <c r="L150" s="562"/>
      <c r="M150" s="258"/>
      <c r="N150" s="259"/>
      <c r="O150" s="259"/>
      <c r="P150" s="259"/>
      <c r="Q150" s="87"/>
      <c r="R150" s="87"/>
      <c r="S150" s="259"/>
      <c r="T150" s="259"/>
      <c r="U150" s="259"/>
      <c r="V150" s="259"/>
      <c r="W150" s="259"/>
      <c r="X150" s="87"/>
      <c r="Y150" s="87"/>
      <c r="Z150" s="259"/>
      <c r="AA150" s="259"/>
      <c r="AB150" s="259"/>
      <c r="AC150" s="259"/>
      <c r="AD150" s="259"/>
      <c r="AE150" s="87"/>
      <c r="AF150" s="87"/>
      <c r="AG150" s="259"/>
      <c r="AH150" s="259"/>
      <c r="AI150" s="87"/>
      <c r="AJ150" s="259"/>
      <c r="AK150" s="259"/>
      <c r="AL150" s="87"/>
      <c r="AM150" s="87"/>
      <c r="AN150" s="259"/>
      <c r="AO150" s="259"/>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557"/>
      <c r="D151" s="558"/>
      <c r="E151" s="559"/>
      <c r="F151" s="560"/>
      <c r="G151" s="560"/>
      <c r="H151" s="560"/>
      <c r="I151" s="560"/>
      <c r="J151" s="561"/>
      <c r="K151" s="561"/>
      <c r="L151" s="562"/>
      <c r="M151" s="258"/>
      <c r="N151" s="259"/>
      <c r="O151" s="259"/>
      <c r="P151" s="259"/>
      <c r="Q151" s="87"/>
      <c r="R151" s="87"/>
      <c r="S151" s="259"/>
      <c r="T151" s="259"/>
      <c r="U151" s="259"/>
      <c r="V151" s="259"/>
      <c r="W151" s="259"/>
      <c r="X151" s="87"/>
      <c r="Y151" s="87"/>
      <c r="Z151" s="259"/>
      <c r="AA151" s="259"/>
      <c r="AB151" s="259"/>
      <c r="AC151" s="259"/>
      <c r="AD151" s="259"/>
      <c r="AE151" s="87"/>
      <c r="AF151" s="87"/>
      <c r="AG151" s="259"/>
      <c r="AH151" s="259"/>
      <c r="AI151" s="87"/>
      <c r="AJ151" s="259"/>
      <c r="AK151" s="259"/>
      <c r="AL151" s="87"/>
      <c r="AM151" s="87"/>
      <c r="AN151" s="259"/>
      <c r="AO151" s="259"/>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557"/>
      <c r="D152" s="558"/>
      <c r="E152" s="559"/>
      <c r="F152" s="560"/>
      <c r="G152" s="560"/>
      <c r="H152" s="560"/>
      <c r="I152" s="560"/>
      <c r="J152" s="561"/>
      <c r="K152" s="561"/>
      <c r="L152" s="562"/>
      <c r="M152" s="258"/>
      <c r="N152" s="259"/>
      <c r="O152" s="259"/>
      <c r="P152" s="259"/>
      <c r="Q152" s="87"/>
      <c r="R152" s="87"/>
      <c r="S152" s="259"/>
      <c r="T152" s="259"/>
      <c r="U152" s="259"/>
      <c r="V152" s="259"/>
      <c r="W152" s="259"/>
      <c r="X152" s="87"/>
      <c r="Y152" s="87"/>
      <c r="Z152" s="259"/>
      <c r="AA152" s="259"/>
      <c r="AB152" s="259"/>
      <c r="AC152" s="259"/>
      <c r="AD152" s="259"/>
      <c r="AE152" s="87"/>
      <c r="AF152" s="87"/>
      <c r="AG152" s="259"/>
      <c r="AH152" s="259"/>
      <c r="AI152" s="87"/>
      <c r="AJ152" s="259"/>
      <c r="AK152" s="259"/>
      <c r="AL152" s="87"/>
      <c r="AM152" s="87"/>
      <c r="AN152" s="259"/>
      <c r="AO152" s="259"/>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557"/>
      <c r="D153" s="558"/>
      <c r="E153" s="559"/>
      <c r="F153" s="560"/>
      <c r="G153" s="560"/>
      <c r="H153" s="560"/>
      <c r="I153" s="560"/>
      <c r="J153" s="561"/>
      <c r="K153" s="561"/>
      <c r="L153" s="562"/>
      <c r="M153" s="258"/>
      <c r="N153" s="259"/>
      <c r="O153" s="259"/>
      <c r="P153" s="259"/>
      <c r="Q153" s="87"/>
      <c r="R153" s="87"/>
      <c r="S153" s="259"/>
      <c r="T153" s="259"/>
      <c r="U153" s="259"/>
      <c r="V153" s="259"/>
      <c r="W153" s="259"/>
      <c r="X153" s="87"/>
      <c r="Y153" s="87"/>
      <c r="Z153" s="259"/>
      <c r="AA153" s="259"/>
      <c r="AB153" s="259"/>
      <c r="AC153" s="259"/>
      <c r="AD153" s="259"/>
      <c r="AE153" s="87"/>
      <c r="AF153" s="87"/>
      <c r="AG153" s="259"/>
      <c r="AH153" s="259"/>
      <c r="AI153" s="87"/>
      <c r="AJ153" s="259"/>
      <c r="AK153" s="259"/>
      <c r="AL153" s="87"/>
      <c r="AM153" s="87"/>
      <c r="AN153" s="259"/>
      <c r="AO153" s="259"/>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563"/>
      <c r="D154" s="564"/>
      <c r="E154" s="565"/>
      <c r="F154" s="566"/>
      <c r="G154" s="566"/>
      <c r="H154" s="566"/>
      <c r="I154" s="566"/>
      <c r="J154" s="567"/>
      <c r="K154" s="567"/>
      <c r="L154" s="568"/>
      <c r="M154" s="262"/>
      <c r="N154" s="263"/>
      <c r="O154" s="263"/>
      <c r="P154" s="263"/>
      <c r="Q154" s="77"/>
      <c r="R154" s="77"/>
      <c r="S154" s="263"/>
      <c r="T154" s="263"/>
      <c r="U154" s="263"/>
      <c r="V154" s="263"/>
      <c r="W154" s="263"/>
      <c r="X154" s="77"/>
      <c r="Y154" s="77"/>
      <c r="Z154" s="263"/>
      <c r="AA154" s="263"/>
      <c r="AB154" s="263"/>
      <c r="AC154" s="263"/>
      <c r="AD154" s="263"/>
      <c r="AE154" s="77"/>
      <c r="AF154" s="77"/>
      <c r="AG154" s="263"/>
      <c r="AH154" s="263"/>
      <c r="AI154" s="77"/>
      <c r="AJ154" s="263"/>
      <c r="AK154" s="263"/>
      <c r="AL154" s="77"/>
      <c r="AM154" s="77"/>
      <c r="AN154" s="263"/>
      <c r="AO154" s="263"/>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0</v>
      </c>
      <c r="BD155" s="43">
        <f t="shared" si="41"/>
        <v>29</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73" t="str">
        <f ca="1">Lists!F10</f>
        <v>Październik</v>
      </c>
      <c r="D156" s="574"/>
      <c r="E156" s="574"/>
      <c r="F156" s="574"/>
      <c r="G156" s="575"/>
    </row>
    <row r="157" spans="3:69" ht="20.100000000000001" customHeight="1" thickBot="1">
      <c r="C157" s="576"/>
      <c r="D157" s="577"/>
      <c r="E157" s="577"/>
      <c r="F157" s="577"/>
      <c r="G157" s="578"/>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436" t="str">
        <f ca="1">INDIRECT("T!"&amp;T!A1&amp;"33")</f>
        <v>Etat</v>
      </c>
      <c r="D160" s="437"/>
      <c r="E160" s="430" t="s">
        <v>6</v>
      </c>
      <c r="F160" s="431"/>
      <c r="G160" s="431"/>
      <c r="H160" s="431"/>
      <c r="I160" s="431"/>
      <c r="J160" s="424" t="str">
        <f ca="1">INDIRECT("T!"&amp;T!A1&amp;"34")</f>
        <v>Pozycja</v>
      </c>
      <c r="K160" s="424"/>
      <c r="L160" s="583"/>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79"/>
      <c r="D161" s="580"/>
      <c r="E161" s="581"/>
      <c r="F161" s="582"/>
      <c r="G161" s="582"/>
      <c r="H161" s="582"/>
      <c r="I161" s="582"/>
      <c r="J161" s="427"/>
      <c r="K161" s="427"/>
      <c r="L161" s="584"/>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557"/>
      <c r="D162" s="558"/>
      <c r="E162" s="569"/>
      <c r="F162" s="570"/>
      <c r="G162" s="570"/>
      <c r="H162" s="570"/>
      <c r="I162" s="570"/>
      <c r="J162" s="571"/>
      <c r="K162" s="571"/>
      <c r="L162" s="572"/>
      <c r="M162" s="260"/>
      <c r="N162" s="261"/>
      <c r="O162" s="85"/>
      <c r="P162" s="85"/>
      <c r="Q162" s="261"/>
      <c r="R162" s="261"/>
      <c r="S162" s="261"/>
      <c r="T162" s="261"/>
      <c r="U162" s="261"/>
      <c r="V162" s="85"/>
      <c r="W162" s="85"/>
      <c r="X162" s="261"/>
      <c r="Y162" s="261"/>
      <c r="Z162" s="85"/>
      <c r="AA162" s="261"/>
      <c r="AB162" s="261"/>
      <c r="AC162" s="85"/>
      <c r="AD162" s="85"/>
      <c r="AE162" s="261"/>
      <c r="AF162" s="261"/>
      <c r="AG162" s="261"/>
      <c r="AH162" s="261"/>
      <c r="AI162" s="261"/>
      <c r="AJ162" s="85"/>
      <c r="AK162" s="85"/>
      <c r="AL162" s="261"/>
      <c r="AM162" s="261"/>
      <c r="AN162" s="261"/>
      <c r="AO162" s="261"/>
      <c r="AP162" s="261"/>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557"/>
      <c r="D163" s="558"/>
      <c r="E163" s="559"/>
      <c r="F163" s="560"/>
      <c r="G163" s="560"/>
      <c r="H163" s="560"/>
      <c r="I163" s="560"/>
      <c r="J163" s="561"/>
      <c r="K163" s="561"/>
      <c r="L163" s="562"/>
      <c r="M163" s="258"/>
      <c r="N163" s="259"/>
      <c r="O163" s="87"/>
      <c r="P163" s="87"/>
      <c r="Q163" s="259"/>
      <c r="R163" s="259"/>
      <c r="S163" s="259"/>
      <c r="T163" s="259"/>
      <c r="U163" s="259"/>
      <c r="V163" s="87"/>
      <c r="W163" s="87"/>
      <c r="X163" s="259"/>
      <c r="Y163" s="259"/>
      <c r="Z163" s="87"/>
      <c r="AA163" s="259"/>
      <c r="AB163" s="259"/>
      <c r="AC163" s="87"/>
      <c r="AD163" s="87"/>
      <c r="AE163" s="259"/>
      <c r="AF163" s="259"/>
      <c r="AG163" s="259"/>
      <c r="AH163" s="259"/>
      <c r="AI163" s="259"/>
      <c r="AJ163" s="87"/>
      <c r="AK163" s="87"/>
      <c r="AL163" s="259"/>
      <c r="AM163" s="259"/>
      <c r="AN163" s="259"/>
      <c r="AO163" s="259"/>
      <c r="AP163" s="259"/>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557"/>
      <c r="D164" s="558"/>
      <c r="E164" s="559"/>
      <c r="F164" s="560"/>
      <c r="G164" s="560"/>
      <c r="H164" s="560"/>
      <c r="I164" s="560"/>
      <c r="J164" s="561"/>
      <c r="K164" s="561"/>
      <c r="L164" s="562"/>
      <c r="M164" s="258"/>
      <c r="N164" s="259"/>
      <c r="O164" s="87"/>
      <c r="P164" s="87"/>
      <c r="Q164" s="259"/>
      <c r="R164" s="259"/>
      <c r="S164" s="259"/>
      <c r="T164" s="259"/>
      <c r="U164" s="259"/>
      <c r="V164" s="87"/>
      <c r="W164" s="87"/>
      <c r="X164" s="259"/>
      <c r="Y164" s="259"/>
      <c r="Z164" s="87"/>
      <c r="AA164" s="259"/>
      <c r="AB164" s="259"/>
      <c r="AC164" s="87"/>
      <c r="AD164" s="87"/>
      <c r="AE164" s="259"/>
      <c r="AF164" s="259"/>
      <c r="AG164" s="259"/>
      <c r="AH164" s="259"/>
      <c r="AI164" s="259"/>
      <c r="AJ164" s="87"/>
      <c r="AK164" s="87"/>
      <c r="AL164" s="259"/>
      <c r="AM164" s="259"/>
      <c r="AN164" s="259"/>
      <c r="AO164" s="259"/>
      <c r="AP164" s="259"/>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557"/>
      <c r="D165" s="558"/>
      <c r="E165" s="559"/>
      <c r="F165" s="560"/>
      <c r="G165" s="560"/>
      <c r="H165" s="560"/>
      <c r="I165" s="560"/>
      <c r="J165" s="561"/>
      <c r="K165" s="561"/>
      <c r="L165" s="562"/>
      <c r="M165" s="258"/>
      <c r="N165" s="259"/>
      <c r="O165" s="87"/>
      <c r="P165" s="87"/>
      <c r="Q165" s="259"/>
      <c r="R165" s="259"/>
      <c r="S165" s="259"/>
      <c r="T165" s="259"/>
      <c r="U165" s="259"/>
      <c r="V165" s="87"/>
      <c r="W165" s="87"/>
      <c r="X165" s="259"/>
      <c r="Y165" s="259"/>
      <c r="Z165" s="87"/>
      <c r="AA165" s="259"/>
      <c r="AB165" s="259"/>
      <c r="AC165" s="87"/>
      <c r="AD165" s="87"/>
      <c r="AE165" s="259"/>
      <c r="AF165" s="259"/>
      <c r="AG165" s="259"/>
      <c r="AH165" s="259"/>
      <c r="AI165" s="259"/>
      <c r="AJ165" s="87"/>
      <c r="AK165" s="87"/>
      <c r="AL165" s="259"/>
      <c r="AM165" s="259"/>
      <c r="AN165" s="259"/>
      <c r="AO165" s="259"/>
      <c r="AP165" s="259"/>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557"/>
      <c r="D166" s="558"/>
      <c r="E166" s="559"/>
      <c r="F166" s="560"/>
      <c r="G166" s="560"/>
      <c r="H166" s="560"/>
      <c r="I166" s="560"/>
      <c r="J166" s="561"/>
      <c r="K166" s="561"/>
      <c r="L166" s="562"/>
      <c r="M166" s="258"/>
      <c r="N166" s="259"/>
      <c r="O166" s="87"/>
      <c r="P166" s="87"/>
      <c r="Q166" s="259"/>
      <c r="R166" s="259"/>
      <c r="S166" s="259"/>
      <c r="T166" s="259"/>
      <c r="U166" s="259"/>
      <c r="V166" s="87"/>
      <c r="W166" s="87"/>
      <c r="X166" s="259"/>
      <c r="Y166" s="259"/>
      <c r="Z166" s="87"/>
      <c r="AA166" s="259"/>
      <c r="AB166" s="259"/>
      <c r="AC166" s="87"/>
      <c r="AD166" s="87"/>
      <c r="AE166" s="259"/>
      <c r="AF166" s="259"/>
      <c r="AG166" s="259"/>
      <c r="AH166" s="259"/>
      <c r="AI166" s="259"/>
      <c r="AJ166" s="87"/>
      <c r="AK166" s="87"/>
      <c r="AL166" s="259"/>
      <c r="AM166" s="259"/>
      <c r="AN166" s="259"/>
      <c r="AO166" s="259"/>
      <c r="AP166" s="259"/>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557"/>
      <c r="D167" s="558"/>
      <c r="E167" s="559"/>
      <c r="F167" s="560"/>
      <c r="G167" s="560"/>
      <c r="H167" s="560"/>
      <c r="I167" s="560"/>
      <c r="J167" s="561"/>
      <c r="K167" s="561"/>
      <c r="L167" s="562"/>
      <c r="M167" s="258"/>
      <c r="N167" s="259"/>
      <c r="O167" s="87"/>
      <c r="P167" s="87"/>
      <c r="Q167" s="259"/>
      <c r="R167" s="259"/>
      <c r="S167" s="259"/>
      <c r="T167" s="259"/>
      <c r="U167" s="259"/>
      <c r="V167" s="87"/>
      <c r="W167" s="87"/>
      <c r="X167" s="259"/>
      <c r="Y167" s="259"/>
      <c r="Z167" s="87"/>
      <c r="AA167" s="259"/>
      <c r="AB167" s="259"/>
      <c r="AC167" s="87"/>
      <c r="AD167" s="87"/>
      <c r="AE167" s="259"/>
      <c r="AF167" s="259"/>
      <c r="AG167" s="259"/>
      <c r="AH167" s="259"/>
      <c r="AI167" s="259"/>
      <c r="AJ167" s="87"/>
      <c r="AK167" s="87"/>
      <c r="AL167" s="259"/>
      <c r="AM167" s="259"/>
      <c r="AN167" s="259"/>
      <c r="AO167" s="259"/>
      <c r="AP167" s="259"/>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557"/>
      <c r="D168" s="558"/>
      <c r="E168" s="559"/>
      <c r="F168" s="560"/>
      <c r="G168" s="560"/>
      <c r="H168" s="560"/>
      <c r="I168" s="560"/>
      <c r="J168" s="561"/>
      <c r="K168" s="561"/>
      <c r="L168" s="562"/>
      <c r="M168" s="258"/>
      <c r="N168" s="259"/>
      <c r="O168" s="87"/>
      <c r="P168" s="87"/>
      <c r="Q168" s="259"/>
      <c r="R168" s="259"/>
      <c r="S168" s="259"/>
      <c r="T168" s="259"/>
      <c r="U168" s="259"/>
      <c r="V168" s="87"/>
      <c r="W168" s="87"/>
      <c r="X168" s="259"/>
      <c r="Y168" s="259"/>
      <c r="Z168" s="87"/>
      <c r="AA168" s="259"/>
      <c r="AB168" s="259"/>
      <c r="AC168" s="87"/>
      <c r="AD168" s="87"/>
      <c r="AE168" s="259"/>
      <c r="AF168" s="259"/>
      <c r="AG168" s="259"/>
      <c r="AH168" s="259"/>
      <c r="AI168" s="259"/>
      <c r="AJ168" s="87"/>
      <c r="AK168" s="87"/>
      <c r="AL168" s="259"/>
      <c r="AM168" s="259"/>
      <c r="AN168" s="259"/>
      <c r="AO168" s="259"/>
      <c r="AP168" s="259"/>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557"/>
      <c r="D169" s="558"/>
      <c r="E169" s="559"/>
      <c r="F169" s="560"/>
      <c r="G169" s="560"/>
      <c r="H169" s="560"/>
      <c r="I169" s="560"/>
      <c r="J169" s="561"/>
      <c r="K169" s="561"/>
      <c r="L169" s="562"/>
      <c r="M169" s="258"/>
      <c r="N169" s="259"/>
      <c r="O169" s="87"/>
      <c r="P169" s="87"/>
      <c r="Q169" s="259"/>
      <c r="R169" s="259"/>
      <c r="S169" s="259"/>
      <c r="T169" s="259"/>
      <c r="U169" s="259"/>
      <c r="V169" s="87"/>
      <c r="W169" s="87"/>
      <c r="X169" s="259"/>
      <c r="Y169" s="259"/>
      <c r="Z169" s="87"/>
      <c r="AA169" s="259"/>
      <c r="AB169" s="259"/>
      <c r="AC169" s="87"/>
      <c r="AD169" s="87"/>
      <c r="AE169" s="259"/>
      <c r="AF169" s="259"/>
      <c r="AG169" s="259"/>
      <c r="AH169" s="259"/>
      <c r="AI169" s="259"/>
      <c r="AJ169" s="87"/>
      <c r="AK169" s="87"/>
      <c r="AL169" s="259"/>
      <c r="AM169" s="259"/>
      <c r="AN169" s="259"/>
      <c r="AO169" s="259"/>
      <c r="AP169" s="259"/>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557"/>
      <c r="D170" s="558"/>
      <c r="E170" s="559"/>
      <c r="F170" s="560"/>
      <c r="G170" s="560"/>
      <c r="H170" s="560"/>
      <c r="I170" s="560"/>
      <c r="J170" s="561"/>
      <c r="K170" s="561"/>
      <c r="L170" s="562"/>
      <c r="M170" s="258"/>
      <c r="N170" s="259"/>
      <c r="O170" s="87"/>
      <c r="P170" s="87"/>
      <c r="Q170" s="259"/>
      <c r="R170" s="259"/>
      <c r="S170" s="259"/>
      <c r="T170" s="259"/>
      <c r="U170" s="259"/>
      <c r="V170" s="87"/>
      <c r="W170" s="87"/>
      <c r="X170" s="259"/>
      <c r="Y170" s="259"/>
      <c r="Z170" s="87"/>
      <c r="AA170" s="259"/>
      <c r="AB170" s="259"/>
      <c r="AC170" s="87"/>
      <c r="AD170" s="87"/>
      <c r="AE170" s="259"/>
      <c r="AF170" s="259"/>
      <c r="AG170" s="259"/>
      <c r="AH170" s="259"/>
      <c r="AI170" s="259"/>
      <c r="AJ170" s="87"/>
      <c r="AK170" s="87"/>
      <c r="AL170" s="259"/>
      <c r="AM170" s="259"/>
      <c r="AN170" s="259"/>
      <c r="AO170" s="259"/>
      <c r="AP170" s="259"/>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563"/>
      <c r="D171" s="564"/>
      <c r="E171" s="565"/>
      <c r="F171" s="566"/>
      <c r="G171" s="566"/>
      <c r="H171" s="566"/>
      <c r="I171" s="566"/>
      <c r="J171" s="567"/>
      <c r="K171" s="567"/>
      <c r="L171" s="568"/>
      <c r="M171" s="262"/>
      <c r="N171" s="263"/>
      <c r="O171" s="77"/>
      <c r="P171" s="77"/>
      <c r="Q171" s="263"/>
      <c r="R171" s="263"/>
      <c r="S171" s="263"/>
      <c r="T171" s="263"/>
      <c r="U171" s="263"/>
      <c r="V171" s="77"/>
      <c r="W171" s="77"/>
      <c r="X171" s="263"/>
      <c r="Y171" s="263"/>
      <c r="Z171" s="77"/>
      <c r="AA171" s="263"/>
      <c r="AB171" s="263"/>
      <c r="AC171" s="77"/>
      <c r="AD171" s="77"/>
      <c r="AE171" s="263"/>
      <c r="AF171" s="263"/>
      <c r="AG171" s="263"/>
      <c r="AH171" s="263"/>
      <c r="AI171" s="263"/>
      <c r="AJ171" s="77"/>
      <c r="AK171" s="77"/>
      <c r="AL171" s="263"/>
      <c r="AM171" s="263"/>
      <c r="AN171" s="263"/>
      <c r="AO171" s="263"/>
      <c r="AP171" s="263"/>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0</v>
      </c>
      <c r="BD172" s="43">
        <f t="shared" si="45"/>
        <v>29</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73" t="str">
        <f ca="1">Lists!F11</f>
        <v>Listopad</v>
      </c>
      <c r="D173" s="574"/>
      <c r="E173" s="574"/>
      <c r="F173" s="574"/>
      <c r="G173" s="575"/>
    </row>
    <row r="174" spans="3:69" ht="20.100000000000001" customHeight="1" thickBot="1">
      <c r="C174" s="576"/>
      <c r="D174" s="577"/>
      <c r="E174" s="577"/>
      <c r="F174" s="577"/>
      <c r="G174" s="578"/>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436" t="str">
        <f ca="1">INDIRECT("T!"&amp;T!A1&amp;"33")</f>
        <v>Etat</v>
      </c>
      <c r="D177" s="437"/>
      <c r="E177" s="430" t="s">
        <v>6</v>
      </c>
      <c r="F177" s="431"/>
      <c r="G177" s="431"/>
      <c r="H177" s="431"/>
      <c r="I177" s="431"/>
      <c r="J177" s="424" t="str">
        <f ca="1">INDIRECT("T!"&amp;T!A1&amp;"34")</f>
        <v>Pozycja</v>
      </c>
      <c r="K177" s="424"/>
      <c r="L177" s="583"/>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79"/>
      <c r="D178" s="580"/>
      <c r="E178" s="581"/>
      <c r="F178" s="582"/>
      <c r="G178" s="582"/>
      <c r="H178" s="582"/>
      <c r="I178" s="582"/>
      <c r="J178" s="427"/>
      <c r="K178" s="427"/>
      <c r="L178" s="584"/>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557"/>
      <c r="D179" s="558"/>
      <c r="E179" s="569"/>
      <c r="F179" s="570"/>
      <c r="G179" s="570"/>
      <c r="H179" s="570"/>
      <c r="I179" s="570"/>
      <c r="J179" s="571"/>
      <c r="K179" s="571"/>
      <c r="L179" s="572"/>
      <c r="M179" s="84"/>
      <c r="N179" s="85"/>
      <c r="O179" s="261"/>
      <c r="P179" s="261"/>
      <c r="Q179" s="261"/>
      <c r="R179" s="261"/>
      <c r="S179" s="85"/>
      <c r="T179" s="85"/>
      <c r="U179" s="261"/>
      <c r="V179" s="261"/>
      <c r="W179" s="85"/>
      <c r="X179" s="261"/>
      <c r="Y179" s="261"/>
      <c r="Z179" s="85"/>
      <c r="AA179" s="85"/>
      <c r="AB179" s="261"/>
      <c r="AC179" s="261"/>
      <c r="AD179" s="261"/>
      <c r="AE179" s="261"/>
      <c r="AF179" s="261"/>
      <c r="AG179" s="85"/>
      <c r="AH179" s="85"/>
      <c r="AI179" s="261"/>
      <c r="AJ179" s="261"/>
      <c r="AK179" s="261"/>
      <c r="AL179" s="261"/>
      <c r="AM179" s="261"/>
      <c r="AN179" s="85"/>
      <c r="AO179" s="85"/>
      <c r="AP179" s="261"/>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557"/>
      <c r="D180" s="558"/>
      <c r="E180" s="559"/>
      <c r="F180" s="560"/>
      <c r="G180" s="560"/>
      <c r="H180" s="560"/>
      <c r="I180" s="560"/>
      <c r="J180" s="561"/>
      <c r="K180" s="561"/>
      <c r="L180" s="562"/>
      <c r="M180" s="86"/>
      <c r="N180" s="87"/>
      <c r="O180" s="259"/>
      <c r="P180" s="259"/>
      <c r="Q180" s="259"/>
      <c r="R180" s="259"/>
      <c r="S180" s="87"/>
      <c r="T180" s="87"/>
      <c r="U180" s="259"/>
      <c r="V180" s="259"/>
      <c r="W180" s="87"/>
      <c r="X180" s="259"/>
      <c r="Y180" s="259"/>
      <c r="Z180" s="87"/>
      <c r="AA180" s="87"/>
      <c r="AB180" s="259"/>
      <c r="AC180" s="259"/>
      <c r="AD180" s="259"/>
      <c r="AE180" s="259"/>
      <c r="AF180" s="259"/>
      <c r="AG180" s="87"/>
      <c r="AH180" s="87"/>
      <c r="AI180" s="259"/>
      <c r="AJ180" s="259"/>
      <c r="AK180" s="259"/>
      <c r="AL180" s="259"/>
      <c r="AM180" s="259"/>
      <c r="AN180" s="87"/>
      <c r="AO180" s="87"/>
      <c r="AP180" s="259"/>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557"/>
      <c r="D181" s="558"/>
      <c r="E181" s="559"/>
      <c r="F181" s="560"/>
      <c r="G181" s="560"/>
      <c r="H181" s="560"/>
      <c r="I181" s="560"/>
      <c r="J181" s="561"/>
      <c r="K181" s="561"/>
      <c r="L181" s="562"/>
      <c r="M181" s="86"/>
      <c r="N181" s="87"/>
      <c r="O181" s="259"/>
      <c r="P181" s="259"/>
      <c r="Q181" s="259"/>
      <c r="R181" s="259"/>
      <c r="S181" s="87"/>
      <c r="T181" s="87"/>
      <c r="U181" s="259"/>
      <c r="V181" s="259"/>
      <c r="W181" s="87"/>
      <c r="X181" s="259"/>
      <c r="Y181" s="259"/>
      <c r="Z181" s="87"/>
      <c r="AA181" s="87"/>
      <c r="AB181" s="259"/>
      <c r="AC181" s="259"/>
      <c r="AD181" s="259"/>
      <c r="AE181" s="259"/>
      <c r="AF181" s="259"/>
      <c r="AG181" s="87"/>
      <c r="AH181" s="87"/>
      <c r="AI181" s="259"/>
      <c r="AJ181" s="259"/>
      <c r="AK181" s="259"/>
      <c r="AL181" s="259"/>
      <c r="AM181" s="259"/>
      <c r="AN181" s="87"/>
      <c r="AO181" s="87"/>
      <c r="AP181" s="259"/>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557"/>
      <c r="D182" s="558"/>
      <c r="E182" s="559"/>
      <c r="F182" s="560"/>
      <c r="G182" s="560"/>
      <c r="H182" s="560"/>
      <c r="I182" s="560"/>
      <c r="J182" s="561"/>
      <c r="K182" s="561"/>
      <c r="L182" s="562"/>
      <c r="M182" s="86"/>
      <c r="N182" s="87"/>
      <c r="O182" s="259"/>
      <c r="P182" s="259"/>
      <c r="Q182" s="259"/>
      <c r="R182" s="259"/>
      <c r="S182" s="87"/>
      <c r="T182" s="87"/>
      <c r="U182" s="259"/>
      <c r="V182" s="259"/>
      <c r="W182" s="87"/>
      <c r="X182" s="259"/>
      <c r="Y182" s="259"/>
      <c r="Z182" s="87"/>
      <c r="AA182" s="87"/>
      <c r="AB182" s="259"/>
      <c r="AC182" s="259"/>
      <c r="AD182" s="259"/>
      <c r="AE182" s="259"/>
      <c r="AF182" s="259"/>
      <c r="AG182" s="87"/>
      <c r="AH182" s="87"/>
      <c r="AI182" s="259"/>
      <c r="AJ182" s="259"/>
      <c r="AK182" s="259"/>
      <c r="AL182" s="259"/>
      <c r="AM182" s="259"/>
      <c r="AN182" s="87"/>
      <c r="AO182" s="87"/>
      <c r="AP182" s="259"/>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557"/>
      <c r="D183" s="558"/>
      <c r="E183" s="559"/>
      <c r="F183" s="560"/>
      <c r="G183" s="560"/>
      <c r="H183" s="560"/>
      <c r="I183" s="560"/>
      <c r="J183" s="561"/>
      <c r="K183" s="561"/>
      <c r="L183" s="562"/>
      <c r="M183" s="86"/>
      <c r="N183" s="87"/>
      <c r="O183" s="259"/>
      <c r="P183" s="259"/>
      <c r="Q183" s="259"/>
      <c r="R183" s="259"/>
      <c r="S183" s="87"/>
      <c r="T183" s="87"/>
      <c r="U183" s="259"/>
      <c r="V183" s="259"/>
      <c r="W183" s="87"/>
      <c r="X183" s="259"/>
      <c r="Y183" s="259"/>
      <c r="Z183" s="87"/>
      <c r="AA183" s="87"/>
      <c r="AB183" s="259"/>
      <c r="AC183" s="259"/>
      <c r="AD183" s="259"/>
      <c r="AE183" s="259"/>
      <c r="AF183" s="259"/>
      <c r="AG183" s="87"/>
      <c r="AH183" s="87"/>
      <c r="AI183" s="259"/>
      <c r="AJ183" s="259"/>
      <c r="AK183" s="259"/>
      <c r="AL183" s="259"/>
      <c r="AM183" s="259"/>
      <c r="AN183" s="87"/>
      <c r="AO183" s="87"/>
      <c r="AP183" s="259"/>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557"/>
      <c r="D184" s="558"/>
      <c r="E184" s="559"/>
      <c r="F184" s="560"/>
      <c r="G184" s="560"/>
      <c r="H184" s="560"/>
      <c r="I184" s="560"/>
      <c r="J184" s="561"/>
      <c r="K184" s="561"/>
      <c r="L184" s="562"/>
      <c r="M184" s="86"/>
      <c r="N184" s="87"/>
      <c r="O184" s="259"/>
      <c r="P184" s="259"/>
      <c r="Q184" s="259"/>
      <c r="R184" s="259"/>
      <c r="S184" s="87"/>
      <c r="T184" s="87"/>
      <c r="U184" s="259"/>
      <c r="V184" s="259"/>
      <c r="W184" s="87"/>
      <c r="X184" s="259"/>
      <c r="Y184" s="259"/>
      <c r="Z184" s="87"/>
      <c r="AA184" s="87"/>
      <c r="AB184" s="259"/>
      <c r="AC184" s="259"/>
      <c r="AD184" s="259"/>
      <c r="AE184" s="259"/>
      <c r="AF184" s="259"/>
      <c r="AG184" s="87"/>
      <c r="AH184" s="87"/>
      <c r="AI184" s="259"/>
      <c r="AJ184" s="259"/>
      <c r="AK184" s="259"/>
      <c r="AL184" s="259"/>
      <c r="AM184" s="259"/>
      <c r="AN184" s="87"/>
      <c r="AO184" s="87"/>
      <c r="AP184" s="259"/>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557"/>
      <c r="D185" s="558"/>
      <c r="E185" s="559"/>
      <c r="F185" s="560"/>
      <c r="G185" s="560"/>
      <c r="H185" s="560"/>
      <c r="I185" s="560"/>
      <c r="J185" s="561"/>
      <c r="K185" s="561"/>
      <c r="L185" s="562"/>
      <c r="M185" s="86"/>
      <c r="N185" s="87"/>
      <c r="O185" s="259"/>
      <c r="P185" s="259"/>
      <c r="Q185" s="259"/>
      <c r="R185" s="259"/>
      <c r="S185" s="87"/>
      <c r="T185" s="87"/>
      <c r="U185" s="259"/>
      <c r="V185" s="259"/>
      <c r="W185" s="87"/>
      <c r="X185" s="259"/>
      <c r="Y185" s="259"/>
      <c r="Z185" s="87"/>
      <c r="AA185" s="87"/>
      <c r="AB185" s="259"/>
      <c r="AC185" s="259"/>
      <c r="AD185" s="259"/>
      <c r="AE185" s="259"/>
      <c r="AF185" s="259"/>
      <c r="AG185" s="87"/>
      <c r="AH185" s="87"/>
      <c r="AI185" s="259"/>
      <c r="AJ185" s="259"/>
      <c r="AK185" s="259"/>
      <c r="AL185" s="259"/>
      <c r="AM185" s="259"/>
      <c r="AN185" s="87"/>
      <c r="AO185" s="87"/>
      <c r="AP185" s="259"/>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557"/>
      <c r="D186" s="558"/>
      <c r="E186" s="559"/>
      <c r="F186" s="560"/>
      <c r="G186" s="560"/>
      <c r="H186" s="560"/>
      <c r="I186" s="560"/>
      <c r="J186" s="561"/>
      <c r="K186" s="561"/>
      <c r="L186" s="562"/>
      <c r="M186" s="86"/>
      <c r="N186" s="87"/>
      <c r="O186" s="259"/>
      <c r="P186" s="259"/>
      <c r="Q186" s="259"/>
      <c r="R186" s="259"/>
      <c r="S186" s="87"/>
      <c r="T186" s="87"/>
      <c r="U186" s="259"/>
      <c r="V186" s="259"/>
      <c r="W186" s="87"/>
      <c r="X186" s="259"/>
      <c r="Y186" s="259"/>
      <c r="Z186" s="87"/>
      <c r="AA186" s="87"/>
      <c r="AB186" s="259"/>
      <c r="AC186" s="259"/>
      <c r="AD186" s="259"/>
      <c r="AE186" s="259"/>
      <c r="AF186" s="259"/>
      <c r="AG186" s="87"/>
      <c r="AH186" s="87"/>
      <c r="AI186" s="259"/>
      <c r="AJ186" s="259"/>
      <c r="AK186" s="259"/>
      <c r="AL186" s="259"/>
      <c r="AM186" s="259"/>
      <c r="AN186" s="87"/>
      <c r="AO186" s="87"/>
      <c r="AP186" s="259"/>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557"/>
      <c r="D187" s="558"/>
      <c r="E187" s="559"/>
      <c r="F187" s="560"/>
      <c r="G187" s="560"/>
      <c r="H187" s="560"/>
      <c r="I187" s="560"/>
      <c r="J187" s="561"/>
      <c r="K187" s="561"/>
      <c r="L187" s="562"/>
      <c r="M187" s="86"/>
      <c r="N187" s="87"/>
      <c r="O187" s="259"/>
      <c r="P187" s="259"/>
      <c r="Q187" s="259"/>
      <c r="R187" s="259"/>
      <c r="S187" s="87"/>
      <c r="T187" s="87"/>
      <c r="U187" s="259"/>
      <c r="V187" s="259"/>
      <c r="W187" s="87"/>
      <c r="X187" s="259"/>
      <c r="Y187" s="259"/>
      <c r="Z187" s="87"/>
      <c r="AA187" s="87"/>
      <c r="AB187" s="259"/>
      <c r="AC187" s="259"/>
      <c r="AD187" s="259"/>
      <c r="AE187" s="259"/>
      <c r="AF187" s="259"/>
      <c r="AG187" s="87"/>
      <c r="AH187" s="87"/>
      <c r="AI187" s="259"/>
      <c r="AJ187" s="259"/>
      <c r="AK187" s="259"/>
      <c r="AL187" s="259"/>
      <c r="AM187" s="259"/>
      <c r="AN187" s="87"/>
      <c r="AO187" s="87"/>
      <c r="AP187" s="259"/>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563"/>
      <c r="D188" s="564"/>
      <c r="E188" s="565"/>
      <c r="F188" s="566"/>
      <c r="G188" s="566"/>
      <c r="H188" s="566"/>
      <c r="I188" s="566"/>
      <c r="J188" s="567"/>
      <c r="K188" s="567"/>
      <c r="L188" s="568"/>
      <c r="M188" s="88"/>
      <c r="N188" s="77"/>
      <c r="O188" s="263"/>
      <c r="P188" s="263"/>
      <c r="Q188" s="263"/>
      <c r="R188" s="263"/>
      <c r="S188" s="77"/>
      <c r="T188" s="77"/>
      <c r="U188" s="263"/>
      <c r="V188" s="263"/>
      <c r="W188" s="77"/>
      <c r="X188" s="263"/>
      <c r="Y188" s="263"/>
      <c r="Z188" s="77"/>
      <c r="AA188" s="77"/>
      <c r="AB188" s="263"/>
      <c r="AC188" s="263"/>
      <c r="AD188" s="263"/>
      <c r="AE188" s="263"/>
      <c r="AF188" s="263"/>
      <c r="AG188" s="77"/>
      <c r="AH188" s="77"/>
      <c r="AI188" s="263"/>
      <c r="AJ188" s="263"/>
      <c r="AK188" s="263"/>
      <c r="AL188" s="263"/>
      <c r="AM188" s="263"/>
      <c r="AN188" s="77"/>
      <c r="AO188" s="77"/>
      <c r="AP188" s="263"/>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0</v>
      </c>
      <c r="BD189" s="43">
        <f t="shared" si="49"/>
        <v>27</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73" t="str">
        <f ca="1">Lists!F12</f>
        <v>Grudzień</v>
      </c>
      <c r="D190" s="574"/>
      <c r="E190" s="574"/>
      <c r="F190" s="574"/>
      <c r="G190" s="575"/>
    </row>
    <row r="191" spans="3:69" ht="20.100000000000001" customHeight="1" thickBot="1">
      <c r="C191" s="576"/>
      <c r="D191" s="577"/>
      <c r="E191" s="577"/>
      <c r="F191" s="577"/>
      <c r="G191" s="578"/>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436" t="str">
        <f ca="1">INDIRECT("T!"&amp;T!A1&amp;"33")</f>
        <v>Etat</v>
      </c>
      <c r="D194" s="437"/>
      <c r="E194" s="430" t="s">
        <v>6</v>
      </c>
      <c r="F194" s="431"/>
      <c r="G194" s="431"/>
      <c r="H194" s="431"/>
      <c r="I194" s="431"/>
      <c r="J194" s="424" t="str">
        <f ca="1">INDIRECT("T!"&amp;T!A1&amp;"34")</f>
        <v>Pozycja</v>
      </c>
      <c r="K194" s="424"/>
      <c r="L194" s="583"/>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79"/>
      <c r="D195" s="580"/>
      <c r="E195" s="581"/>
      <c r="F195" s="582"/>
      <c r="G195" s="582"/>
      <c r="H195" s="582"/>
      <c r="I195" s="582"/>
      <c r="J195" s="427"/>
      <c r="K195" s="427"/>
      <c r="L195" s="584"/>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557"/>
      <c r="D196" s="558"/>
      <c r="E196" s="569"/>
      <c r="F196" s="570"/>
      <c r="G196" s="570"/>
      <c r="H196" s="570"/>
      <c r="I196" s="570"/>
      <c r="J196" s="571"/>
      <c r="K196" s="571"/>
      <c r="L196" s="572"/>
      <c r="M196" s="260"/>
      <c r="N196" s="261"/>
      <c r="O196" s="261"/>
      <c r="P196" s="85"/>
      <c r="Q196" s="85"/>
      <c r="R196" s="85"/>
      <c r="S196" s="261"/>
      <c r="T196" s="261"/>
      <c r="U196" s="261"/>
      <c r="V196" s="261"/>
      <c r="W196" s="261"/>
      <c r="X196" s="85"/>
      <c r="Y196" s="85"/>
      <c r="Z196" s="261"/>
      <c r="AA196" s="261"/>
      <c r="AB196" s="261"/>
      <c r="AC196" s="261"/>
      <c r="AD196" s="261"/>
      <c r="AE196" s="85"/>
      <c r="AF196" s="85"/>
      <c r="AG196" s="85"/>
      <c r="AH196" s="261"/>
      <c r="AI196" s="261"/>
      <c r="AJ196" s="85"/>
      <c r="AK196" s="85"/>
      <c r="AL196" s="85"/>
      <c r="AM196" s="85"/>
      <c r="AN196" s="261"/>
      <c r="AO196" s="261"/>
      <c r="AP196" s="261"/>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557"/>
      <c r="D197" s="558"/>
      <c r="E197" s="559"/>
      <c r="F197" s="560"/>
      <c r="G197" s="560"/>
      <c r="H197" s="560"/>
      <c r="I197" s="560"/>
      <c r="J197" s="561"/>
      <c r="K197" s="561"/>
      <c r="L197" s="562"/>
      <c r="M197" s="258"/>
      <c r="N197" s="259"/>
      <c r="O197" s="259"/>
      <c r="P197" s="87"/>
      <c r="Q197" s="87"/>
      <c r="R197" s="87"/>
      <c r="S197" s="259"/>
      <c r="T197" s="259"/>
      <c r="U197" s="259"/>
      <c r="V197" s="259"/>
      <c r="W197" s="259"/>
      <c r="X197" s="87"/>
      <c r="Y197" s="87"/>
      <c r="Z197" s="259"/>
      <c r="AA197" s="259"/>
      <c r="AB197" s="259"/>
      <c r="AC197" s="259"/>
      <c r="AD197" s="259"/>
      <c r="AE197" s="87"/>
      <c r="AF197" s="87"/>
      <c r="AG197" s="87"/>
      <c r="AH197" s="259"/>
      <c r="AI197" s="259"/>
      <c r="AJ197" s="87"/>
      <c r="AK197" s="87"/>
      <c r="AL197" s="87"/>
      <c r="AM197" s="87"/>
      <c r="AN197" s="259"/>
      <c r="AO197" s="259"/>
      <c r="AP197" s="259"/>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557"/>
      <c r="D198" s="558"/>
      <c r="E198" s="559"/>
      <c r="F198" s="560"/>
      <c r="G198" s="560"/>
      <c r="H198" s="560"/>
      <c r="I198" s="560"/>
      <c r="J198" s="561"/>
      <c r="K198" s="561"/>
      <c r="L198" s="562"/>
      <c r="M198" s="258"/>
      <c r="N198" s="259"/>
      <c r="O198" s="259"/>
      <c r="P198" s="87"/>
      <c r="Q198" s="87"/>
      <c r="R198" s="87"/>
      <c r="S198" s="259"/>
      <c r="T198" s="259"/>
      <c r="U198" s="259"/>
      <c r="V198" s="259"/>
      <c r="W198" s="259"/>
      <c r="X198" s="87"/>
      <c r="Y198" s="87"/>
      <c r="Z198" s="259"/>
      <c r="AA198" s="259"/>
      <c r="AB198" s="259"/>
      <c r="AC198" s="259"/>
      <c r="AD198" s="259"/>
      <c r="AE198" s="87"/>
      <c r="AF198" s="87"/>
      <c r="AG198" s="87"/>
      <c r="AH198" s="259"/>
      <c r="AI198" s="259"/>
      <c r="AJ198" s="87"/>
      <c r="AK198" s="87"/>
      <c r="AL198" s="87"/>
      <c r="AM198" s="87"/>
      <c r="AN198" s="259"/>
      <c r="AO198" s="259"/>
      <c r="AP198" s="259"/>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557"/>
      <c r="D199" s="558"/>
      <c r="E199" s="559"/>
      <c r="F199" s="560"/>
      <c r="G199" s="560"/>
      <c r="H199" s="560"/>
      <c r="I199" s="560"/>
      <c r="J199" s="561"/>
      <c r="K199" s="561"/>
      <c r="L199" s="562"/>
      <c r="M199" s="258"/>
      <c r="N199" s="259"/>
      <c r="O199" s="259"/>
      <c r="P199" s="87"/>
      <c r="Q199" s="87"/>
      <c r="R199" s="87"/>
      <c r="S199" s="259"/>
      <c r="T199" s="259"/>
      <c r="U199" s="259"/>
      <c r="V199" s="259"/>
      <c r="W199" s="259"/>
      <c r="X199" s="87"/>
      <c r="Y199" s="87"/>
      <c r="Z199" s="259"/>
      <c r="AA199" s="259"/>
      <c r="AB199" s="259"/>
      <c r="AC199" s="259"/>
      <c r="AD199" s="259"/>
      <c r="AE199" s="87"/>
      <c r="AF199" s="87"/>
      <c r="AG199" s="87"/>
      <c r="AH199" s="259"/>
      <c r="AI199" s="259"/>
      <c r="AJ199" s="87"/>
      <c r="AK199" s="87"/>
      <c r="AL199" s="87"/>
      <c r="AM199" s="87"/>
      <c r="AN199" s="259"/>
      <c r="AO199" s="259"/>
      <c r="AP199" s="259"/>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557"/>
      <c r="D200" s="558"/>
      <c r="E200" s="559"/>
      <c r="F200" s="560"/>
      <c r="G200" s="560"/>
      <c r="H200" s="560"/>
      <c r="I200" s="560"/>
      <c r="J200" s="561"/>
      <c r="K200" s="561"/>
      <c r="L200" s="562"/>
      <c r="M200" s="258"/>
      <c r="N200" s="259"/>
      <c r="O200" s="259"/>
      <c r="P200" s="87"/>
      <c r="Q200" s="87"/>
      <c r="R200" s="87"/>
      <c r="S200" s="259"/>
      <c r="T200" s="259"/>
      <c r="U200" s="259"/>
      <c r="V200" s="259"/>
      <c r="W200" s="259"/>
      <c r="X200" s="87"/>
      <c r="Y200" s="87"/>
      <c r="Z200" s="259"/>
      <c r="AA200" s="259"/>
      <c r="AB200" s="259"/>
      <c r="AC200" s="259"/>
      <c r="AD200" s="259"/>
      <c r="AE200" s="87"/>
      <c r="AF200" s="87"/>
      <c r="AG200" s="87"/>
      <c r="AH200" s="259"/>
      <c r="AI200" s="259"/>
      <c r="AJ200" s="87"/>
      <c r="AK200" s="87"/>
      <c r="AL200" s="87"/>
      <c r="AM200" s="87"/>
      <c r="AN200" s="259"/>
      <c r="AO200" s="259"/>
      <c r="AP200" s="259"/>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557"/>
      <c r="D201" s="558"/>
      <c r="E201" s="559"/>
      <c r="F201" s="560"/>
      <c r="G201" s="560"/>
      <c r="H201" s="560"/>
      <c r="I201" s="560"/>
      <c r="J201" s="561"/>
      <c r="K201" s="561"/>
      <c r="L201" s="562"/>
      <c r="M201" s="258"/>
      <c r="N201" s="259"/>
      <c r="O201" s="259"/>
      <c r="P201" s="87"/>
      <c r="Q201" s="87"/>
      <c r="R201" s="87"/>
      <c r="S201" s="259"/>
      <c r="T201" s="259"/>
      <c r="U201" s="259"/>
      <c r="V201" s="259"/>
      <c r="W201" s="259"/>
      <c r="X201" s="87"/>
      <c r="Y201" s="87"/>
      <c r="Z201" s="259"/>
      <c r="AA201" s="259"/>
      <c r="AB201" s="259"/>
      <c r="AC201" s="259"/>
      <c r="AD201" s="259"/>
      <c r="AE201" s="87"/>
      <c r="AF201" s="87"/>
      <c r="AG201" s="87"/>
      <c r="AH201" s="259"/>
      <c r="AI201" s="259"/>
      <c r="AJ201" s="87"/>
      <c r="AK201" s="87"/>
      <c r="AL201" s="87"/>
      <c r="AM201" s="87"/>
      <c r="AN201" s="259"/>
      <c r="AO201" s="259"/>
      <c r="AP201" s="259"/>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557"/>
      <c r="D202" s="558"/>
      <c r="E202" s="559"/>
      <c r="F202" s="560"/>
      <c r="G202" s="560"/>
      <c r="H202" s="560"/>
      <c r="I202" s="560"/>
      <c r="J202" s="561"/>
      <c r="K202" s="561"/>
      <c r="L202" s="562"/>
      <c r="M202" s="258"/>
      <c r="N202" s="259"/>
      <c r="O202" s="259"/>
      <c r="P202" s="87"/>
      <c r="Q202" s="87"/>
      <c r="R202" s="87"/>
      <c r="S202" s="259"/>
      <c r="T202" s="259"/>
      <c r="U202" s="259"/>
      <c r="V202" s="259"/>
      <c r="W202" s="259"/>
      <c r="X202" s="87"/>
      <c r="Y202" s="87"/>
      <c r="Z202" s="259"/>
      <c r="AA202" s="259"/>
      <c r="AB202" s="259"/>
      <c r="AC202" s="259"/>
      <c r="AD202" s="259"/>
      <c r="AE202" s="87"/>
      <c r="AF202" s="87"/>
      <c r="AG202" s="87"/>
      <c r="AH202" s="259"/>
      <c r="AI202" s="259"/>
      <c r="AJ202" s="87"/>
      <c r="AK202" s="87"/>
      <c r="AL202" s="87"/>
      <c r="AM202" s="87"/>
      <c r="AN202" s="259"/>
      <c r="AO202" s="259"/>
      <c r="AP202" s="259"/>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557"/>
      <c r="D203" s="558"/>
      <c r="E203" s="559"/>
      <c r="F203" s="560"/>
      <c r="G203" s="560"/>
      <c r="H203" s="560"/>
      <c r="I203" s="560"/>
      <c r="J203" s="561"/>
      <c r="K203" s="561"/>
      <c r="L203" s="562"/>
      <c r="M203" s="258"/>
      <c r="N203" s="259"/>
      <c r="O203" s="259"/>
      <c r="P203" s="87"/>
      <c r="Q203" s="87"/>
      <c r="R203" s="87"/>
      <c r="S203" s="259"/>
      <c r="T203" s="259"/>
      <c r="U203" s="259"/>
      <c r="V203" s="259"/>
      <c r="W203" s="259"/>
      <c r="X203" s="87"/>
      <c r="Y203" s="87"/>
      <c r="Z203" s="259"/>
      <c r="AA203" s="259"/>
      <c r="AB203" s="259"/>
      <c r="AC203" s="259"/>
      <c r="AD203" s="259"/>
      <c r="AE203" s="87"/>
      <c r="AF203" s="87"/>
      <c r="AG203" s="87"/>
      <c r="AH203" s="259"/>
      <c r="AI203" s="259"/>
      <c r="AJ203" s="87"/>
      <c r="AK203" s="87"/>
      <c r="AL203" s="87"/>
      <c r="AM203" s="87"/>
      <c r="AN203" s="259"/>
      <c r="AO203" s="259"/>
      <c r="AP203" s="259"/>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557"/>
      <c r="D204" s="558"/>
      <c r="E204" s="559"/>
      <c r="F204" s="560"/>
      <c r="G204" s="560"/>
      <c r="H204" s="560"/>
      <c r="I204" s="560"/>
      <c r="J204" s="561"/>
      <c r="K204" s="561"/>
      <c r="L204" s="562"/>
      <c r="M204" s="258"/>
      <c r="N204" s="259"/>
      <c r="O204" s="259"/>
      <c r="P204" s="87"/>
      <c r="Q204" s="87"/>
      <c r="R204" s="87"/>
      <c r="S204" s="259"/>
      <c r="T204" s="259"/>
      <c r="U204" s="259"/>
      <c r="V204" s="259"/>
      <c r="W204" s="259"/>
      <c r="X204" s="87"/>
      <c r="Y204" s="87"/>
      <c r="Z204" s="259"/>
      <c r="AA204" s="259"/>
      <c r="AB204" s="259"/>
      <c r="AC204" s="259"/>
      <c r="AD204" s="259"/>
      <c r="AE204" s="87"/>
      <c r="AF204" s="87"/>
      <c r="AG204" s="87"/>
      <c r="AH204" s="259"/>
      <c r="AI204" s="259"/>
      <c r="AJ204" s="87"/>
      <c r="AK204" s="87"/>
      <c r="AL204" s="87"/>
      <c r="AM204" s="87"/>
      <c r="AN204" s="259"/>
      <c r="AO204" s="259"/>
      <c r="AP204" s="259"/>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563"/>
      <c r="D205" s="564"/>
      <c r="E205" s="565"/>
      <c r="F205" s="566"/>
      <c r="G205" s="566"/>
      <c r="H205" s="566"/>
      <c r="I205" s="566"/>
      <c r="J205" s="567"/>
      <c r="K205" s="567"/>
      <c r="L205" s="568"/>
      <c r="M205" s="262"/>
      <c r="N205" s="263"/>
      <c r="O205" s="263"/>
      <c r="P205" s="77"/>
      <c r="Q205" s="77"/>
      <c r="R205" s="77"/>
      <c r="S205" s="263"/>
      <c r="T205" s="263"/>
      <c r="U205" s="263"/>
      <c r="V205" s="263"/>
      <c r="W205" s="263"/>
      <c r="X205" s="77"/>
      <c r="Y205" s="77"/>
      <c r="Z205" s="263"/>
      <c r="AA205" s="263"/>
      <c r="AB205" s="263"/>
      <c r="AC205" s="263"/>
      <c r="AD205" s="263"/>
      <c r="AE205" s="77"/>
      <c r="AF205" s="77"/>
      <c r="AG205" s="77"/>
      <c r="AH205" s="263"/>
      <c r="AI205" s="263"/>
      <c r="AJ205" s="77"/>
      <c r="AK205" s="77"/>
      <c r="AL205" s="77"/>
      <c r="AM205" s="77"/>
      <c r="AN205" s="263"/>
      <c r="AO205" s="263"/>
      <c r="AP205" s="263"/>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10:D10"/>
    <mergeCell ref="E10:I10"/>
    <mergeCell ref="J10:L10"/>
    <mergeCell ref="C11:D11"/>
    <mergeCell ref="E11:I11"/>
    <mergeCell ref="J11:L11"/>
    <mergeCell ref="C1:AQ2"/>
    <mergeCell ref="C3:G4"/>
    <mergeCell ref="C7:D8"/>
    <mergeCell ref="E7:I8"/>
    <mergeCell ref="J7:L8"/>
    <mergeCell ref="C9:D9"/>
    <mergeCell ref="E9:I9"/>
    <mergeCell ref="J9:L9"/>
    <mergeCell ref="C14:D14"/>
    <mergeCell ref="E14:I14"/>
    <mergeCell ref="J14:L14"/>
    <mergeCell ref="C15:D15"/>
    <mergeCell ref="E15:I15"/>
    <mergeCell ref="J15:L15"/>
    <mergeCell ref="C12:D12"/>
    <mergeCell ref="E12:I12"/>
    <mergeCell ref="J12:L12"/>
    <mergeCell ref="C13:D13"/>
    <mergeCell ref="E13:I13"/>
    <mergeCell ref="J13:L13"/>
    <mergeCell ref="C18:D18"/>
    <mergeCell ref="E18:I18"/>
    <mergeCell ref="J18:L18"/>
    <mergeCell ref="C20:G21"/>
    <mergeCell ref="C24:D25"/>
    <mergeCell ref="E24:I25"/>
    <mergeCell ref="J24:L25"/>
    <mergeCell ref="C16:D16"/>
    <mergeCell ref="E16:I16"/>
    <mergeCell ref="J16:L16"/>
    <mergeCell ref="C17:D17"/>
    <mergeCell ref="E17:I17"/>
    <mergeCell ref="J17:L17"/>
    <mergeCell ref="C28:D28"/>
    <mergeCell ref="E28:I28"/>
    <mergeCell ref="J28:L28"/>
    <mergeCell ref="C29:D29"/>
    <mergeCell ref="E29:I29"/>
    <mergeCell ref="J29:L29"/>
    <mergeCell ref="C26:D26"/>
    <mergeCell ref="E26:I26"/>
    <mergeCell ref="J26:L26"/>
    <mergeCell ref="C27:D27"/>
    <mergeCell ref="E27:I27"/>
    <mergeCell ref="J27:L27"/>
    <mergeCell ref="C32:D32"/>
    <mergeCell ref="E32:I32"/>
    <mergeCell ref="J32:L32"/>
    <mergeCell ref="C33:D33"/>
    <mergeCell ref="E33:I33"/>
    <mergeCell ref="J33:L33"/>
    <mergeCell ref="C30:D30"/>
    <mergeCell ref="E30:I30"/>
    <mergeCell ref="J30:L30"/>
    <mergeCell ref="C31:D31"/>
    <mergeCell ref="E31:I31"/>
    <mergeCell ref="J31:L31"/>
    <mergeCell ref="C37:G38"/>
    <mergeCell ref="C41:D42"/>
    <mergeCell ref="E41:I42"/>
    <mergeCell ref="J41:L42"/>
    <mergeCell ref="C43:D43"/>
    <mergeCell ref="E43:I43"/>
    <mergeCell ref="J43:L43"/>
    <mergeCell ref="C34:D34"/>
    <mergeCell ref="E34:I34"/>
    <mergeCell ref="J34:L34"/>
    <mergeCell ref="C35:D35"/>
    <mergeCell ref="E35:I35"/>
    <mergeCell ref="J35:L35"/>
    <mergeCell ref="C46:D46"/>
    <mergeCell ref="E46:I46"/>
    <mergeCell ref="J46:L46"/>
    <mergeCell ref="C47:D47"/>
    <mergeCell ref="E47:I47"/>
    <mergeCell ref="J47:L47"/>
    <mergeCell ref="C44:D44"/>
    <mergeCell ref="E44:I44"/>
    <mergeCell ref="J44:L44"/>
    <mergeCell ref="C45:D45"/>
    <mergeCell ref="E45:I45"/>
    <mergeCell ref="J45:L45"/>
    <mergeCell ref="C50:D50"/>
    <mergeCell ref="E50:I50"/>
    <mergeCell ref="J50:L50"/>
    <mergeCell ref="C51:D51"/>
    <mergeCell ref="E51:I51"/>
    <mergeCell ref="J51:L51"/>
    <mergeCell ref="C48:D48"/>
    <mergeCell ref="E48:I48"/>
    <mergeCell ref="J48:L48"/>
    <mergeCell ref="C49:D49"/>
    <mergeCell ref="E49:I49"/>
    <mergeCell ref="J49:L49"/>
    <mergeCell ref="C60:D60"/>
    <mergeCell ref="E60:I60"/>
    <mergeCell ref="J60:L60"/>
    <mergeCell ref="C61:D61"/>
    <mergeCell ref="E61:I61"/>
    <mergeCell ref="J61:L61"/>
    <mergeCell ref="C52:D52"/>
    <mergeCell ref="E52:I52"/>
    <mergeCell ref="J52:L52"/>
    <mergeCell ref="C54:G55"/>
    <mergeCell ref="C58:D59"/>
    <mergeCell ref="E58:I59"/>
    <mergeCell ref="J58:L59"/>
    <mergeCell ref="C64:D64"/>
    <mergeCell ref="E64:I64"/>
    <mergeCell ref="J64:L64"/>
    <mergeCell ref="C65:D65"/>
    <mergeCell ref="E65:I65"/>
    <mergeCell ref="J65:L65"/>
    <mergeCell ref="C62:D62"/>
    <mergeCell ref="E62:I62"/>
    <mergeCell ref="J62:L62"/>
    <mergeCell ref="C63:D63"/>
    <mergeCell ref="E63:I63"/>
    <mergeCell ref="J63:L63"/>
    <mergeCell ref="C68:D68"/>
    <mergeCell ref="E68:I68"/>
    <mergeCell ref="J68:L68"/>
    <mergeCell ref="C69:D69"/>
    <mergeCell ref="E69:I69"/>
    <mergeCell ref="J69:L69"/>
    <mergeCell ref="C66:D66"/>
    <mergeCell ref="E66:I66"/>
    <mergeCell ref="J66:L66"/>
    <mergeCell ref="C67:D67"/>
    <mergeCell ref="E67:I67"/>
    <mergeCell ref="J67:L67"/>
    <mergeCell ref="C78:D78"/>
    <mergeCell ref="E78:I78"/>
    <mergeCell ref="J78:L78"/>
    <mergeCell ref="C79:D79"/>
    <mergeCell ref="E79:I79"/>
    <mergeCell ref="J79:L79"/>
    <mergeCell ref="C71:G72"/>
    <mergeCell ref="C75:D76"/>
    <mergeCell ref="E75:I76"/>
    <mergeCell ref="J75:L76"/>
    <mergeCell ref="C77:D77"/>
    <mergeCell ref="E77:I77"/>
    <mergeCell ref="J77:L77"/>
    <mergeCell ref="C82:D82"/>
    <mergeCell ref="E82:I82"/>
    <mergeCell ref="J82:L82"/>
    <mergeCell ref="C83:D83"/>
    <mergeCell ref="E83:I83"/>
    <mergeCell ref="J83:L83"/>
    <mergeCell ref="C80:D80"/>
    <mergeCell ref="E80:I80"/>
    <mergeCell ref="J80:L80"/>
    <mergeCell ref="C81:D81"/>
    <mergeCell ref="E81:I81"/>
    <mergeCell ref="J81:L81"/>
    <mergeCell ref="C86:D86"/>
    <mergeCell ref="E86:I86"/>
    <mergeCell ref="J86:L86"/>
    <mergeCell ref="C88:G89"/>
    <mergeCell ref="C92:D93"/>
    <mergeCell ref="E92:I93"/>
    <mergeCell ref="J92:L93"/>
    <mergeCell ref="C84:D84"/>
    <mergeCell ref="E84:I84"/>
    <mergeCell ref="J84:L84"/>
    <mergeCell ref="C85:D85"/>
    <mergeCell ref="E85:I85"/>
    <mergeCell ref="J85:L85"/>
    <mergeCell ref="C96:D96"/>
    <mergeCell ref="E96:I96"/>
    <mergeCell ref="J96:L96"/>
    <mergeCell ref="C97:D97"/>
    <mergeCell ref="E97:I97"/>
    <mergeCell ref="J97:L97"/>
    <mergeCell ref="C94:D94"/>
    <mergeCell ref="E94:I94"/>
    <mergeCell ref="J94:L94"/>
    <mergeCell ref="C95:D95"/>
    <mergeCell ref="E95:I95"/>
    <mergeCell ref="J95:L95"/>
    <mergeCell ref="C100:D100"/>
    <mergeCell ref="E100:I100"/>
    <mergeCell ref="J100:L100"/>
    <mergeCell ref="C101:D101"/>
    <mergeCell ref="E101:I101"/>
    <mergeCell ref="J101:L101"/>
    <mergeCell ref="C98:D98"/>
    <mergeCell ref="E98:I98"/>
    <mergeCell ref="J98:L98"/>
    <mergeCell ref="C99:D99"/>
    <mergeCell ref="E99:I99"/>
    <mergeCell ref="J99:L99"/>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200:D200"/>
    <mergeCell ref="E200:I200"/>
    <mergeCell ref="J200:L200"/>
    <mergeCell ref="C201:D201"/>
    <mergeCell ref="E201:I201"/>
    <mergeCell ref="J201:L201"/>
    <mergeCell ref="C198:D198"/>
    <mergeCell ref="E198:I198"/>
    <mergeCell ref="J198:L198"/>
    <mergeCell ref="C199:D199"/>
    <mergeCell ref="E199:I199"/>
    <mergeCell ref="J199:L199"/>
    <mergeCell ref="C204:D204"/>
    <mergeCell ref="E204:I204"/>
    <mergeCell ref="J204:L204"/>
    <mergeCell ref="C205:D205"/>
    <mergeCell ref="E205:I205"/>
    <mergeCell ref="J205:L205"/>
    <mergeCell ref="C202:D202"/>
    <mergeCell ref="E202:I202"/>
    <mergeCell ref="J202:L202"/>
    <mergeCell ref="C203:D203"/>
    <mergeCell ref="E203:I203"/>
    <mergeCell ref="J203:L20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zoomScaleNormal="100" workbookViewId="0">
      <selection activeCell="F28" sqref="F28"/>
    </sheetView>
  </sheetViews>
  <sheetFormatPr defaultColWidth="0" defaultRowHeight="15"/>
  <cols>
    <col min="1" max="1" width="2.7109375" style="5" customWidth="1"/>
    <col min="2" max="2" width="19" style="5" customWidth="1"/>
    <col min="3" max="3" width="3" style="6" customWidth="1"/>
    <col min="4" max="4" width="6.42578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42578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43" t="str">
        <f ca="1">INDIRECT("T!"&amp;T!A1&amp;"48")</f>
        <v>Kalendarz Pracy</v>
      </c>
      <c r="I2" s="643"/>
      <c r="J2" s="643"/>
      <c r="K2" s="643"/>
      <c r="L2" s="643"/>
    </row>
    <row r="3" spans="1:12" ht="15" customHeight="1" thickBot="1">
      <c r="B3" s="206">
        <v>46023</v>
      </c>
      <c r="D3" s="663" t="str">
        <f ca="1">INDIRECT("T!"&amp;T!A1&amp;"36")</f>
        <v>Zmiany regularne</v>
      </c>
      <c r="E3" s="208" t="s">
        <v>141</v>
      </c>
      <c r="F3" s="211" t="s">
        <v>10</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64"/>
      <c r="E4" s="209" t="s">
        <v>142</v>
      </c>
      <c r="F4" s="212" t="s">
        <v>17</v>
      </c>
      <c r="H4" s="199" t="str">
        <f ca="1">Lists!F1</f>
        <v>Styczeń</v>
      </c>
      <c r="I4" s="236">
        <v>31</v>
      </c>
      <c r="J4" s="236">
        <f>I4-K4</f>
        <v>20</v>
      </c>
      <c r="K4" s="191">
        <v>11</v>
      </c>
      <c r="L4" s="236">
        <f>J4*8</f>
        <v>160</v>
      </c>
    </row>
    <row r="5" spans="1:12" ht="15" customHeight="1" thickBot="1">
      <c r="B5" s="5" t="s">
        <v>143</v>
      </c>
      <c r="D5" s="664"/>
      <c r="E5" s="209" t="s">
        <v>144</v>
      </c>
      <c r="F5" s="212" t="s">
        <v>137</v>
      </c>
      <c r="H5" s="199" t="str">
        <f ca="1">Lists!F2</f>
        <v>Luty</v>
      </c>
      <c r="I5" s="191">
        <v>28</v>
      </c>
      <c r="J5" s="236">
        <f t="shared" ref="J5:J15" si="0">I5-K5</f>
        <v>20</v>
      </c>
      <c r="K5" s="191">
        <v>8</v>
      </c>
      <c r="L5" s="236">
        <f t="shared" ref="L5:L15" si="1">J5*8</f>
        <v>160</v>
      </c>
    </row>
    <row r="6" spans="1:12" ht="15" customHeight="1" thickBot="1">
      <c r="A6" s="6"/>
      <c r="B6" s="207" t="s">
        <v>145</v>
      </c>
      <c r="C6" s="7"/>
      <c r="D6" s="664"/>
      <c r="E6" s="209" t="s">
        <v>146</v>
      </c>
      <c r="F6" s="212" t="s">
        <v>147</v>
      </c>
      <c r="H6" s="199" t="str">
        <f ca="1">Lists!F3</f>
        <v>Marzec</v>
      </c>
      <c r="I6" s="236">
        <v>31</v>
      </c>
      <c r="J6" s="236">
        <f t="shared" si="0"/>
        <v>22</v>
      </c>
      <c r="K6" s="191">
        <v>9</v>
      </c>
      <c r="L6" s="236">
        <f t="shared" si="1"/>
        <v>176</v>
      </c>
    </row>
    <row r="7" spans="1:12" ht="15" customHeight="1">
      <c r="D7" s="664"/>
      <c r="E7" s="209" t="s">
        <v>148</v>
      </c>
      <c r="F7" s="212" t="s">
        <v>23</v>
      </c>
      <c r="H7" s="199" t="str">
        <f ca="1">Lists!F4</f>
        <v>Kwiecień</v>
      </c>
      <c r="I7" s="236">
        <v>30</v>
      </c>
      <c r="J7" s="236">
        <f t="shared" si="0"/>
        <v>21</v>
      </c>
      <c r="K7" s="191">
        <v>9</v>
      </c>
      <c r="L7" s="236">
        <f t="shared" si="1"/>
        <v>168</v>
      </c>
    </row>
    <row r="8" spans="1:12" ht="15" customHeight="1">
      <c r="D8" s="664"/>
      <c r="E8" s="209" t="s">
        <v>149</v>
      </c>
      <c r="F8" s="212" t="s">
        <v>18</v>
      </c>
      <c r="H8" s="199" t="str">
        <f ca="1">Lists!F5</f>
        <v>Maj</v>
      </c>
      <c r="I8" s="236">
        <v>31</v>
      </c>
      <c r="J8" s="236">
        <f t="shared" si="0"/>
        <v>20</v>
      </c>
      <c r="K8" s="191">
        <v>11</v>
      </c>
      <c r="L8" s="236">
        <f t="shared" si="1"/>
        <v>160</v>
      </c>
    </row>
    <row r="9" spans="1:12" ht="15" customHeight="1">
      <c r="D9" s="664"/>
      <c r="E9" s="209" t="s">
        <v>150</v>
      </c>
      <c r="F9" s="212" t="s">
        <v>139</v>
      </c>
      <c r="H9" s="199" t="str">
        <f ca="1">Lists!F6</f>
        <v>Czerwiec</v>
      </c>
      <c r="I9" s="236">
        <v>30</v>
      </c>
      <c r="J9" s="236">
        <f t="shared" si="0"/>
        <v>21</v>
      </c>
      <c r="K9" s="191">
        <v>9</v>
      </c>
      <c r="L9" s="236">
        <f t="shared" si="1"/>
        <v>168</v>
      </c>
    </row>
    <row r="10" spans="1:12" ht="15" customHeight="1">
      <c r="D10" s="664"/>
      <c r="E10" s="209" t="s">
        <v>151</v>
      </c>
      <c r="F10" s="212" t="s">
        <v>13</v>
      </c>
      <c r="H10" s="199" t="str">
        <f ca="1">Lists!F7</f>
        <v>Lipiec</v>
      </c>
      <c r="I10" s="236">
        <v>31</v>
      </c>
      <c r="J10" s="236">
        <f t="shared" si="0"/>
        <v>23</v>
      </c>
      <c r="K10" s="191">
        <v>8</v>
      </c>
      <c r="L10" s="236">
        <f t="shared" si="1"/>
        <v>184</v>
      </c>
    </row>
    <row r="11" spans="1:12" ht="15" customHeight="1">
      <c r="D11" s="664"/>
      <c r="E11" s="209" t="s">
        <v>152</v>
      </c>
      <c r="F11" s="212" t="s">
        <v>135</v>
      </c>
      <c r="H11" s="199" t="str">
        <f ca="1">Lists!F8</f>
        <v>Sierpień</v>
      </c>
      <c r="I11" s="236">
        <v>31</v>
      </c>
      <c r="J11" s="236">
        <f t="shared" si="0"/>
        <v>20</v>
      </c>
      <c r="K11" s="191">
        <v>11</v>
      </c>
      <c r="L11" s="236">
        <f t="shared" si="1"/>
        <v>160</v>
      </c>
    </row>
    <row r="12" spans="1:12" ht="15" customHeight="1">
      <c r="D12" s="664"/>
      <c r="E12" s="209" t="s">
        <v>153</v>
      </c>
      <c r="F12" s="212" t="s">
        <v>138</v>
      </c>
      <c r="H12" s="199" t="str">
        <f ca="1">Lists!F9</f>
        <v>Wrzesień</v>
      </c>
      <c r="I12" s="236">
        <v>30</v>
      </c>
      <c r="J12" s="236">
        <f t="shared" si="0"/>
        <v>22</v>
      </c>
      <c r="K12" s="191">
        <v>8</v>
      </c>
      <c r="L12" s="236">
        <f t="shared" si="1"/>
        <v>176</v>
      </c>
    </row>
    <row r="13" spans="1:12" ht="15" customHeight="1">
      <c r="D13" s="664"/>
      <c r="E13" s="209" t="s">
        <v>154</v>
      </c>
      <c r="F13" s="212" t="s">
        <v>140</v>
      </c>
      <c r="H13" s="199" t="str">
        <f ca="1">Lists!F10</f>
        <v>Październik</v>
      </c>
      <c r="I13" s="236">
        <v>31</v>
      </c>
      <c r="J13" s="236">
        <f t="shared" si="0"/>
        <v>22</v>
      </c>
      <c r="K13" s="191">
        <v>9</v>
      </c>
      <c r="L13" s="236">
        <f t="shared" si="1"/>
        <v>176</v>
      </c>
    </row>
    <row r="14" spans="1:12" ht="15" customHeight="1">
      <c r="D14" s="664"/>
      <c r="E14" s="209"/>
      <c r="F14" s="212"/>
      <c r="H14" s="199" t="str">
        <f ca="1">Lists!F11</f>
        <v>Listopad</v>
      </c>
      <c r="I14" s="236">
        <v>30</v>
      </c>
      <c r="J14" s="236">
        <f t="shared" si="0"/>
        <v>20</v>
      </c>
      <c r="K14" s="191">
        <v>10</v>
      </c>
      <c r="L14" s="236">
        <f t="shared" si="1"/>
        <v>160</v>
      </c>
    </row>
    <row r="15" spans="1:12" ht="15" customHeight="1">
      <c r="D15" s="664"/>
      <c r="E15" s="209"/>
      <c r="F15" s="212"/>
      <c r="H15" s="200" t="str">
        <f ca="1">Lists!F12</f>
        <v>Grudzień</v>
      </c>
      <c r="I15" s="236">
        <v>31</v>
      </c>
      <c r="J15" s="236">
        <f t="shared" si="0"/>
        <v>20</v>
      </c>
      <c r="K15" s="191">
        <v>11</v>
      </c>
      <c r="L15" s="236">
        <f t="shared" si="1"/>
        <v>160</v>
      </c>
    </row>
    <row r="16" spans="1:12" ht="15" customHeight="1">
      <c r="D16" s="664"/>
      <c r="E16" s="209"/>
      <c r="F16" s="212"/>
      <c r="H16" s="644" t="str">
        <f ca="1">INDIRECT("T!"&amp;T!A1&amp;"49")</f>
        <v>*Wprowadź dane w żółte komórki</v>
      </c>
      <c r="I16" s="644"/>
      <c r="J16" s="644"/>
      <c r="K16" s="644"/>
      <c r="L16" s="644"/>
    </row>
    <row r="17" spans="4:12" ht="15" customHeight="1">
      <c r="D17" s="664"/>
      <c r="E17" s="209"/>
      <c r="F17" s="212"/>
    </row>
    <row r="18" spans="4:12" ht="15" customHeight="1" thickBot="1">
      <c r="D18" s="664"/>
      <c r="E18" s="209"/>
      <c r="F18" s="212"/>
      <c r="H18" s="645" t="str">
        <f ca="1">INDIRECT("T!"&amp;T!A1&amp;"63")</f>
        <v>Wprowadź daty świąt</v>
      </c>
      <c r="I18" s="645"/>
      <c r="J18" s="645"/>
      <c r="K18" s="645"/>
      <c r="L18" s="645"/>
    </row>
    <row r="19" spans="4:12" ht="15" customHeight="1" thickBot="1">
      <c r="D19" s="664"/>
      <c r="E19" s="209"/>
      <c r="F19" s="212"/>
      <c r="H19" s="646" t="str">
        <f ca="1">INDIRECT("T!"&amp;T!A1&amp;"65")</f>
        <v>Data [rrrr-mm-dd]</v>
      </c>
      <c r="I19" s="647"/>
      <c r="J19" s="647" t="str">
        <f ca="1">INDIRECT("T!"&amp;T!A1&amp;"64")</f>
        <v>Nazwa święta</v>
      </c>
      <c r="K19" s="647"/>
      <c r="L19" s="648"/>
    </row>
    <row r="20" spans="4:12" ht="15" customHeight="1">
      <c r="D20" s="664"/>
      <c r="E20" s="209"/>
      <c r="F20" s="212"/>
      <c r="H20" s="649">
        <v>46023</v>
      </c>
      <c r="I20" s="650"/>
      <c r="J20" s="651" t="s">
        <v>155</v>
      </c>
      <c r="K20" s="651"/>
      <c r="L20" s="652"/>
    </row>
    <row r="21" spans="4:12" ht="15" customHeight="1">
      <c r="D21" s="664"/>
      <c r="E21" s="209"/>
      <c r="F21" s="212"/>
      <c r="H21" s="634">
        <v>46028</v>
      </c>
      <c r="I21" s="635"/>
      <c r="J21" s="636" t="s">
        <v>156</v>
      </c>
      <c r="K21" s="636"/>
      <c r="L21" s="637"/>
    </row>
    <row r="22" spans="4:12" ht="15" customHeight="1" thickBot="1">
      <c r="D22" s="665"/>
      <c r="E22" s="210"/>
      <c r="F22" s="213"/>
      <c r="H22" s="634">
        <v>46117</v>
      </c>
      <c r="I22" s="635"/>
      <c r="J22" s="636" t="s">
        <v>157</v>
      </c>
      <c r="K22" s="636"/>
      <c r="L22" s="637"/>
    </row>
    <row r="23" spans="4:12" ht="15" customHeight="1">
      <c r="D23" s="663" t="s">
        <v>158</v>
      </c>
      <c r="E23" s="208" t="s">
        <v>159</v>
      </c>
      <c r="F23" s="211" t="s">
        <v>12</v>
      </c>
      <c r="H23" s="634">
        <v>46118</v>
      </c>
      <c r="I23" s="635"/>
      <c r="J23" s="636" t="s">
        <v>160</v>
      </c>
      <c r="K23" s="636"/>
      <c r="L23" s="637"/>
    </row>
    <row r="24" spans="4:12" ht="15" customHeight="1">
      <c r="D24" s="664"/>
      <c r="E24" s="209" t="s">
        <v>161</v>
      </c>
      <c r="F24" s="212" t="s">
        <v>132</v>
      </c>
      <c r="H24" s="638">
        <v>46143</v>
      </c>
      <c r="I24" s="639"/>
      <c r="J24" s="640" t="s">
        <v>162</v>
      </c>
      <c r="K24" s="641"/>
      <c r="L24" s="642"/>
    </row>
    <row r="25" spans="4:12" ht="15" customHeight="1">
      <c r="D25" s="664"/>
      <c r="E25" s="209" t="s">
        <v>163</v>
      </c>
      <c r="F25" s="212" t="s">
        <v>133</v>
      </c>
      <c r="H25" s="638">
        <v>46145</v>
      </c>
      <c r="I25" s="639"/>
      <c r="J25" s="640" t="s">
        <v>164</v>
      </c>
      <c r="K25" s="641"/>
      <c r="L25" s="642"/>
    </row>
    <row r="26" spans="4:12" ht="15" customHeight="1">
      <c r="D26" s="664"/>
      <c r="E26" s="209" t="s">
        <v>165</v>
      </c>
      <c r="F26" s="212" t="s">
        <v>136</v>
      </c>
      <c r="H26" s="638">
        <v>46166</v>
      </c>
      <c r="I26" s="639"/>
      <c r="J26" s="636" t="s">
        <v>166</v>
      </c>
      <c r="K26" s="636"/>
      <c r="L26" s="637"/>
    </row>
    <row r="27" spans="4:12" ht="15" customHeight="1">
      <c r="D27" s="664"/>
      <c r="E27" s="209" t="s">
        <v>167</v>
      </c>
      <c r="F27" s="212" t="s">
        <v>25</v>
      </c>
      <c r="H27" s="638">
        <v>46177</v>
      </c>
      <c r="I27" s="639"/>
      <c r="J27" s="636" t="s">
        <v>168</v>
      </c>
      <c r="K27" s="636"/>
      <c r="L27" s="637"/>
    </row>
    <row r="28" spans="4:12" ht="15" customHeight="1">
      <c r="D28" s="664"/>
      <c r="E28" s="209"/>
      <c r="F28" s="212"/>
      <c r="H28" s="638">
        <v>46249</v>
      </c>
      <c r="I28" s="639"/>
      <c r="J28" s="636" t="s">
        <v>169</v>
      </c>
      <c r="K28" s="636"/>
      <c r="L28" s="637"/>
    </row>
    <row r="29" spans="4:12" ht="15" customHeight="1">
      <c r="D29" s="664"/>
      <c r="E29" s="209"/>
      <c r="F29" s="212"/>
      <c r="H29" s="634">
        <v>46327</v>
      </c>
      <c r="I29" s="635"/>
      <c r="J29" s="636" t="s">
        <v>170</v>
      </c>
      <c r="K29" s="636"/>
      <c r="L29" s="637"/>
    </row>
    <row r="30" spans="4:12" ht="15" customHeight="1">
      <c r="D30" s="664"/>
      <c r="E30" s="209"/>
      <c r="F30" s="212"/>
      <c r="H30" s="634">
        <v>46337</v>
      </c>
      <c r="I30" s="635"/>
      <c r="J30" s="636" t="s">
        <v>171</v>
      </c>
      <c r="K30" s="636"/>
      <c r="L30" s="637"/>
    </row>
    <row r="31" spans="4:12">
      <c r="D31" s="664"/>
      <c r="E31" s="209"/>
      <c r="F31" s="212"/>
      <c r="H31" s="634">
        <v>46380</v>
      </c>
      <c r="I31" s="635"/>
      <c r="J31" s="636" t="s">
        <v>172</v>
      </c>
      <c r="K31" s="636"/>
      <c r="L31" s="637"/>
    </row>
    <row r="32" spans="4:12">
      <c r="D32" s="664"/>
      <c r="E32" s="209"/>
      <c r="F32" s="212"/>
      <c r="H32" s="634">
        <v>46381</v>
      </c>
      <c r="I32" s="635"/>
      <c r="J32" s="636" t="s">
        <v>173</v>
      </c>
      <c r="K32" s="636"/>
      <c r="L32" s="637"/>
    </row>
    <row r="33" spans="4:12">
      <c r="D33" s="664"/>
      <c r="E33" s="209"/>
      <c r="F33" s="212"/>
      <c r="H33" s="634">
        <v>46382</v>
      </c>
      <c r="I33" s="635"/>
      <c r="J33" s="636" t="s">
        <v>174</v>
      </c>
      <c r="K33" s="636"/>
      <c r="L33" s="637"/>
    </row>
    <row r="34" spans="4:12" ht="15.75" thickBot="1">
      <c r="D34" s="664"/>
      <c r="E34" s="209"/>
      <c r="F34" s="212"/>
      <c r="H34" s="634"/>
      <c r="I34" s="635"/>
      <c r="J34" s="636"/>
      <c r="K34" s="636"/>
      <c r="L34" s="637"/>
    </row>
    <row r="35" spans="4:12" ht="15.75" thickBot="1">
      <c r="D35" s="664"/>
      <c r="E35" s="209"/>
      <c r="F35" s="212"/>
      <c r="H35" s="646" t="str">
        <f ca="1">INDIRECT("T!"&amp;T!A1&amp;"65")</f>
        <v>Data [rrrr-mm-dd]</v>
      </c>
      <c r="I35" s="647"/>
      <c r="J35" s="647" t="str">
        <f ca="1">INDIRECT("T!"&amp;T!A1&amp;"93")</f>
        <v>Nazwa wydarzenia</v>
      </c>
      <c r="K35" s="647"/>
      <c r="L35" s="648"/>
    </row>
    <row r="36" spans="4:12">
      <c r="D36" s="664"/>
      <c r="E36" s="209"/>
      <c r="F36" s="212"/>
      <c r="H36" s="658">
        <v>46043</v>
      </c>
      <c r="I36" s="659"/>
      <c r="J36" s="660" t="s">
        <v>175</v>
      </c>
      <c r="K36" s="661"/>
      <c r="L36" s="662"/>
    </row>
    <row r="37" spans="4:12">
      <c r="D37" s="664"/>
      <c r="E37" s="209"/>
      <c r="F37" s="212"/>
      <c r="H37" s="653">
        <v>46044</v>
      </c>
      <c r="I37" s="654"/>
      <c r="J37" s="655" t="s">
        <v>176</v>
      </c>
      <c r="K37" s="656"/>
      <c r="L37" s="657"/>
    </row>
    <row r="38" spans="4:12" ht="15" customHeight="1">
      <c r="D38" s="664"/>
      <c r="E38" s="209"/>
      <c r="F38" s="212"/>
      <c r="H38" s="653">
        <v>46055</v>
      </c>
      <c r="I38" s="654"/>
      <c r="J38" s="655" t="s">
        <v>177</v>
      </c>
      <c r="K38" s="656"/>
      <c r="L38" s="657"/>
    </row>
    <row r="39" spans="4:12">
      <c r="D39" s="664"/>
      <c r="E39" s="209"/>
      <c r="F39" s="212"/>
      <c r="H39" s="653">
        <v>46065</v>
      </c>
      <c r="I39" s="654"/>
      <c r="J39" s="655" t="s">
        <v>178</v>
      </c>
      <c r="K39" s="656"/>
      <c r="L39" s="657"/>
    </row>
    <row r="40" spans="4:12">
      <c r="D40" s="664"/>
      <c r="E40" s="209"/>
      <c r="F40" s="212"/>
      <c r="H40" s="653">
        <v>46067</v>
      </c>
      <c r="I40" s="654"/>
      <c r="J40" s="655" t="s">
        <v>179</v>
      </c>
      <c r="K40" s="656"/>
      <c r="L40" s="657"/>
    </row>
    <row r="41" spans="4:12">
      <c r="D41" s="664"/>
      <c r="E41" s="209"/>
      <c r="F41" s="212"/>
      <c r="H41" s="653">
        <v>46070</v>
      </c>
      <c r="I41" s="654"/>
      <c r="J41" s="655" t="s">
        <v>180</v>
      </c>
      <c r="K41" s="656"/>
      <c r="L41" s="657"/>
    </row>
    <row r="42" spans="4:12" ht="15.75" thickBot="1">
      <c r="D42" s="665"/>
      <c r="E42" s="210"/>
      <c r="F42" s="224"/>
      <c r="G42" s="225"/>
      <c r="H42" s="653">
        <v>46082</v>
      </c>
      <c r="I42" s="654"/>
      <c r="J42" s="655" t="s">
        <v>181</v>
      </c>
      <c r="K42" s="656"/>
      <c r="L42" s="657"/>
    </row>
    <row r="43" spans="4:12">
      <c r="D43" s="666" t="str">
        <f ca="1">INDIRECT("T!"&amp;T!A1&amp;"37")</f>
        <v>Inne</v>
      </c>
      <c r="E43" s="167" t="s">
        <v>182</v>
      </c>
      <c r="F43" s="168" t="s">
        <v>11</v>
      </c>
      <c r="H43" s="653">
        <v>46089</v>
      </c>
      <c r="I43" s="654"/>
      <c r="J43" s="655" t="s">
        <v>183</v>
      </c>
      <c r="K43" s="656"/>
      <c r="L43" s="657"/>
    </row>
    <row r="44" spans="4:12">
      <c r="D44" s="667"/>
      <c r="E44" s="165" t="s">
        <v>184</v>
      </c>
      <c r="F44" s="19" t="s">
        <v>14</v>
      </c>
      <c r="H44" s="653">
        <v>46091</v>
      </c>
      <c r="I44" s="654"/>
      <c r="J44" s="655" t="s">
        <v>185</v>
      </c>
      <c r="K44" s="656"/>
      <c r="L44" s="657"/>
    </row>
    <row r="45" spans="4:12" ht="15.75" thickBot="1">
      <c r="D45" s="668"/>
      <c r="E45" s="166" t="s">
        <v>186</v>
      </c>
      <c r="F45" s="91" t="s">
        <v>108</v>
      </c>
      <c r="H45" s="653">
        <v>46101</v>
      </c>
      <c r="I45" s="654"/>
      <c r="J45" s="655" t="s">
        <v>187</v>
      </c>
      <c r="K45" s="656"/>
      <c r="L45" s="657"/>
    </row>
    <row r="46" spans="4:12">
      <c r="D46" s="164"/>
      <c r="H46" s="653">
        <v>46110</v>
      </c>
      <c r="I46" s="654"/>
      <c r="J46" s="655" t="s">
        <v>188</v>
      </c>
      <c r="K46" s="656"/>
      <c r="L46" s="657"/>
    </row>
    <row r="47" spans="4:12">
      <c r="H47" s="653">
        <v>46113</v>
      </c>
      <c r="I47" s="654"/>
      <c r="J47" s="655" t="s">
        <v>189</v>
      </c>
      <c r="K47" s="656"/>
      <c r="L47" s="657"/>
    </row>
    <row r="48" spans="4:12">
      <c r="H48" s="653">
        <v>46116</v>
      </c>
      <c r="I48" s="654"/>
      <c r="J48" s="655" t="s">
        <v>190</v>
      </c>
      <c r="K48" s="656"/>
      <c r="L48" s="657"/>
    </row>
    <row r="49" spans="8:12">
      <c r="H49" s="653">
        <v>46124</v>
      </c>
      <c r="I49" s="654"/>
      <c r="J49" s="655" t="s">
        <v>191</v>
      </c>
      <c r="K49" s="656"/>
      <c r="L49" s="657"/>
    </row>
    <row r="50" spans="8:12">
      <c r="H50" s="653">
        <v>46134</v>
      </c>
      <c r="I50" s="654"/>
      <c r="J50" s="655" t="s">
        <v>192</v>
      </c>
      <c r="K50" s="656"/>
      <c r="L50" s="657"/>
    </row>
    <row r="51" spans="8:12">
      <c r="H51" s="653">
        <v>46144</v>
      </c>
      <c r="I51" s="654"/>
      <c r="J51" s="655" t="s">
        <v>193</v>
      </c>
      <c r="K51" s="656"/>
      <c r="L51" s="657"/>
    </row>
    <row r="52" spans="8:12">
      <c r="H52" s="653">
        <v>46159</v>
      </c>
      <c r="I52" s="654"/>
      <c r="J52" s="655" t="s">
        <v>194</v>
      </c>
      <c r="K52" s="656"/>
      <c r="L52" s="657"/>
    </row>
    <row r="53" spans="8:12">
      <c r="H53" s="653">
        <v>46168</v>
      </c>
      <c r="I53" s="654"/>
      <c r="J53" s="655" t="s">
        <v>195</v>
      </c>
      <c r="K53" s="656"/>
      <c r="L53" s="657"/>
    </row>
    <row r="54" spans="8:12">
      <c r="H54" s="653">
        <v>46174</v>
      </c>
      <c r="I54" s="654"/>
      <c r="J54" s="655" t="s">
        <v>196</v>
      </c>
      <c r="K54" s="656"/>
      <c r="L54" s="657"/>
    </row>
    <row r="55" spans="8:12">
      <c r="H55" s="653">
        <v>46194</v>
      </c>
      <c r="I55" s="654"/>
      <c r="J55" s="655" t="s">
        <v>197</v>
      </c>
      <c r="K55" s="656"/>
      <c r="L55" s="657"/>
    </row>
    <row r="56" spans="8:12">
      <c r="H56" s="653">
        <v>46196</v>
      </c>
      <c r="I56" s="654"/>
      <c r="J56" s="655" t="s">
        <v>198</v>
      </c>
      <c r="K56" s="656"/>
      <c r="L56" s="657"/>
    </row>
    <row r="57" spans="8:12">
      <c r="H57" s="653">
        <v>46235</v>
      </c>
      <c r="I57" s="654"/>
      <c r="J57" s="655" t="s">
        <v>199</v>
      </c>
      <c r="K57" s="656"/>
      <c r="L57" s="657"/>
    </row>
    <row r="58" spans="8:12">
      <c r="H58" s="653">
        <v>46265</v>
      </c>
      <c r="I58" s="654"/>
      <c r="J58" s="655" t="s">
        <v>200</v>
      </c>
      <c r="K58" s="656"/>
      <c r="L58" s="657"/>
    </row>
    <row r="59" spans="8:12">
      <c r="H59" s="653">
        <v>46288</v>
      </c>
      <c r="I59" s="654"/>
      <c r="J59" s="655" t="s">
        <v>201</v>
      </c>
      <c r="K59" s="656"/>
      <c r="L59" s="657"/>
    </row>
    <row r="60" spans="8:12">
      <c r="H60" s="653">
        <v>46295</v>
      </c>
      <c r="I60" s="654"/>
      <c r="J60" s="655" t="s">
        <v>202</v>
      </c>
      <c r="K60" s="656"/>
      <c r="L60" s="657"/>
    </row>
    <row r="61" spans="8:12">
      <c r="H61" s="653">
        <v>46309</v>
      </c>
      <c r="I61" s="654"/>
      <c r="J61" s="655" t="s">
        <v>203</v>
      </c>
      <c r="K61" s="656"/>
      <c r="L61" s="657"/>
    </row>
    <row r="62" spans="8:12">
      <c r="H62" s="653">
        <v>46320</v>
      </c>
      <c r="I62" s="654"/>
      <c r="J62" s="655" t="s">
        <v>204</v>
      </c>
      <c r="K62" s="656"/>
      <c r="L62" s="657"/>
    </row>
    <row r="63" spans="8:12">
      <c r="H63" s="653">
        <v>46328</v>
      </c>
      <c r="I63" s="654"/>
      <c r="J63" s="655" t="s">
        <v>205</v>
      </c>
      <c r="K63" s="656"/>
      <c r="L63" s="657"/>
    </row>
    <row r="64" spans="8:12">
      <c r="H64" s="653">
        <v>46355</v>
      </c>
      <c r="I64" s="654"/>
      <c r="J64" s="655" t="s">
        <v>206</v>
      </c>
      <c r="K64" s="656"/>
      <c r="L64" s="657"/>
    </row>
    <row r="65" spans="8:12">
      <c r="H65" s="653">
        <v>46360</v>
      </c>
      <c r="I65" s="654"/>
      <c r="J65" s="655" t="s">
        <v>207</v>
      </c>
      <c r="K65" s="656"/>
      <c r="L65" s="657"/>
    </row>
    <row r="66" spans="8:12">
      <c r="H66" s="653">
        <v>46362</v>
      </c>
      <c r="I66" s="654"/>
      <c r="J66" s="655" t="s">
        <v>208</v>
      </c>
      <c r="K66" s="656"/>
      <c r="L66" s="657"/>
    </row>
    <row r="67" spans="8:12">
      <c r="H67" s="653">
        <v>46377</v>
      </c>
      <c r="I67" s="654"/>
      <c r="J67" s="655" t="s">
        <v>209</v>
      </c>
      <c r="K67" s="656"/>
      <c r="L67" s="657"/>
    </row>
    <row r="68" spans="8:12">
      <c r="H68" s="653">
        <v>46380</v>
      </c>
      <c r="I68" s="654"/>
      <c r="J68" s="655" t="s">
        <v>172</v>
      </c>
      <c r="K68" s="656"/>
      <c r="L68" s="657"/>
    </row>
    <row r="69" spans="8:12">
      <c r="H69" s="653">
        <v>46383</v>
      </c>
      <c r="I69" s="654"/>
      <c r="J69" s="655" t="s">
        <v>210</v>
      </c>
      <c r="K69" s="656"/>
      <c r="L69" s="657"/>
    </row>
    <row r="70" spans="8:12" ht="15.75" thickBot="1">
      <c r="H70" s="669">
        <v>46387</v>
      </c>
      <c r="I70" s="670"/>
      <c r="J70" s="671" t="s">
        <v>211</v>
      </c>
      <c r="K70" s="672"/>
      <c r="L70" s="673"/>
    </row>
  </sheetData>
  <sheetProtection algorithmName="SHA-512" hashValue="dh5Ck7kX6h+Fot58zrNEGwR9AIVdFmkodLxcb3x33c9UXhFRjJLfBXAF2kTsUR+vlVM71Nee8zIy2wpMww15CA==" saltValue="cW+BtrA9f0xWAAjkpb3seg==" spinCount="100000" sheet="1" objects="1" scenarios="1" selectLockedCells="1"/>
  <mergeCells count="110">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 ref="J62:L62"/>
    <mergeCell ref="H57:I57"/>
    <mergeCell ref="J57:L57"/>
    <mergeCell ref="H58:I58"/>
    <mergeCell ref="J58:L58"/>
    <mergeCell ref="H59:I59"/>
    <mergeCell ref="J59:L59"/>
    <mergeCell ref="H54:I54"/>
    <mergeCell ref="J54:L54"/>
    <mergeCell ref="H55:I55"/>
    <mergeCell ref="J55:L55"/>
    <mergeCell ref="H56:I56"/>
    <mergeCell ref="J56:L56"/>
    <mergeCell ref="H51:I51"/>
    <mergeCell ref="J51:L51"/>
    <mergeCell ref="H52:I52"/>
    <mergeCell ref="J52:L52"/>
    <mergeCell ref="H53:I53"/>
    <mergeCell ref="J53:L53"/>
    <mergeCell ref="H48:I48"/>
    <mergeCell ref="J48:L48"/>
    <mergeCell ref="H49:I49"/>
    <mergeCell ref="J49:L49"/>
    <mergeCell ref="H50:I50"/>
    <mergeCell ref="J50:L50"/>
    <mergeCell ref="H45:I45"/>
    <mergeCell ref="J45:L45"/>
    <mergeCell ref="H46:I46"/>
    <mergeCell ref="J46:L46"/>
    <mergeCell ref="H47:I47"/>
    <mergeCell ref="J47:L47"/>
    <mergeCell ref="H42:I42"/>
    <mergeCell ref="J42:L42"/>
    <mergeCell ref="H43:I43"/>
    <mergeCell ref="J43:L43"/>
    <mergeCell ref="H44:I44"/>
    <mergeCell ref="J44:L44"/>
    <mergeCell ref="H39:I39"/>
    <mergeCell ref="J39:L39"/>
    <mergeCell ref="H40:I40"/>
    <mergeCell ref="J40:L40"/>
    <mergeCell ref="H41:I41"/>
    <mergeCell ref="J41:L41"/>
    <mergeCell ref="H36:I36"/>
    <mergeCell ref="J36:L36"/>
    <mergeCell ref="H37:I37"/>
    <mergeCell ref="J37:L37"/>
    <mergeCell ref="H38:I38"/>
    <mergeCell ref="J38:L38"/>
    <mergeCell ref="H33:I33"/>
    <mergeCell ref="J33:L33"/>
    <mergeCell ref="H34:I34"/>
    <mergeCell ref="J34:L34"/>
    <mergeCell ref="H35:I35"/>
    <mergeCell ref="J35:L35"/>
    <mergeCell ref="H30:I30"/>
    <mergeCell ref="J30:L30"/>
    <mergeCell ref="H31:I31"/>
    <mergeCell ref="J31:L31"/>
    <mergeCell ref="H32:I32"/>
    <mergeCell ref="J32:L32"/>
    <mergeCell ref="H2:L2"/>
    <mergeCell ref="H16:L16"/>
    <mergeCell ref="H18:L18"/>
    <mergeCell ref="H19:I19"/>
    <mergeCell ref="J19:L19"/>
    <mergeCell ref="H20:I20"/>
    <mergeCell ref="J20:L20"/>
    <mergeCell ref="H21:I21"/>
    <mergeCell ref="J21:L21"/>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177800</xdr:rowOff>
                  </from>
                  <to>
                    <xdr:col>2</xdr:col>
                    <xdr:colOff>12700</xdr:colOff>
                    <xdr:row>9</xdr:row>
                    <xdr:rowOff>139700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43" t="str">
        <f ca="1">INDIRECT("T!"&amp;T!A1&amp;"48")</f>
        <v>Kalendarz Pracy</v>
      </c>
      <c r="C1" s="643"/>
      <c r="D1" s="643"/>
      <c r="E1" s="643"/>
      <c r="F1" s="643"/>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44" t="str">
        <f ca="1">INDIRECT("T!"&amp;T!A1&amp;"49")</f>
        <v>*Wprowadź dane w żółte komórki</v>
      </c>
      <c r="C15" s="644"/>
      <c r="D15" s="644"/>
      <c r="E15" s="644"/>
      <c r="F15" s="644"/>
      <c r="G15" s="5"/>
    </row>
    <row r="16" spans="2:7" ht="21.75" customHeight="1">
      <c r="B16" s="5"/>
      <c r="C16" s="5"/>
      <c r="D16" s="5"/>
      <c r="E16" s="5"/>
      <c r="F16" s="5"/>
      <c r="G16" s="5"/>
    </row>
    <row r="17" spans="1:7" ht="15.75" thickBot="1">
      <c r="B17" s="645" t="str">
        <f ca="1">INDIRECT("T!"&amp;T!A1&amp;"63")</f>
        <v>Wprowadź daty świąt</v>
      </c>
      <c r="C17" s="645"/>
      <c r="D17" s="645"/>
      <c r="E17" s="645"/>
      <c r="F17" s="645"/>
      <c r="G17" s="5"/>
    </row>
    <row r="18" spans="1:7" ht="15.75" thickBot="1">
      <c r="B18" s="646" t="str">
        <f ca="1">INDIRECT("T!"&amp;T!A1&amp;"65")</f>
        <v>Data [rrrr-mm-dd]</v>
      </c>
      <c r="C18" s="647"/>
      <c r="D18" s="647" t="str">
        <f ca="1">INDIRECT("T!"&amp;T!A1&amp;"64")</f>
        <v>Nazwa święta</v>
      </c>
      <c r="E18" s="647"/>
      <c r="F18" s="648"/>
      <c r="G18" s="5"/>
    </row>
    <row r="19" spans="1:7">
      <c r="A19" s="5">
        <v>1</v>
      </c>
      <c r="B19" s="674">
        <f>Admin!H20</f>
        <v>46023</v>
      </c>
      <c r="C19" s="675"/>
      <c r="D19" s="676" t="str">
        <f>Admin!J20</f>
        <v>Nowy rok</v>
      </c>
      <c r="E19" s="676"/>
      <c r="F19" s="677"/>
      <c r="G19" s="5"/>
    </row>
    <row r="20" spans="1:7">
      <c r="A20" s="5">
        <v>2</v>
      </c>
      <c r="B20" s="674">
        <f>Admin!H21</f>
        <v>46028</v>
      </c>
      <c r="C20" s="675"/>
      <c r="D20" s="676" t="str">
        <f>Admin!J21</f>
        <v>Trzech Króli (Objawienie Pańskie)</v>
      </c>
      <c r="E20" s="676"/>
      <c r="F20" s="677"/>
      <c r="G20" s="5"/>
    </row>
    <row r="21" spans="1:7">
      <c r="A21" s="5">
        <v>3</v>
      </c>
      <c r="B21" s="674">
        <f>Admin!H22</f>
        <v>46117</v>
      </c>
      <c r="C21" s="675"/>
      <c r="D21" s="676" t="str">
        <f>Admin!J22</f>
        <v>Wielkanoc</v>
      </c>
      <c r="E21" s="676"/>
      <c r="F21" s="677"/>
      <c r="G21" s="5"/>
    </row>
    <row r="22" spans="1:7">
      <c r="A22" s="5">
        <v>4</v>
      </c>
      <c r="B22" s="674">
        <f>Admin!H23</f>
        <v>46118</v>
      </c>
      <c r="C22" s="675"/>
      <c r="D22" s="676" t="str">
        <f>Admin!J23</f>
        <v>Poniedziałek wielkanocny</v>
      </c>
      <c r="E22" s="676"/>
      <c r="F22" s="677"/>
      <c r="G22" s="5"/>
    </row>
    <row r="23" spans="1:7">
      <c r="A23" s="5">
        <v>5</v>
      </c>
      <c r="B23" s="674">
        <f>Admin!H24</f>
        <v>46143</v>
      </c>
      <c r="C23" s="675"/>
      <c r="D23" s="676" t="str">
        <f>Admin!J24</f>
        <v>1 Maja - Święto Pracy</v>
      </c>
      <c r="E23" s="676"/>
      <c r="F23" s="677"/>
      <c r="G23" s="5"/>
    </row>
    <row r="24" spans="1:7">
      <c r="A24" s="5">
        <v>6</v>
      </c>
      <c r="B24" s="674">
        <f>Admin!H25</f>
        <v>46145</v>
      </c>
      <c r="C24" s="675"/>
      <c r="D24" s="676" t="str">
        <f>Admin!J25</f>
        <v>Św. Konstytucji 3 Maja</v>
      </c>
      <c r="E24" s="676"/>
      <c r="F24" s="677"/>
      <c r="G24" s="5"/>
    </row>
    <row r="25" spans="1:7">
      <c r="A25" s="5">
        <v>7</v>
      </c>
      <c r="B25" s="674">
        <f>Admin!H26</f>
        <v>46166</v>
      </c>
      <c r="C25" s="675"/>
      <c r="D25" s="676" t="str">
        <f>Admin!J26</f>
        <v>Zesłanie Ducha Świętego (Zielone Świątki)</v>
      </c>
      <c r="E25" s="676"/>
      <c r="F25" s="677"/>
      <c r="G25" s="5"/>
    </row>
    <row r="26" spans="1:7">
      <c r="A26" s="5">
        <v>8</v>
      </c>
      <c r="B26" s="674">
        <f>Admin!H27</f>
        <v>46177</v>
      </c>
      <c r="C26" s="675"/>
      <c r="D26" s="676" t="str">
        <f>Admin!J27</f>
        <v>Boże Ciało</v>
      </c>
      <c r="E26" s="676"/>
      <c r="F26" s="677"/>
      <c r="G26" s="5"/>
    </row>
    <row r="27" spans="1:7">
      <c r="A27" s="5">
        <v>9</v>
      </c>
      <c r="B27" s="674">
        <f>Admin!H28</f>
        <v>46249</v>
      </c>
      <c r="C27" s="675"/>
      <c r="D27" s="676" t="str">
        <f>Admin!J28</f>
        <v>Św. Wojska Polskiego, Wniebowzięcie NMP</v>
      </c>
      <c r="E27" s="676"/>
      <c r="F27" s="677"/>
      <c r="G27" s="5"/>
    </row>
    <row r="28" spans="1:7">
      <c r="A28" s="5">
        <v>10</v>
      </c>
      <c r="B28" s="674">
        <f>Admin!H29</f>
        <v>46327</v>
      </c>
      <c r="C28" s="675"/>
      <c r="D28" s="676" t="str">
        <f>Admin!J29</f>
        <v>Wszystkich Świętych</v>
      </c>
      <c r="E28" s="676"/>
      <c r="F28" s="677"/>
      <c r="G28" s="5"/>
    </row>
    <row r="29" spans="1:7">
      <c r="A29" s="5">
        <v>11</v>
      </c>
      <c r="B29" s="674">
        <f>Admin!H30</f>
        <v>46337</v>
      </c>
      <c r="C29" s="675"/>
      <c r="D29" s="676" t="str">
        <f>Admin!J30</f>
        <v>Dzień Niepodległości</v>
      </c>
      <c r="E29" s="676"/>
      <c r="F29" s="677"/>
      <c r="G29" s="5"/>
    </row>
    <row r="30" spans="1:7">
      <c r="A30" s="5">
        <v>12</v>
      </c>
      <c r="B30" s="674">
        <f>Admin!H31</f>
        <v>46380</v>
      </c>
      <c r="C30" s="675"/>
      <c r="D30" s="676" t="str">
        <f>Admin!J31</f>
        <v>Wigilia Bożego Narodzenia</v>
      </c>
      <c r="E30" s="676"/>
      <c r="F30" s="677"/>
      <c r="G30" s="5"/>
    </row>
    <row r="31" spans="1:7">
      <c r="A31" s="5">
        <v>13</v>
      </c>
      <c r="B31" s="674">
        <f>Admin!H32</f>
        <v>46381</v>
      </c>
      <c r="C31" s="675"/>
      <c r="D31" s="676" t="str">
        <f>Admin!J32</f>
        <v>Boże Narodzenie (pierwszy dzień)</v>
      </c>
      <c r="E31" s="676"/>
      <c r="F31" s="677"/>
      <c r="G31" s="5"/>
    </row>
    <row r="32" spans="1:7">
      <c r="A32" s="5">
        <v>14</v>
      </c>
      <c r="B32" s="674"/>
      <c r="C32" s="675"/>
      <c r="D32" s="676"/>
      <c r="E32" s="676"/>
      <c r="F32" s="677"/>
      <c r="G32" s="5"/>
    </row>
    <row r="33" spans="1:7" ht="15.75" thickBot="1">
      <c r="A33" s="5">
        <v>15</v>
      </c>
      <c r="B33" s="674"/>
      <c r="C33" s="675"/>
      <c r="D33" s="676"/>
      <c r="E33" s="676"/>
      <c r="F33" s="677"/>
      <c r="G33" s="5"/>
    </row>
    <row r="34" spans="1:7" ht="15.75" thickBot="1">
      <c r="B34" s="646" t="str">
        <f ca="1">INDIRECT("T!"&amp;T!A1&amp;"65")</f>
        <v>Data [rrrr-mm-dd]</v>
      </c>
      <c r="C34" s="647"/>
      <c r="D34" s="647" t="str">
        <f ca="1">INDIRECT("T!"&amp;T!A1&amp;"93")</f>
        <v>Nazwa wydarzenia</v>
      </c>
      <c r="E34" s="647"/>
      <c r="F34" s="648"/>
      <c r="G34" s="5"/>
    </row>
    <row r="35" spans="1:7" ht="15.75" thickBot="1">
      <c r="A35" s="5">
        <v>1</v>
      </c>
      <c r="B35" s="681">
        <f>Admin!H36</f>
        <v>46043</v>
      </c>
      <c r="C35" s="682"/>
      <c r="D35" s="678" t="str">
        <f>Admin!J36</f>
        <v>Dzień Babci</v>
      </c>
      <c r="E35" s="679"/>
      <c r="F35" s="680"/>
      <c r="G35" s="104" t="str">
        <f t="shared" ref="G35:G69" si="0">TEXT(DATE(YEAR(B35),MONTH(B35)*1,1),"mmmm")</f>
        <v>January</v>
      </c>
    </row>
    <row r="36" spans="1:7" ht="15.75" thickBot="1">
      <c r="A36" s="5">
        <v>2</v>
      </c>
      <c r="B36" s="681">
        <f>Admin!H37</f>
        <v>46044</v>
      </c>
      <c r="C36" s="682"/>
      <c r="D36" s="678" t="str">
        <f>Admin!J37</f>
        <v>Dzień Dziadka</v>
      </c>
      <c r="E36" s="679"/>
      <c r="F36" s="680"/>
      <c r="G36" s="104" t="str">
        <f t="shared" si="0"/>
        <v>January</v>
      </c>
    </row>
    <row r="37" spans="1:7" ht="15.75" thickBot="1">
      <c r="A37" s="5">
        <v>3</v>
      </c>
      <c r="B37" s="681">
        <f>Admin!H38</f>
        <v>46055</v>
      </c>
      <c r="C37" s="682"/>
      <c r="D37" s="678" t="str">
        <f>Admin!J38</f>
        <v>Ofiarowanie Pańskie (MB Gromnicznej)</v>
      </c>
      <c r="E37" s="679"/>
      <c r="F37" s="680"/>
      <c r="G37" s="104" t="str">
        <f t="shared" si="0"/>
        <v>February</v>
      </c>
    </row>
    <row r="38" spans="1:7" ht="15.75" thickBot="1">
      <c r="A38" s="5">
        <v>4</v>
      </c>
      <c r="B38" s="681">
        <f>Admin!H39</f>
        <v>46065</v>
      </c>
      <c r="C38" s="682"/>
      <c r="D38" s="678" t="str">
        <f>Admin!J39</f>
        <v>Tłusty czwartek</v>
      </c>
      <c r="E38" s="679"/>
      <c r="F38" s="680"/>
      <c r="G38" s="104" t="str">
        <f t="shared" si="0"/>
        <v>February</v>
      </c>
    </row>
    <row r="39" spans="1:7" ht="15.75" thickBot="1">
      <c r="A39" s="5">
        <v>5</v>
      </c>
      <c r="B39" s="681">
        <f>Admin!H40</f>
        <v>46067</v>
      </c>
      <c r="C39" s="682"/>
      <c r="D39" s="678" t="str">
        <f>Admin!J40</f>
        <v>Dzień Zakochanych (Walentynki)</v>
      </c>
      <c r="E39" s="679"/>
      <c r="F39" s="680"/>
      <c r="G39" s="104" t="str">
        <f t="shared" si="0"/>
        <v>February</v>
      </c>
    </row>
    <row r="40" spans="1:7" ht="15.75" thickBot="1">
      <c r="A40" s="5">
        <v>6</v>
      </c>
      <c r="B40" s="681">
        <f>Admin!H41</f>
        <v>46070</v>
      </c>
      <c r="C40" s="682"/>
      <c r="D40" s="678" t="str">
        <f>Admin!J41</f>
        <v>Ostatki</v>
      </c>
      <c r="E40" s="679"/>
      <c r="F40" s="680"/>
      <c r="G40" s="104" t="str">
        <f t="shared" si="0"/>
        <v>February</v>
      </c>
    </row>
    <row r="41" spans="1:7" ht="15.75" thickBot="1">
      <c r="A41" s="5">
        <v>7</v>
      </c>
      <c r="B41" s="681">
        <f>Admin!H42</f>
        <v>46082</v>
      </c>
      <c r="C41" s="682"/>
      <c r="D41" s="678" t="str">
        <f>Admin!J42</f>
        <v>Narodowy Dzień Pamięci Żołnierzy Wyklętych</v>
      </c>
      <c r="E41" s="679"/>
      <c r="F41" s="680"/>
      <c r="G41" s="104" t="str">
        <f t="shared" si="0"/>
        <v>March</v>
      </c>
    </row>
    <row r="42" spans="1:7" ht="15.75" thickBot="1">
      <c r="A42" s="5">
        <v>8</v>
      </c>
      <c r="B42" s="681">
        <f>Admin!H43</f>
        <v>46089</v>
      </c>
      <c r="C42" s="682"/>
      <c r="D42" s="678" t="str">
        <f>Admin!J43</f>
        <v>Międzynarodowy Dzień Kobiet</v>
      </c>
      <c r="E42" s="679"/>
      <c r="F42" s="680"/>
      <c r="G42" s="104" t="str">
        <f t="shared" si="0"/>
        <v>March</v>
      </c>
    </row>
    <row r="43" spans="1:7" ht="15.75" thickBot="1">
      <c r="A43" s="5">
        <v>9</v>
      </c>
      <c r="B43" s="681">
        <f>Admin!H44</f>
        <v>46091</v>
      </c>
      <c r="C43" s="682"/>
      <c r="D43" s="678" t="str">
        <f>Admin!J44</f>
        <v>Dzień Mężczyzn</v>
      </c>
      <c r="E43" s="679"/>
      <c r="F43" s="680"/>
      <c r="G43" s="104" t="str">
        <f t="shared" si="0"/>
        <v>March</v>
      </c>
    </row>
    <row r="44" spans="1:7" ht="15.75" thickBot="1">
      <c r="A44" s="5">
        <v>10</v>
      </c>
      <c r="B44" s="681">
        <f>Admin!H45</f>
        <v>46101</v>
      </c>
      <c r="C44" s="682"/>
      <c r="D44" s="678" t="str">
        <f>Admin!J45</f>
        <v>Początek astronomicznej wiosny</v>
      </c>
      <c r="E44" s="679"/>
      <c r="F44" s="680"/>
      <c r="G44" s="104" t="str">
        <f t="shared" si="0"/>
        <v>March</v>
      </c>
    </row>
    <row r="45" spans="1:7" ht="15.75" thickBot="1">
      <c r="A45" s="5">
        <v>11</v>
      </c>
      <c r="B45" s="681">
        <f>Admin!H46</f>
        <v>46110</v>
      </c>
      <c r="C45" s="682"/>
      <c r="D45" s="678" t="str">
        <f>Admin!J46</f>
        <v>Zmiana czasu z zimowego na letni, Niedziela Palmowa</v>
      </c>
      <c r="E45" s="679"/>
      <c r="F45" s="680"/>
      <c r="G45" s="104" t="str">
        <f t="shared" si="0"/>
        <v>March</v>
      </c>
    </row>
    <row r="46" spans="1:7" ht="15.75" thickBot="1">
      <c r="A46" s="5">
        <v>12</v>
      </c>
      <c r="B46" s="681">
        <f>Admin!H47</f>
        <v>46113</v>
      </c>
      <c r="C46" s="682"/>
      <c r="D46" s="678" t="str">
        <f>Admin!J47</f>
        <v>Prima Aprilis</v>
      </c>
      <c r="E46" s="679"/>
      <c r="F46" s="680"/>
      <c r="G46" s="104" t="str">
        <f t="shared" si="0"/>
        <v>April</v>
      </c>
    </row>
    <row r="47" spans="1:7" ht="15.75" thickBot="1">
      <c r="A47" s="5">
        <v>13</v>
      </c>
      <c r="B47" s="681">
        <f>Admin!H48</f>
        <v>46116</v>
      </c>
      <c r="C47" s="682"/>
      <c r="D47" s="678" t="str">
        <f>Admin!J48</f>
        <v>Wielka Sobota</v>
      </c>
      <c r="E47" s="679"/>
      <c r="F47" s="680"/>
      <c r="G47" s="104" t="str">
        <f t="shared" si="0"/>
        <v>April</v>
      </c>
    </row>
    <row r="48" spans="1:7" ht="15.75" thickBot="1">
      <c r="A48" s="5">
        <v>14</v>
      </c>
      <c r="B48" s="681">
        <f>Admin!H49</f>
        <v>46124</v>
      </c>
      <c r="C48" s="682"/>
      <c r="D48" s="678" t="str">
        <f>Admin!J49</f>
        <v>Święto Bożego Miłosierdzia</v>
      </c>
      <c r="E48" s="679"/>
      <c r="F48" s="680"/>
      <c r="G48" s="104" t="str">
        <f t="shared" si="0"/>
        <v>April</v>
      </c>
    </row>
    <row r="49" spans="1:7" ht="15.75" thickBot="1">
      <c r="A49" s="5">
        <v>15</v>
      </c>
      <c r="B49" s="681">
        <f>Admin!H50</f>
        <v>46134</v>
      </c>
      <c r="C49" s="682"/>
      <c r="D49" s="678" t="str">
        <f>Admin!J50</f>
        <v>Międzynarodowy Dzień Ziemi</v>
      </c>
      <c r="E49" s="679"/>
      <c r="F49" s="680"/>
      <c r="G49" s="104" t="str">
        <f t="shared" si="0"/>
        <v>April</v>
      </c>
    </row>
    <row r="50" spans="1:7" ht="15.75" thickBot="1">
      <c r="A50" s="5">
        <v>16</v>
      </c>
      <c r="B50" s="681">
        <f>Admin!H51</f>
        <v>46144</v>
      </c>
      <c r="C50" s="682"/>
      <c r="D50" s="678" t="str">
        <f>Admin!J51</f>
        <v>Dzień Flagi Rzeczpospolitej Polskiej</v>
      </c>
      <c r="E50" s="679"/>
      <c r="F50" s="680"/>
      <c r="G50" s="104" t="str">
        <f t="shared" si="0"/>
        <v>May</v>
      </c>
    </row>
    <row r="51" spans="1:7" ht="15.75" thickBot="1">
      <c r="A51" s="5">
        <v>17</v>
      </c>
      <c r="B51" s="681">
        <f>Admin!H52</f>
        <v>46159</v>
      </c>
      <c r="C51" s="682"/>
      <c r="D51" s="678" t="str">
        <f>Admin!J52</f>
        <v>Wniebowstąpienie</v>
      </c>
      <c r="E51" s="679"/>
      <c r="F51" s="680"/>
      <c r="G51" s="104" t="str">
        <f t="shared" si="0"/>
        <v>May</v>
      </c>
    </row>
    <row r="52" spans="1:7" ht="15.75" thickBot="1">
      <c r="A52" s="5">
        <v>18</v>
      </c>
      <c r="B52" s="681">
        <f>Admin!H53</f>
        <v>46168</v>
      </c>
      <c r="C52" s="682"/>
      <c r="D52" s="678" t="str">
        <f>Admin!J53</f>
        <v>Dzień Matki</v>
      </c>
      <c r="E52" s="679"/>
      <c r="F52" s="680"/>
      <c r="G52" s="104" t="str">
        <f t="shared" si="0"/>
        <v>May</v>
      </c>
    </row>
    <row r="53" spans="1:7" ht="15.75" thickBot="1">
      <c r="A53" s="5">
        <v>19</v>
      </c>
      <c r="B53" s="681">
        <f>Admin!H54</f>
        <v>46174</v>
      </c>
      <c r="C53" s="682"/>
      <c r="D53" s="678" t="str">
        <f>Admin!J54</f>
        <v>Międzynarodowy Dzień Dziecka</v>
      </c>
      <c r="E53" s="679"/>
      <c r="F53" s="680"/>
      <c r="G53" s="104" t="str">
        <f t="shared" si="0"/>
        <v>June</v>
      </c>
    </row>
    <row r="54" spans="1:7" ht="15.75" thickBot="1">
      <c r="A54" s="5">
        <v>20</v>
      </c>
      <c r="B54" s="681">
        <f>Admin!H55</f>
        <v>46194</v>
      </c>
      <c r="C54" s="682"/>
      <c r="D54" s="678" t="str">
        <f>Admin!J55</f>
        <v>Pierwszy Dzień Lata - najdłuższy dzień roku</v>
      </c>
      <c r="E54" s="679"/>
      <c r="F54" s="680"/>
      <c r="G54" s="104" t="str">
        <f t="shared" si="0"/>
        <v>June</v>
      </c>
    </row>
    <row r="55" spans="1:7" ht="15.75" thickBot="1">
      <c r="A55" s="5">
        <v>21</v>
      </c>
      <c r="B55" s="681">
        <f>Admin!H56</f>
        <v>46196</v>
      </c>
      <c r="C55" s="682"/>
      <c r="D55" s="678" t="str">
        <f>Admin!J56</f>
        <v>Dzień Ojca</v>
      </c>
      <c r="E55" s="679"/>
      <c r="F55" s="680"/>
      <c r="G55" s="104" t="str">
        <f t="shared" si="0"/>
        <v>June</v>
      </c>
    </row>
    <row r="56" spans="1:7" ht="15.75" thickBot="1">
      <c r="A56" s="5">
        <v>22</v>
      </c>
      <c r="B56" s="681">
        <f>Admin!H57</f>
        <v>46235</v>
      </c>
      <c r="C56" s="682"/>
      <c r="D56" s="678" t="str">
        <f>Admin!J57</f>
        <v>Dzień Pamięci Powstania Warszawskiego</v>
      </c>
      <c r="E56" s="679"/>
      <c r="F56" s="680"/>
      <c r="G56" s="104" t="str">
        <f t="shared" si="0"/>
        <v>August</v>
      </c>
    </row>
    <row r="57" spans="1:7" ht="15.75" thickBot="1">
      <c r="A57" s="5">
        <v>23</v>
      </c>
      <c r="B57" s="681">
        <f>Admin!H58</f>
        <v>46265</v>
      </c>
      <c r="C57" s="682"/>
      <c r="D57" s="678" t="str">
        <f>Admin!J58</f>
        <v>Dzień Solidarności i Wolności</v>
      </c>
      <c r="E57" s="679"/>
      <c r="F57" s="680"/>
      <c r="G57" s="104" t="str">
        <f t="shared" si="0"/>
        <v>August</v>
      </c>
    </row>
    <row r="58" spans="1:7" ht="15.75" thickBot="1">
      <c r="A58" s="5">
        <v>24</v>
      </c>
      <c r="B58" s="681">
        <f>Admin!H59</f>
        <v>46288</v>
      </c>
      <c r="C58" s="682"/>
      <c r="D58" s="678" t="str">
        <f>Admin!J59</f>
        <v>Początek Astronomicznej Jesieni</v>
      </c>
      <c r="E58" s="679"/>
      <c r="F58" s="680"/>
      <c r="G58" s="104" t="str">
        <f t="shared" si="0"/>
        <v>September</v>
      </c>
    </row>
    <row r="59" spans="1:7" ht="15.75" thickBot="1">
      <c r="A59" s="5">
        <v>25</v>
      </c>
      <c r="B59" s="681">
        <f>Admin!H60</f>
        <v>46295</v>
      </c>
      <c r="C59" s="682"/>
      <c r="D59" s="678" t="str">
        <f>Admin!J60</f>
        <v>Dzień Chłopaka</v>
      </c>
      <c r="E59" s="679"/>
      <c r="F59" s="680"/>
      <c r="G59" s="104" t="str">
        <f t="shared" si="0"/>
        <v>September</v>
      </c>
    </row>
    <row r="60" spans="1:7" ht="15.75" thickBot="1">
      <c r="A60" s="5">
        <v>26</v>
      </c>
      <c r="B60" s="681">
        <f>Admin!H61</f>
        <v>46309</v>
      </c>
      <c r="C60" s="682"/>
      <c r="D60" s="678" t="str">
        <f>Admin!J61</f>
        <v>Dzień Nauczyciela</v>
      </c>
      <c r="E60" s="679"/>
      <c r="F60" s="680"/>
      <c r="G60" s="104" t="str">
        <f t="shared" si="0"/>
        <v>October</v>
      </c>
    </row>
    <row r="61" spans="1:7" ht="15.75" thickBot="1">
      <c r="A61" s="5">
        <v>27</v>
      </c>
      <c r="B61" s="681">
        <f>Admin!H62</f>
        <v>46320</v>
      </c>
      <c r="C61" s="682"/>
      <c r="D61" s="678" t="str">
        <f>Admin!J62</f>
        <v>Zmiana czasu z letniego na zimowy</v>
      </c>
      <c r="E61" s="679"/>
      <c r="F61" s="680"/>
      <c r="G61" s="104" t="str">
        <f t="shared" si="0"/>
        <v>October</v>
      </c>
    </row>
    <row r="62" spans="1:7" ht="15.75" thickBot="1">
      <c r="A62" s="5">
        <v>28</v>
      </c>
      <c r="B62" s="681">
        <f>Admin!H63</f>
        <v>46328</v>
      </c>
      <c r="C62" s="682"/>
      <c r="D62" s="678" t="str">
        <f>Admin!J63</f>
        <v>Dzień zaduszny</v>
      </c>
      <c r="E62" s="679"/>
      <c r="F62" s="680"/>
      <c r="G62" s="104" t="str">
        <f t="shared" si="0"/>
        <v>November</v>
      </c>
    </row>
    <row r="63" spans="1:7" ht="15.75" thickBot="1">
      <c r="A63" s="5">
        <v>29</v>
      </c>
      <c r="B63" s="681">
        <f>Admin!H64</f>
        <v>46355</v>
      </c>
      <c r="C63" s="682"/>
      <c r="D63" s="678" t="str">
        <f>Admin!J64</f>
        <v>Andrzejki (w nocy z 29 na 30)</v>
      </c>
      <c r="E63" s="679"/>
      <c r="F63" s="680"/>
      <c r="G63" s="104" t="str">
        <f t="shared" si="0"/>
        <v>November</v>
      </c>
    </row>
    <row r="64" spans="1:7" ht="15.75" thickBot="1">
      <c r="A64" s="5">
        <v>30</v>
      </c>
      <c r="B64" s="681">
        <f>Admin!H65</f>
        <v>46360</v>
      </c>
      <c r="C64" s="682"/>
      <c r="D64" s="678" t="str">
        <f>Admin!J65</f>
        <v>Barbórka</v>
      </c>
      <c r="E64" s="679"/>
      <c r="F64" s="680"/>
      <c r="G64" s="104" t="str">
        <f t="shared" si="0"/>
        <v>December</v>
      </c>
    </row>
    <row r="65" spans="1:7" ht="15.75" thickBot="1">
      <c r="A65" s="5">
        <v>31</v>
      </c>
      <c r="B65" s="681">
        <f>Admin!H66</f>
        <v>46362</v>
      </c>
      <c r="C65" s="682"/>
      <c r="D65" s="678" t="str">
        <f>Admin!J66</f>
        <v>Dzień św. Mikołaja</v>
      </c>
      <c r="E65" s="679"/>
      <c r="F65" s="680"/>
      <c r="G65" s="104" t="str">
        <f t="shared" si="0"/>
        <v>December</v>
      </c>
    </row>
    <row r="66" spans="1:7" ht="15.75" thickBot="1">
      <c r="A66" s="5">
        <v>32</v>
      </c>
      <c r="B66" s="681">
        <f>Admin!H67</f>
        <v>46377</v>
      </c>
      <c r="C66" s="682"/>
      <c r="D66" s="678" t="str">
        <f>Admin!J67</f>
        <v>Początek astr. zimy - najkrótszy dzień roku</v>
      </c>
      <c r="E66" s="679"/>
      <c r="F66" s="680"/>
      <c r="G66" s="104" t="str">
        <f t="shared" si="0"/>
        <v>December</v>
      </c>
    </row>
    <row r="67" spans="1:7" ht="15.75" thickBot="1">
      <c r="A67" s="5">
        <v>33</v>
      </c>
      <c r="B67" s="681">
        <f>Admin!H68</f>
        <v>46380</v>
      </c>
      <c r="C67" s="682"/>
      <c r="D67" s="678" t="str">
        <f>Admin!J68</f>
        <v>Wigilia Bożego Narodzenia</v>
      </c>
      <c r="E67" s="679"/>
      <c r="F67" s="680"/>
      <c r="G67" s="104" t="str">
        <f t="shared" si="0"/>
        <v>December</v>
      </c>
    </row>
    <row r="68" spans="1:7" ht="15.75" thickBot="1">
      <c r="A68" s="5">
        <v>34</v>
      </c>
      <c r="B68" s="681">
        <f>Admin!H69</f>
        <v>46383</v>
      </c>
      <c r="C68" s="682"/>
      <c r="D68" s="678" t="str">
        <f>Admin!J69</f>
        <v>Dzień Zwycięskiego Powstania Wielkopolskiego</v>
      </c>
      <c r="E68" s="679"/>
      <c r="F68" s="680"/>
      <c r="G68" s="104" t="str">
        <f t="shared" si="0"/>
        <v>December</v>
      </c>
    </row>
    <row r="69" spans="1:7">
      <c r="A69" s="5">
        <v>35</v>
      </c>
      <c r="B69" s="681">
        <f>Admin!H70</f>
        <v>46387</v>
      </c>
      <c r="C69" s="682"/>
      <c r="D69" s="678" t="str">
        <f>Admin!J70</f>
        <v>Sylwester</v>
      </c>
      <c r="E69" s="679"/>
      <c r="F69" s="680"/>
      <c r="G69" s="104" t="str">
        <f t="shared" si="0"/>
        <v>December</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 ref="B58:C58"/>
    <mergeCell ref="D50:F50"/>
    <mergeCell ref="D51:F51"/>
    <mergeCell ref="D52:F52"/>
    <mergeCell ref="D53:F53"/>
    <mergeCell ref="D54:F54"/>
    <mergeCell ref="D62:F62"/>
    <mergeCell ref="D63:F63"/>
    <mergeCell ref="D60:F60"/>
    <mergeCell ref="D61:F61"/>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D46:F46"/>
    <mergeCell ref="D47:F47"/>
    <mergeCell ref="D48:F48"/>
    <mergeCell ref="D49:F49"/>
    <mergeCell ref="D41:F41"/>
    <mergeCell ref="D42:F42"/>
    <mergeCell ref="D43:F43"/>
    <mergeCell ref="D44:F44"/>
    <mergeCell ref="D64:F6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212</v>
      </c>
      <c r="B2" s="50" t="s">
        <v>213</v>
      </c>
      <c r="C2" s="50" t="s">
        <v>214</v>
      </c>
      <c r="D2" s="50" t="s">
        <v>215</v>
      </c>
      <c r="E2" s="50" t="s">
        <v>216</v>
      </c>
      <c r="F2" s="50" t="s">
        <v>216</v>
      </c>
    </row>
    <row r="3" spans="1:6">
      <c r="A3" s="44" t="s">
        <v>217</v>
      </c>
      <c r="B3" s="44" t="s">
        <v>218</v>
      </c>
      <c r="C3" s="44" t="s">
        <v>219</v>
      </c>
      <c r="D3" s="44" t="s">
        <v>220</v>
      </c>
      <c r="E3" s="44" t="s">
        <v>221</v>
      </c>
      <c r="F3" s="44" t="s">
        <v>221</v>
      </c>
    </row>
    <row r="4" spans="1:6">
      <c r="A4" s="44" t="s">
        <v>222</v>
      </c>
      <c r="B4" s="44" t="s">
        <v>223</v>
      </c>
      <c r="C4" s="44" t="s">
        <v>224</v>
      </c>
      <c r="D4" s="44" t="s">
        <v>225</v>
      </c>
      <c r="E4" s="44" t="s">
        <v>221</v>
      </c>
      <c r="F4" s="44" t="s">
        <v>221</v>
      </c>
    </row>
    <row r="5" spans="1:6">
      <c r="A5" s="44" t="s">
        <v>226</v>
      </c>
      <c r="B5" s="44" t="s">
        <v>227</v>
      </c>
      <c r="C5" s="44" t="s">
        <v>228</v>
      </c>
      <c r="D5" s="44" t="s">
        <v>229</v>
      </c>
      <c r="E5" s="44" t="s">
        <v>221</v>
      </c>
      <c r="F5" s="44" t="s">
        <v>221</v>
      </c>
    </row>
    <row r="6" spans="1:6">
      <c r="A6" s="44" t="s">
        <v>230</v>
      </c>
      <c r="B6" s="44" t="s">
        <v>231</v>
      </c>
      <c r="C6" s="44" t="s">
        <v>232</v>
      </c>
      <c r="D6" s="44" t="s">
        <v>233</v>
      </c>
      <c r="E6" s="44" t="s">
        <v>221</v>
      </c>
      <c r="F6" s="44" t="s">
        <v>221</v>
      </c>
    </row>
    <row r="7" spans="1:6">
      <c r="A7" s="44" t="s">
        <v>234</v>
      </c>
      <c r="B7" s="44" t="s">
        <v>235</v>
      </c>
      <c r="C7" s="44" t="s">
        <v>236</v>
      </c>
      <c r="D7" s="44" t="s">
        <v>237</v>
      </c>
      <c r="E7" s="44" t="s">
        <v>221</v>
      </c>
      <c r="F7" s="44" t="s">
        <v>221</v>
      </c>
    </row>
    <row r="8" spans="1:6">
      <c r="A8" s="44" t="s">
        <v>238</v>
      </c>
      <c r="B8" s="44" t="s">
        <v>239</v>
      </c>
      <c r="C8" s="44" t="s">
        <v>240</v>
      </c>
      <c r="D8" s="44" t="s">
        <v>241</v>
      </c>
      <c r="E8" s="44" t="s">
        <v>221</v>
      </c>
      <c r="F8" s="44" t="s">
        <v>221</v>
      </c>
    </row>
    <row r="9" spans="1:6">
      <c r="A9" s="44" t="s">
        <v>242</v>
      </c>
      <c r="B9" s="44" t="s">
        <v>243</v>
      </c>
      <c r="C9" s="44" t="s">
        <v>244</v>
      </c>
      <c r="D9" s="44" t="s">
        <v>245</v>
      </c>
      <c r="E9" s="44" t="s">
        <v>221</v>
      </c>
      <c r="F9" s="44" t="s">
        <v>221</v>
      </c>
    </row>
    <row r="10" spans="1:6">
      <c r="A10" s="44" t="s">
        <v>246</v>
      </c>
      <c r="B10" s="44" t="s">
        <v>247</v>
      </c>
      <c r="C10" s="44" t="s">
        <v>248</v>
      </c>
      <c r="D10" s="44" t="s">
        <v>249</v>
      </c>
      <c r="E10" s="44" t="s">
        <v>221</v>
      </c>
      <c r="F10" s="44" t="s">
        <v>221</v>
      </c>
    </row>
    <row r="11" spans="1:6">
      <c r="A11" s="44" t="s">
        <v>250</v>
      </c>
      <c r="B11" s="44" t="s">
        <v>251</v>
      </c>
      <c r="C11" s="44" t="s">
        <v>252</v>
      </c>
      <c r="D11" s="44" t="s">
        <v>0</v>
      </c>
      <c r="E11" s="44" t="s">
        <v>221</v>
      </c>
      <c r="F11" s="44" t="s">
        <v>221</v>
      </c>
    </row>
    <row r="12" spans="1:6">
      <c r="A12" s="44" t="s">
        <v>253</v>
      </c>
      <c r="B12" s="44" t="s">
        <v>254</v>
      </c>
      <c r="C12" s="44" t="s">
        <v>255</v>
      </c>
      <c r="D12" s="44" t="s">
        <v>256</v>
      </c>
      <c r="E12" s="44" t="s">
        <v>221</v>
      </c>
      <c r="F12" s="44" t="s">
        <v>221</v>
      </c>
    </row>
    <row r="13" spans="1:6">
      <c r="A13" s="44" t="s">
        <v>257</v>
      </c>
      <c r="B13" s="44" t="s">
        <v>258</v>
      </c>
      <c r="C13" s="44" t="s">
        <v>259</v>
      </c>
      <c r="D13" s="44" t="s">
        <v>260</v>
      </c>
      <c r="E13" s="44" t="s">
        <v>221</v>
      </c>
      <c r="F13" s="44" t="s">
        <v>221</v>
      </c>
    </row>
    <row r="14" spans="1:6">
      <c r="A14" s="44" t="s">
        <v>261</v>
      </c>
      <c r="B14" s="44" t="s">
        <v>262</v>
      </c>
      <c r="C14" s="44" t="s">
        <v>263</v>
      </c>
      <c r="D14" s="44" t="s">
        <v>264</v>
      </c>
      <c r="E14" s="44" t="s">
        <v>221</v>
      </c>
      <c r="F14" s="44" t="s">
        <v>221</v>
      </c>
    </row>
    <row r="15" spans="1:6">
      <c r="A15" s="44" t="s">
        <v>265</v>
      </c>
      <c r="B15" s="44" t="s">
        <v>266</v>
      </c>
      <c r="C15" s="44" t="s">
        <v>267</v>
      </c>
      <c r="D15" s="44" t="s">
        <v>268</v>
      </c>
      <c r="E15" s="44" t="s">
        <v>221</v>
      </c>
      <c r="F15" s="44" t="s">
        <v>221</v>
      </c>
    </row>
    <row r="16" spans="1:6">
      <c r="A16" s="44" t="s">
        <v>269</v>
      </c>
      <c r="B16" s="44" t="s">
        <v>270</v>
      </c>
      <c r="C16" s="44" t="s">
        <v>271</v>
      </c>
      <c r="D16" s="44" t="s">
        <v>272</v>
      </c>
      <c r="E16" s="44" t="s">
        <v>221</v>
      </c>
      <c r="F16" s="44" t="s">
        <v>221</v>
      </c>
    </row>
    <row r="17" spans="1:7">
      <c r="A17" s="44" t="s">
        <v>273</v>
      </c>
      <c r="B17" s="44" t="s">
        <v>274</v>
      </c>
      <c r="C17" s="44" t="s">
        <v>273</v>
      </c>
      <c r="D17" s="44" t="s">
        <v>274</v>
      </c>
      <c r="E17" s="44" t="s">
        <v>221</v>
      </c>
      <c r="F17" s="44" t="s">
        <v>221</v>
      </c>
    </row>
    <row r="18" spans="1:7">
      <c r="A18" s="44" t="s">
        <v>275</v>
      </c>
      <c r="B18" s="44" t="s">
        <v>276</v>
      </c>
      <c r="C18" s="44" t="s">
        <v>275</v>
      </c>
      <c r="D18" s="44" t="s">
        <v>277</v>
      </c>
      <c r="E18" s="44" t="s">
        <v>221</v>
      </c>
      <c r="F18" s="44" t="s">
        <v>221</v>
      </c>
    </row>
    <row r="19" spans="1:7">
      <c r="A19" s="44" t="s">
        <v>278</v>
      </c>
      <c r="B19" s="44" t="s">
        <v>279</v>
      </c>
      <c r="C19" s="44" t="s">
        <v>280</v>
      </c>
      <c r="D19" s="44" t="s">
        <v>281</v>
      </c>
      <c r="E19" s="44" t="s">
        <v>221</v>
      </c>
      <c r="F19" s="44" t="s">
        <v>221</v>
      </c>
    </row>
    <row r="20" spans="1:7">
      <c r="A20" s="44" t="s">
        <v>282</v>
      </c>
      <c r="B20" s="44" t="s">
        <v>283</v>
      </c>
      <c r="C20" s="44" t="s">
        <v>284</v>
      </c>
      <c r="D20" s="44" t="s">
        <v>285</v>
      </c>
      <c r="E20" s="44" t="s">
        <v>221</v>
      </c>
      <c r="F20" s="44" t="s">
        <v>221</v>
      </c>
    </row>
    <row r="21" spans="1:7">
      <c r="A21" s="44" t="s">
        <v>286</v>
      </c>
      <c r="B21" s="44" t="s">
        <v>287</v>
      </c>
      <c r="C21" s="44" t="s">
        <v>288</v>
      </c>
      <c r="D21" s="44" t="s">
        <v>289</v>
      </c>
      <c r="E21" s="44" t="s">
        <v>221</v>
      </c>
      <c r="F21" s="44" t="s">
        <v>221</v>
      </c>
    </row>
    <row r="22" spans="1:7">
      <c r="A22" s="44" t="s">
        <v>290</v>
      </c>
      <c r="B22" s="44" t="s">
        <v>291</v>
      </c>
      <c r="C22" s="44" t="s">
        <v>292</v>
      </c>
      <c r="D22" s="44" t="s">
        <v>293</v>
      </c>
      <c r="E22" s="44" t="s">
        <v>221</v>
      </c>
      <c r="F22" s="44" t="s">
        <v>221</v>
      </c>
    </row>
    <row r="23" spans="1:7">
      <c r="A23" s="44" t="s">
        <v>294</v>
      </c>
      <c r="B23" s="44" t="s">
        <v>295</v>
      </c>
      <c r="C23" s="44" t="s">
        <v>296</v>
      </c>
      <c r="D23" s="44" t="s">
        <v>297</v>
      </c>
      <c r="E23" s="44" t="s">
        <v>221</v>
      </c>
      <c r="F23" s="44" t="s">
        <v>221</v>
      </c>
    </row>
    <row r="24" spans="1:7">
      <c r="A24" s="44" t="s">
        <v>298</v>
      </c>
      <c r="B24" s="44" t="s">
        <v>299</v>
      </c>
      <c r="C24" s="44" t="s">
        <v>300</v>
      </c>
      <c r="D24" s="44" t="s">
        <v>299</v>
      </c>
      <c r="E24" s="44" t="s">
        <v>221</v>
      </c>
      <c r="F24" s="44" t="s">
        <v>221</v>
      </c>
    </row>
    <row r="25" spans="1:7">
      <c r="A25" s="44" t="s">
        <v>301</v>
      </c>
      <c r="B25" s="44" t="s">
        <v>302</v>
      </c>
      <c r="C25" s="44" t="s">
        <v>303</v>
      </c>
      <c r="D25" s="44" t="s">
        <v>304</v>
      </c>
      <c r="E25" s="44" t="s">
        <v>221</v>
      </c>
      <c r="F25" s="44" t="s">
        <v>221</v>
      </c>
    </row>
    <row r="26" spans="1:7">
      <c r="A26" s="44" t="s">
        <v>305</v>
      </c>
      <c r="B26" s="44" t="s">
        <v>306</v>
      </c>
      <c r="C26" s="44" t="s">
        <v>307</v>
      </c>
      <c r="D26" s="44" t="s">
        <v>308</v>
      </c>
      <c r="E26" s="44" t="s">
        <v>221</v>
      </c>
      <c r="F26" s="44" t="s">
        <v>221</v>
      </c>
      <c r="G26" s="105"/>
    </row>
    <row r="27" spans="1:7">
      <c r="A27" s="44" t="s">
        <v>309</v>
      </c>
      <c r="B27" s="44" t="s">
        <v>310</v>
      </c>
      <c r="C27" s="44" t="s">
        <v>311</v>
      </c>
      <c r="D27" s="44" t="s">
        <v>312</v>
      </c>
      <c r="E27" s="44" t="s">
        <v>221</v>
      </c>
      <c r="F27" s="44" t="s">
        <v>221</v>
      </c>
    </row>
    <row r="28" spans="1:7">
      <c r="A28" s="44" t="s">
        <v>313</v>
      </c>
      <c r="B28" s="44" t="s">
        <v>314</v>
      </c>
      <c r="C28" s="44" t="s">
        <v>315</v>
      </c>
      <c r="D28" s="44" t="s">
        <v>316</v>
      </c>
      <c r="E28" s="44" t="s">
        <v>221</v>
      </c>
      <c r="F28" s="44" t="s">
        <v>221</v>
      </c>
    </row>
    <row r="29" spans="1:7">
      <c r="A29" s="44" t="s">
        <v>317</v>
      </c>
      <c r="B29" s="44" t="s">
        <v>318</v>
      </c>
      <c r="C29" s="44" t="s">
        <v>319</v>
      </c>
      <c r="D29" s="44" t="s">
        <v>320</v>
      </c>
      <c r="E29" s="44" t="s">
        <v>221</v>
      </c>
      <c r="F29" s="44" t="s">
        <v>221</v>
      </c>
    </row>
    <row r="30" spans="1:7">
      <c r="A30" s="44" t="s">
        <v>321</v>
      </c>
      <c r="B30" s="44" t="s">
        <v>322</v>
      </c>
      <c r="C30" s="44" t="s">
        <v>323</v>
      </c>
      <c r="D30" s="44" t="s">
        <v>324</v>
      </c>
      <c r="E30" s="44" t="s">
        <v>221</v>
      </c>
      <c r="F30" s="44" t="s">
        <v>221</v>
      </c>
    </row>
    <row r="31" spans="1:7">
      <c r="A31" s="44" t="s">
        <v>325</v>
      </c>
      <c r="B31" s="44" t="s">
        <v>326</v>
      </c>
      <c r="C31" s="44" t="s">
        <v>327</v>
      </c>
      <c r="D31" s="44" t="s">
        <v>328</v>
      </c>
      <c r="E31" s="44" t="s">
        <v>221</v>
      </c>
      <c r="F31" s="44" t="s">
        <v>221</v>
      </c>
    </row>
    <row r="32" spans="1:7">
      <c r="A32" s="44" t="s">
        <v>329</v>
      </c>
      <c r="B32" s="44" t="s">
        <v>330</v>
      </c>
      <c r="C32" s="44" t="s">
        <v>331</v>
      </c>
      <c r="D32" s="44" t="s">
        <v>332</v>
      </c>
      <c r="E32" s="44" t="s">
        <v>221</v>
      </c>
      <c r="F32" s="44" t="s">
        <v>221</v>
      </c>
    </row>
    <row r="33" spans="1:6">
      <c r="A33" s="44" t="s">
        <v>333</v>
      </c>
      <c r="B33" s="44" t="s">
        <v>334</v>
      </c>
      <c r="C33" s="44" t="s">
        <v>335</v>
      </c>
      <c r="D33" s="44" t="s">
        <v>336</v>
      </c>
      <c r="E33" s="44" t="s">
        <v>221</v>
      </c>
      <c r="F33" s="44" t="s">
        <v>221</v>
      </c>
    </row>
    <row r="34" spans="1:6">
      <c r="A34" s="44" t="s">
        <v>337</v>
      </c>
      <c r="B34" s="44" t="s">
        <v>338</v>
      </c>
      <c r="C34" s="44" t="s">
        <v>339</v>
      </c>
      <c r="D34" s="44" t="s">
        <v>340</v>
      </c>
      <c r="E34" s="44" t="s">
        <v>221</v>
      </c>
      <c r="F34" s="44" t="s">
        <v>221</v>
      </c>
    </row>
    <row r="35" spans="1:6">
      <c r="A35" s="44" t="s">
        <v>341</v>
      </c>
      <c r="B35" s="44" t="s">
        <v>342</v>
      </c>
      <c r="C35" s="44" t="s">
        <v>343</v>
      </c>
      <c r="D35" s="44" t="s">
        <v>344</v>
      </c>
      <c r="E35" s="44" t="s">
        <v>221</v>
      </c>
      <c r="F35" s="44" t="s">
        <v>221</v>
      </c>
    </row>
    <row r="36" spans="1:6">
      <c r="A36" s="44" t="s">
        <v>345</v>
      </c>
      <c r="B36" s="44" t="s">
        <v>346</v>
      </c>
      <c r="C36" s="44" t="s">
        <v>347</v>
      </c>
      <c r="D36" s="44" t="s">
        <v>348</v>
      </c>
      <c r="E36" s="44" t="s">
        <v>221</v>
      </c>
      <c r="F36" s="44" t="s">
        <v>221</v>
      </c>
    </row>
    <row r="37" spans="1:6">
      <c r="A37" s="44" t="s">
        <v>349</v>
      </c>
      <c r="B37" s="44" t="s">
        <v>350</v>
      </c>
      <c r="C37" s="44" t="s">
        <v>351</v>
      </c>
      <c r="D37" s="44" t="s">
        <v>352</v>
      </c>
      <c r="E37" s="44" t="s">
        <v>221</v>
      </c>
      <c r="F37" s="44" t="s">
        <v>221</v>
      </c>
    </row>
    <row r="38" spans="1:6">
      <c r="A38" s="44" t="s">
        <v>353</v>
      </c>
      <c r="B38" s="44" t="s">
        <v>354</v>
      </c>
      <c r="C38" s="44" t="s">
        <v>355</v>
      </c>
      <c r="D38" s="44" t="s">
        <v>354</v>
      </c>
      <c r="E38" s="44" t="s">
        <v>221</v>
      </c>
      <c r="F38" s="44" t="s">
        <v>221</v>
      </c>
    </row>
    <row r="39" spans="1:6">
      <c r="A39" s="44" t="s">
        <v>356</v>
      </c>
      <c r="B39" s="44" t="s">
        <v>357</v>
      </c>
      <c r="C39" s="44" t="s">
        <v>358</v>
      </c>
      <c r="D39" s="44" t="s">
        <v>357</v>
      </c>
      <c r="E39" s="44" t="s">
        <v>221</v>
      </c>
      <c r="F39" s="44" t="s">
        <v>221</v>
      </c>
    </row>
    <row r="40" spans="1:6">
      <c r="A40" s="44" t="s">
        <v>359</v>
      </c>
      <c r="B40" s="44" t="s">
        <v>360</v>
      </c>
      <c r="C40" s="44" t="s">
        <v>361</v>
      </c>
      <c r="D40" s="44" t="s">
        <v>362</v>
      </c>
      <c r="E40" s="44" t="s">
        <v>221</v>
      </c>
      <c r="F40" s="44" t="s">
        <v>221</v>
      </c>
    </row>
    <row r="41" spans="1:6">
      <c r="A41" s="44" t="s">
        <v>363</v>
      </c>
      <c r="B41" s="44" t="s">
        <v>364</v>
      </c>
      <c r="C41" s="44" t="s">
        <v>365</v>
      </c>
      <c r="D41" s="44" t="s">
        <v>46</v>
      </c>
      <c r="E41" s="44" t="s">
        <v>221</v>
      </c>
      <c r="F41" s="44" t="s">
        <v>221</v>
      </c>
    </row>
    <row r="42" spans="1:6">
      <c r="A42" s="44" t="s">
        <v>366</v>
      </c>
      <c r="B42" s="44" t="s">
        <v>342</v>
      </c>
      <c r="C42" s="44" t="s">
        <v>367</v>
      </c>
      <c r="D42" s="44" t="s">
        <v>368</v>
      </c>
      <c r="E42" s="44" t="s">
        <v>221</v>
      </c>
      <c r="F42" s="44" t="s">
        <v>221</v>
      </c>
    </row>
    <row r="43" spans="1:6">
      <c r="A43" s="44" t="s">
        <v>44</v>
      </c>
      <c r="B43" s="44" t="s">
        <v>369</v>
      </c>
      <c r="C43" s="44" t="s">
        <v>370</v>
      </c>
      <c r="D43" s="44" t="s">
        <v>371</v>
      </c>
      <c r="E43" s="44" t="s">
        <v>221</v>
      </c>
      <c r="F43" s="44" t="s">
        <v>221</v>
      </c>
    </row>
    <row r="44" spans="1:6">
      <c r="A44" s="44" t="s">
        <v>372</v>
      </c>
      <c r="B44" s="44" t="s">
        <v>373</v>
      </c>
      <c r="C44" s="44" t="s">
        <v>374</v>
      </c>
      <c r="D44" s="44" t="s">
        <v>375</v>
      </c>
      <c r="E44" s="44" t="s">
        <v>221</v>
      </c>
      <c r="F44" s="44" t="s">
        <v>221</v>
      </c>
    </row>
    <row r="45" spans="1:6">
      <c r="A45" s="44" t="s">
        <v>376</v>
      </c>
      <c r="B45" s="44" t="s">
        <v>377</v>
      </c>
      <c r="C45" s="44" t="s">
        <v>378</v>
      </c>
      <c r="D45" s="44" t="s">
        <v>379</v>
      </c>
      <c r="E45" s="44" t="s">
        <v>221</v>
      </c>
      <c r="F45" s="44" t="s">
        <v>221</v>
      </c>
    </row>
    <row r="46" spans="1:6">
      <c r="A46" s="44" t="s">
        <v>380</v>
      </c>
      <c r="B46" s="44" t="s">
        <v>381</v>
      </c>
      <c r="C46" s="44" t="s">
        <v>382</v>
      </c>
      <c r="D46" s="44" t="s">
        <v>383</v>
      </c>
      <c r="E46" s="44" t="s">
        <v>221</v>
      </c>
      <c r="F46" s="44" t="s">
        <v>221</v>
      </c>
    </row>
    <row r="47" spans="1:6">
      <c r="A47" s="44" t="s">
        <v>384</v>
      </c>
      <c r="B47" s="44" t="s">
        <v>385</v>
      </c>
      <c r="C47" s="44" t="s">
        <v>386</v>
      </c>
      <c r="D47" s="44" t="s">
        <v>387</v>
      </c>
      <c r="E47" s="44" t="s">
        <v>221</v>
      </c>
      <c r="F47" s="44" t="s">
        <v>221</v>
      </c>
    </row>
    <row r="48" spans="1:6">
      <c r="A48" s="44" t="s">
        <v>388</v>
      </c>
      <c r="B48" s="44" t="s">
        <v>389</v>
      </c>
      <c r="C48" s="44" t="s">
        <v>390</v>
      </c>
      <c r="D48" s="44" t="s">
        <v>391</v>
      </c>
      <c r="E48" s="44" t="s">
        <v>221</v>
      </c>
      <c r="F48" s="44" t="s">
        <v>221</v>
      </c>
    </row>
    <row r="49" spans="1:6" ht="27.75">
      <c r="A49" s="44" t="s">
        <v>392</v>
      </c>
      <c r="B49" s="44" t="s">
        <v>393</v>
      </c>
      <c r="C49" s="44" t="s">
        <v>394</v>
      </c>
      <c r="D49" s="44" t="s">
        <v>395</v>
      </c>
      <c r="E49" s="44" t="s">
        <v>221</v>
      </c>
      <c r="F49" s="44" t="s">
        <v>221</v>
      </c>
    </row>
    <row r="50" spans="1:6">
      <c r="A50" s="44" t="s">
        <v>396</v>
      </c>
      <c r="B50" s="44" t="s">
        <v>397</v>
      </c>
      <c r="C50" s="44" t="s">
        <v>398</v>
      </c>
      <c r="D50" s="44" t="s">
        <v>399</v>
      </c>
      <c r="E50" s="44" t="s">
        <v>221</v>
      </c>
      <c r="F50" s="44" t="s">
        <v>221</v>
      </c>
    </row>
    <row r="51" spans="1:6">
      <c r="A51" s="44" t="s">
        <v>400</v>
      </c>
      <c r="B51" s="44" t="s">
        <v>401</v>
      </c>
      <c r="C51" s="44" t="s">
        <v>402</v>
      </c>
      <c r="D51" s="44" t="s">
        <v>403</v>
      </c>
      <c r="E51" s="44" t="s">
        <v>221</v>
      </c>
      <c r="F51" s="44" t="s">
        <v>221</v>
      </c>
    </row>
    <row r="52" spans="1:6">
      <c r="A52" s="44" t="s">
        <v>404</v>
      </c>
      <c r="B52" s="44" t="s">
        <v>405</v>
      </c>
      <c r="C52" s="44" t="s">
        <v>406</v>
      </c>
      <c r="D52" s="44" t="s">
        <v>407</v>
      </c>
      <c r="E52" s="44" t="s">
        <v>221</v>
      </c>
      <c r="F52" s="44" t="s">
        <v>221</v>
      </c>
    </row>
    <row r="53" spans="1:6">
      <c r="A53" s="44" t="s">
        <v>408</v>
      </c>
      <c r="B53" s="44" t="s">
        <v>409</v>
      </c>
      <c r="C53" s="44" t="s">
        <v>386</v>
      </c>
      <c r="D53" s="44" t="s">
        <v>410</v>
      </c>
      <c r="E53" s="44" t="s">
        <v>221</v>
      </c>
      <c r="F53" s="44" t="s">
        <v>221</v>
      </c>
    </row>
    <row r="54" spans="1:6">
      <c r="A54" s="44" t="s">
        <v>411</v>
      </c>
      <c r="B54" s="44" t="s">
        <v>412</v>
      </c>
      <c r="C54" s="44" t="s">
        <v>413</v>
      </c>
      <c r="D54" s="44" t="s">
        <v>414</v>
      </c>
      <c r="E54" s="44" t="s">
        <v>221</v>
      </c>
      <c r="F54" s="44" t="s">
        <v>221</v>
      </c>
    </row>
    <row r="55" spans="1:6">
      <c r="A55" s="44" t="s">
        <v>415</v>
      </c>
      <c r="B55" s="44" t="s">
        <v>416</v>
      </c>
      <c r="C55" s="44" t="s">
        <v>417</v>
      </c>
      <c r="D55" s="44" t="s">
        <v>418</v>
      </c>
      <c r="E55" s="44" t="s">
        <v>221</v>
      </c>
      <c r="F55" s="44" t="s">
        <v>221</v>
      </c>
    </row>
    <row r="56" spans="1:6">
      <c r="A56" s="44" t="s">
        <v>419</v>
      </c>
      <c r="B56" s="44" t="s">
        <v>420</v>
      </c>
      <c r="C56" s="44" t="s">
        <v>419</v>
      </c>
      <c r="D56" s="44" t="s">
        <v>421</v>
      </c>
      <c r="E56" s="44" t="s">
        <v>221</v>
      </c>
      <c r="F56" s="44" t="s">
        <v>221</v>
      </c>
    </row>
    <row r="57" spans="1:6">
      <c r="A57" s="44" t="s">
        <v>422</v>
      </c>
      <c r="B57" s="44" t="s">
        <v>423</v>
      </c>
      <c r="C57" s="44" t="s">
        <v>424</v>
      </c>
      <c r="D57" s="44" t="s">
        <v>425</v>
      </c>
      <c r="E57" s="44" t="s">
        <v>221</v>
      </c>
      <c r="F57" s="44" t="s">
        <v>221</v>
      </c>
    </row>
    <row r="58" spans="1:6">
      <c r="A58" s="44" t="s">
        <v>426</v>
      </c>
      <c r="B58" s="44" t="s">
        <v>427</v>
      </c>
      <c r="C58" s="44" t="s">
        <v>428</v>
      </c>
      <c r="D58" s="44" t="s">
        <v>429</v>
      </c>
      <c r="E58" s="44" t="s">
        <v>221</v>
      </c>
      <c r="F58" s="44" t="s">
        <v>221</v>
      </c>
    </row>
    <row r="59" spans="1:6">
      <c r="A59" s="44" t="s">
        <v>430</v>
      </c>
      <c r="B59" s="44" t="s">
        <v>431</v>
      </c>
      <c r="C59" s="44" t="s">
        <v>432</v>
      </c>
      <c r="D59" s="44" t="s">
        <v>433</v>
      </c>
      <c r="E59" s="44" t="s">
        <v>221</v>
      </c>
      <c r="F59" s="44" t="s">
        <v>221</v>
      </c>
    </row>
    <row r="60" spans="1:6">
      <c r="A60" s="44" t="s">
        <v>434</v>
      </c>
      <c r="B60" s="44" t="s">
        <v>435</v>
      </c>
      <c r="C60" s="44" t="s">
        <v>436</v>
      </c>
      <c r="D60" s="44" t="s">
        <v>437</v>
      </c>
      <c r="E60" s="44" t="s">
        <v>221</v>
      </c>
      <c r="F60" s="44" t="s">
        <v>221</v>
      </c>
    </row>
    <row r="61" spans="1:6">
      <c r="A61" s="44" t="s">
        <v>438</v>
      </c>
      <c r="B61" s="44" t="s">
        <v>405</v>
      </c>
      <c r="C61" s="44" t="s">
        <v>439</v>
      </c>
      <c r="D61" s="44" t="s">
        <v>440</v>
      </c>
      <c r="E61" s="44" t="s">
        <v>221</v>
      </c>
      <c r="F61" s="44" t="s">
        <v>221</v>
      </c>
    </row>
    <row r="62" spans="1:6">
      <c r="A62" s="44" t="s">
        <v>441</v>
      </c>
      <c r="B62" s="44" t="s">
        <v>409</v>
      </c>
      <c r="C62" s="44" t="s">
        <v>386</v>
      </c>
      <c r="D62" s="44" t="s">
        <v>410</v>
      </c>
      <c r="E62" s="44" t="s">
        <v>221</v>
      </c>
      <c r="F62" s="44" t="s">
        <v>221</v>
      </c>
    </row>
    <row r="63" spans="1:6">
      <c r="A63" s="44" t="s">
        <v>442</v>
      </c>
      <c r="B63" s="44" t="s">
        <v>443</v>
      </c>
      <c r="C63" s="44" t="s">
        <v>444</v>
      </c>
      <c r="D63" s="44" t="s">
        <v>445</v>
      </c>
      <c r="E63" s="44" t="s">
        <v>221</v>
      </c>
      <c r="F63" s="44" t="s">
        <v>221</v>
      </c>
    </row>
    <row r="64" spans="1:6">
      <c r="A64" s="44" t="s">
        <v>446</v>
      </c>
      <c r="B64" s="44" t="s">
        <v>447</v>
      </c>
      <c r="C64" s="44" t="s">
        <v>448</v>
      </c>
      <c r="D64" s="44" t="s">
        <v>449</v>
      </c>
      <c r="E64" s="44" t="s">
        <v>221</v>
      </c>
      <c r="F64" s="44" t="s">
        <v>221</v>
      </c>
    </row>
    <row r="65" spans="1:7">
      <c r="A65" s="44" t="s">
        <v>450</v>
      </c>
      <c r="B65" s="44" t="s">
        <v>451</v>
      </c>
      <c r="C65" s="44" t="s">
        <v>452</v>
      </c>
      <c r="D65" s="44" t="s">
        <v>453</v>
      </c>
      <c r="E65" s="44" t="s">
        <v>221</v>
      </c>
      <c r="F65" s="44" t="s">
        <v>221</v>
      </c>
    </row>
    <row r="66" spans="1:7">
      <c r="A66" s="44" t="s">
        <v>454</v>
      </c>
      <c r="B66" s="44" t="s">
        <v>455</v>
      </c>
      <c r="C66" s="44" t="s">
        <v>456</v>
      </c>
      <c r="D66" s="44" t="s">
        <v>457</v>
      </c>
      <c r="E66" s="44" t="s">
        <v>221</v>
      </c>
      <c r="F66" s="44" t="s">
        <v>221</v>
      </c>
    </row>
    <row r="67" spans="1:7" ht="408.95" customHeight="1">
      <c r="A67" s="44" t="s">
        <v>458</v>
      </c>
      <c r="B67" s="44" t="s">
        <v>459</v>
      </c>
      <c r="C67" s="44" t="s">
        <v>460</v>
      </c>
      <c r="D67" s="44" t="s">
        <v>461</v>
      </c>
      <c r="E67" s="44" t="s">
        <v>221</v>
      </c>
      <c r="F67" s="44" t="s">
        <v>221</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462</v>
      </c>
      <c r="B68" s="44" t="s">
        <v>463</v>
      </c>
      <c r="C68" s="44" t="s">
        <v>464</v>
      </c>
      <c r="D68" s="44" t="s">
        <v>465</v>
      </c>
      <c r="E68" s="44" t="s">
        <v>221</v>
      </c>
      <c r="F68" s="44" t="s">
        <v>221</v>
      </c>
    </row>
    <row r="69" spans="1:7" ht="41.25">
      <c r="A69" s="44" t="s">
        <v>466</v>
      </c>
      <c r="B69" s="44" t="s">
        <v>467</v>
      </c>
      <c r="C69" s="44" t="s">
        <v>468</v>
      </c>
      <c r="D69" s="44" t="s">
        <v>469</v>
      </c>
      <c r="E69" s="44" t="s">
        <v>221</v>
      </c>
      <c r="F69" s="44" t="s">
        <v>221</v>
      </c>
      <c r="G69" s="45" t="str">
        <f ca="1">INDIRECT("T!"&amp;T!A1&amp;"69")</f>
        <v>Czy chesz usunąć wszystkie dane z arkuszy "Holidays" oraz "Schedules"?</v>
      </c>
    </row>
    <row r="70" spans="1:7" ht="27.75">
      <c r="A70" s="44" t="s">
        <v>470</v>
      </c>
      <c r="B70" s="44" t="s">
        <v>471</v>
      </c>
      <c r="C70" s="44" t="s">
        <v>472</v>
      </c>
      <c r="D70" s="44" t="s">
        <v>473</v>
      </c>
      <c r="E70" s="44" t="s">
        <v>221</v>
      </c>
      <c r="F70" s="44" t="s">
        <v>221</v>
      </c>
      <c r="G70" s="45" t="str">
        <f ca="1">INDIRECT("T!"&amp;T!A1&amp;"70")</f>
        <v>Czy chcesz usunąć wszystkie zadania NC?</v>
      </c>
    </row>
    <row r="71" spans="1:7">
      <c r="A71" s="44" t="s">
        <v>474</v>
      </c>
      <c r="B71" s="44" t="s">
        <v>475</v>
      </c>
      <c r="C71" s="44" t="s">
        <v>476</v>
      </c>
      <c r="D71" s="44" t="s">
        <v>477</v>
      </c>
      <c r="E71" s="44" t="s">
        <v>221</v>
      </c>
      <c r="F71" s="44" t="s">
        <v>221</v>
      </c>
    </row>
    <row r="72" spans="1:7">
      <c r="A72" s="44" t="s">
        <v>478</v>
      </c>
      <c r="B72" s="44" t="s">
        <v>479</v>
      </c>
      <c r="C72" s="44" t="s">
        <v>480</v>
      </c>
      <c r="D72" s="44" t="s">
        <v>481</v>
      </c>
      <c r="E72" s="44" t="s">
        <v>221</v>
      </c>
      <c r="F72" s="44" t="s">
        <v>221</v>
      </c>
    </row>
    <row r="73" spans="1:7">
      <c r="A73" s="44" t="s">
        <v>482</v>
      </c>
      <c r="B73" s="44" t="s">
        <v>483</v>
      </c>
      <c r="C73" s="44" t="s">
        <v>484</v>
      </c>
      <c r="D73" s="44" t="s">
        <v>485</v>
      </c>
      <c r="E73" s="44" t="s">
        <v>221</v>
      </c>
      <c r="F73" s="44" t="s">
        <v>221</v>
      </c>
    </row>
    <row r="74" spans="1:7">
      <c r="A74" s="44" t="s">
        <v>422</v>
      </c>
      <c r="B74" s="44" t="s">
        <v>423</v>
      </c>
      <c r="C74" s="44" t="s">
        <v>424</v>
      </c>
      <c r="D74" s="44" t="s">
        <v>425</v>
      </c>
      <c r="E74" s="44" t="s">
        <v>221</v>
      </c>
      <c r="F74" s="44" t="s">
        <v>221</v>
      </c>
    </row>
    <row r="75" spans="1:7" ht="54.75">
      <c r="A75" s="44" t="s">
        <v>486</v>
      </c>
      <c r="B75" s="44" t="s">
        <v>487</v>
      </c>
      <c r="C75" s="44" t="s">
        <v>488</v>
      </c>
      <c r="D75" s="44" t="s">
        <v>489</v>
      </c>
      <c r="E75" s="44" t="s">
        <v>221</v>
      </c>
      <c r="F75" s="44" t="s">
        <v>221</v>
      </c>
    </row>
    <row r="76" spans="1:7">
      <c r="A76" s="44" t="s">
        <v>490</v>
      </c>
      <c r="B76" s="44" t="s">
        <v>491</v>
      </c>
      <c r="C76" s="44" t="s">
        <v>492</v>
      </c>
      <c r="D76" s="44" t="s">
        <v>493</v>
      </c>
      <c r="E76" s="44" t="s">
        <v>221</v>
      </c>
      <c r="F76" s="44" t="s">
        <v>221</v>
      </c>
    </row>
    <row r="77" spans="1:7" ht="175.5">
      <c r="A77" s="44" t="s">
        <v>494</v>
      </c>
      <c r="B77" s="44" t="s">
        <v>495</v>
      </c>
      <c r="C77" s="44" t="s">
        <v>496</v>
      </c>
      <c r="D77" s="44" t="s">
        <v>497</v>
      </c>
      <c r="E77" s="44" t="s">
        <v>221</v>
      </c>
      <c r="F77" s="44" t="s">
        <v>221</v>
      </c>
    </row>
    <row r="78" spans="1:7">
      <c r="A78" s="44" t="s">
        <v>498</v>
      </c>
      <c r="B78" s="44" t="s">
        <v>499</v>
      </c>
      <c r="C78" s="44" t="s">
        <v>500</v>
      </c>
      <c r="D78" s="44" t="s">
        <v>501</v>
      </c>
      <c r="E78" s="44" t="s">
        <v>221</v>
      </c>
      <c r="F78" s="44" t="s">
        <v>221</v>
      </c>
    </row>
    <row r="79" spans="1:7" ht="68.25">
      <c r="A79" s="44" t="s">
        <v>502</v>
      </c>
      <c r="B79" s="44" t="s">
        <v>503</v>
      </c>
      <c r="C79" s="44" t="s">
        <v>504</v>
      </c>
      <c r="D79" s="44" t="s">
        <v>505</v>
      </c>
      <c r="E79" s="44" t="s">
        <v>221</v>
      </c>
      <c r="F79" s="44" t="s">
        <v>221</v>
      </c>
    </row>
    <row r="80" spans="1:7">
      <c r="A80" s="44" t="s">
        <v>506</v>
      </c>
      <c r="B80" s="44" t="s">
        <v>507</v>
      </c>
      <c r="C80" s="44" t="s">
        <v>508</v>
      </c>
      <c r="D80" s="44" t="s">
        <v>509</v>
      </c>
      <c r="E80" s="44" t="s">
        <v>221</v>
      </c>
      <c r="F80" s="44" t="s">
        <v>221</v>
      </c>
    </row>
    <row r="81" spans="1:6">
      <c r="A81" s="44" t="s">
        <v>510</v>
      </c>
      <c r="B81" s="44" t="s">
        <v>511</v>
      </c>
      <c r="C81" s="44" t="s">
        <v>512</v>
      </c>
      <c r="D81" s="44" t="s">
        <v>513</v>
      </c>
      <c r="E81" s="44" t="s">
        <v>221</v>
      </c>
      <c r="F81" s="44" t="s">
        <v>221</v>
      </c>
    </row>
    <row r="82" spans="1:6">
      <c r="A82" s="44" t="s">
        <v>514</v>
      </c>
      <c r="B82" s="44" t="s">
        <v>515</v>
      </c>
      <c r="C82" s="44" t="s">
        <v>516</v>
      </c>
      <c r="D82" s="44" t="s">
        <v>517</v>
      </c>
      <c r="E82" s="44" t="s">
        <v>221</v>
      </c>
      <c r="F82" s="44" t="s">
        <v>221</v>
      </c>
    </row>
    <row r="83" spans="1:6" ht="27.75">
      <c r="A83" s="44" t="s">
        <v>518</v>
      </c>
      <c r="B83" s="44" t="s">
        <v>519</v>
      </c>
      <c r="C83" s="44" t="s">
        <v>520</v>
      </c>
      <c r="D83" s="44" t="s">
        <v>521</v>
      </c>
      <c r="E83" s="44" t="s">
        <v>221</v>
      </c>
      <c r="F83" s="44" t="s">
        <v>221</v>
      </c>
    </row>
    <row r="84" spans="1:6" ht="27.75">
      <c r="A84" s="44" t="s">
        <v>522</v>
      </c>
      <c r="B84" s="44" t="s">
        <v>523</v>
      </c>
      <c r="C84" s="44" t="s">
        <v>524</v>
      </c>
      <c r="D84" s="44" t="s">
        <v>525</v>
      </c>
      <c r="E84" s="44" t="s">
        <v>221</v>
      </c>
      <c r="F84" s="44" t="s">
        <v>221</v>
      </c>
    </row>
    <row r="85" spans="1:6" ht="27.75">
      <c r="A85" s="44" t="s">
        <v>526</v>
      </c>
      <c r="B85" s="44" t="s">
        <v>527</v>
      </c>
      <c r="C85" s="44" t="s">
        <v>528</v>
      </c>
      <c r="D85" s="44" t="s">
        <v>529</v>
      </c>
      <c r="E85" s="44" t="s">
        <v>221</v>
      </c>
      <c r="F85" s="44" t="s">
        <v>221</v>
      </c>
    </row>
    <row r="86" spans="1:6" ht="135">
      <c r="A86" s="44" t="s">
        <v>530</v>
      </c>
      <c r="B86" s="44" t="s">
        <v>531</v>
      </c>
      <c r="C86" s="44" t="s">
        <v>532</v>
      </c>
      <c r="D86" s="44" t="s">
        <v>533</v>
      </c>
      <c r="E86" s="44" t="s">
        <v>221</v>
      </c>
      <c r="F86" s="44" t="s">
        <v>221</v>
      </c>
    </row>
    <row r="87" spans="1:6">
      <c r="A87" s="44" t="s">
        <v>534</v>
      </c>
      <c r="B87" s="44" t="s">
        <v>535</v>
      </c>
      <c r="C87" s="44" t="s">
        <v>536</v>
      </c>
      <c r="D87" s="44" t="s">
        <v>537</v>
      </c>
      <c r="E87" s="44" t="s">
        <v>221</v>
      </c>
      <c r="F87" s="44" t="s">
        <v>221</v>
      </c>
    </row>
    <row r="88" spans="1:6" ht="68.25">
      <c r="A88" s="44" t="s">
        <v>538</v>
      </c>
      <c r="B88" s="44" t="s">
        <v>539</v>
      </c>
      <c r="C88" s="44" t="s">
        <v>540</v>
      </c>
      <c r="D88" s="44" t="s">
        <v>541</v>
      </c>
      <c r="E88" s="44" t="s">
        <v>221</v>
      </c>
      <c r="F88" s="44" t="s">
        <v>221</v>
      </c>
    </row>
    <row r="89" spans="1:6">
      <c r="A89" s="44" t="s">
        <v>542</v>
      </c>
      <c r="B89" s="44" t="s">
        <v>543</v>
      </c>
      <c r="C89" s="44" t="s">
        <v>544</v>
      </c>
      <c r="D89" s="44" t="s">
        <v>545</v>
      </c>
      <c r="E89" s="44" t="s">
        <v>221</v>
      </c>
      <c r="F89" s="44" t="s">
        <v>221</v>
      </c>
    </row>
    <row r="90" spans="1:6" ht="121.5">
      <c r="A90" s="44" t="s">
        <v>546</v>
      </c>
      <c r="B90" s="44" t="s">
        <v>547</v>
      </c>
      <c r="C90" s="44" t="s">
        <v>548</v>
      </c>
      <c r="D90" s="44" t="s">
        <v>549</v>
      </c>
      <c r="E90" s="44" t="s">
        <v>221</v>
      </c>
      <c r="F90" s="44" t="s">
        <v>221</v>
      </c>
    </row>
    <row r="91" spans="1:6">
      <c r="A91" s="44" t="s">
        <v>550</v>
      </c>
      <c r="B91" s="44" t="s">
        <v>551</v>
      </c>
      <c r="C91" s="44" t="s">
        <v>552</v>
      </c>
      <c r="D91" s="44" t="s">
        <v>553</v>
      </c>
      <c r="E91" s="44" t="s">
        <v>221</v>
      </c>
      <c r="F91" s="44" t="s">
        <v>221</v>
      </c>
    </row>
    <row r="92" spans="1:6" ht="108">
      <c r="A92" s="44" t="s">
        <v>554</v>
      </c>
      <c r="B92" s="44" t="s">
        <v>555</v>
      </c>
      <c r="C92" s="44" t="s">
        <v>556</v>
      </c>
      <c r="D92" s="44" t="s">
        <v>557</v>
      </c>
      <c r="E92" s="44" t="s">
        <v>221</v>
      </c>
      <c r="F92" s="44" t="s">
        <v>221</v>
      </c>
    </row>
    <row r="93" spans="1:6">
      <c r="A93" s="44" t="s">
        <v>558</v>
      </c>
      <c r="B93" s="44" t="s">
        <v>447</v>
      </c>
      <c r="C93" s="44" t="s">
        <v>448</v>
      </c>
      <c r="D93" s="44" t="s">
        <v>559</v>
      </c>
      <c r="E93" s="44" t="s">
        <v>221</v>
      </c>
      <c r="F93" s="44" t="s">
        <v>221</v>
      </c>
    </row>
    <row r="94" spans="1:6">
      <c r="E94" s="44" t="s">
        <v>221</v>
      </c>
      <c r="F94" s="44" t="s">
        <v>221</v>
      </c>
    </row>
    <row r="95" spans="1:6">
      <c r="E95" s="44" t="s">
        <v>221</v>
      </c>
      <c r="F95" s="44" t="s">
        <v>221</v>
      </c>
    </row>
    <row r="96" spans="1:6">
      <c r="E96" s="44" t="s">
        <v>221</v>
      </c>
      <c r="F96" s="44" t="s">
        <v>221</v>
      </c>
    </row>
    <row r="97" spans="5:6">
      <c r="E97" s="44" t="s">
        <v>221</v>
      </c>
      <c r="F97" s="44" t="s">
        <v>221</v>
      </c>
    </row>
    <row r="98" spans="5:6">
      <c r="E98" s="44" t="s">
        <v>221</v>
      </c>
      <c r="F98" s="44" t="s">
        <v>221</v>
      </c>
    </row>
    <row r="99" spans="5:6">
      <c r="E99" s="44" t="s">
        <v>221</v>
      </c>
      <c r="F99" s="44" t="s">
        <v>221</v>
      </c>
    </row>
    <row r="100" spans="5:6">
      <c r="E100" s="44" t="s">
        <v>221</v>
      </c>
      <c r="F100" s="44" t="s">
        <v>221</v>
      </c>
    </row>
    <row r="101" spans="5:6">
      <c r="E101" s="44" t="s">
        <v>221</v>
      </c>
      <c r="F101" s="44" t="s">
        <v>221</v>
      </c>
    </row>
    <row r="102" spans="5:6">
      <c r="E102" s="44" t="s">
        <v>221</v>
      </c>
      <c r="F102" s="44" t="s">
        <v>221</v>
      </c>
    </row>
    <row r="103" spans="5:6">
      <c r="E103" s="44" t="s">
        <v>221</v>
      </c>
      <c r="F103" s="44" t="s">
        <v>221</v>
      </c>
    </row>
    <row r="104" spans="5:6">
      <c r="E104" s="44" t="s">
        <v>221</v>
      </c>
      <c r="F104" s="44" t="s">
        <v>221</v>
      </c>
    </row>
    <row r="105" spans="5:6">
      <c r="E105" s="44" t="s">
        <v>221</v>
      </c>
      <c r="F105" s="44" t="s">
        <v>221</v>
      </c>
    </row>
    <row r="106" spans="5:6">
      <c r="E106" s="44" t="s">
        <v>221</v>
      </c>
      <c r="F106" s="44" t="s">
        <v>221</v>
      </c>
    </row>
    <row r="107" spans="5:6">
      <c r="E107" s="44" t="s">
        <v>221</v>
      </c>
      <c r="F107" s="44" t="s">
        <v>221</v>
      </c>
    </row>
    <row r="108" spans="5:6">
      <c r="E108" s="44" t="s">
        <v>221</v>
      </c>
      <c r="F108" s="44" t="s">
        <v>221</v>
      </c>
    </row>
    <row r="109" spans="5:6">
      <c r="E109" s="44" t="s">
        <v>221</v>
      </c>
      <c r="F109" s="44" t="s">
        <v>221</v>
      </c>
    </row>
    <row r="110" spans="5:6">
      <c r="E110" s="44" t="s">
        <v>221</v>
      </c>
      <c r="F110" s="44" t="s">
        <v>221</v>
      </c>
    </row>
    <row r="111" spans="5:6">
      <c r="E111" s="44" t="s">
        <v>221</v>
      </c>
      <c r="F111" s="44" t="s">
        <v>221</v>
      </c>
    </row>
    <row r="112" spans="5:6">
      <c r="E112" s="44" t="s">
        <v>221</v>
      </c>
      <c r="F112" s="44" t="s">
        <v>221</v>
      </c>
    </row>
    <row r="113" spans="5:6">
      <c r="E113" s="44" t="s">
        <v>221</v>
      </c>
      <c r="F113" s="44" t="s">
        <v>221</v>
      </c>
    </row>
    <row r="114" spans="5:6">
      <c r="E114" s="44" t="s">
        <v>221</v>
      </c>
      <c r="F114" s="44" t="s">
        <v>221</v>
      </c>
    </row>
    <row r="115" spans="5:6">
      <c r="E115" s="44" t="s">
        <v>221</v>
      </c>
      <c r="F115" s="44" t="s">
        <v>221</v>
      </c>
    </row>
    <row r="116" spans="5:6">
      <c r="E116" s="44" t="s">
        <v>221</v>
      </c>
      <c r="F116" s="44" t="s">
        <v>221</v>
      </c>
    </row>
    <row r="117" spans="5:6">
      <c r="E117" s="44" t="s">
        <v>221</v>
      </c>
      <c r="F117" s="44" t="s">
        <v>221</v>
      </c>
    </row>
    <row r="118" spans="5:6">
      <c r="E118" s="44" t="s">
        <v>221</v>
      </c>
      <c r="F118" s="44" t="s">
        <v>221</v>
      </c>
    </row>
    <row r="119" spans="5:6">
      <c r="E119" s="44" t="s">
        <v>221</v>
      </c>
      <c r="F119" s="44" t="s">
        <v>221</v>
      </c>
    </row>
    <row r="120" spans="5:6">
      <c r="E120" s="44" t="s">
        <v>221</v>
      </c>
      <c r="F120" s="44" t="s">
        <v>221</v>
      </c>
    </row>
    <row r="121" spans="5:6">
      <c r="E121" s="44" t="s">
        <v>221</v>
      </c>
      <c r="F121" s="44" t="s">
        <v>221</v>
      </c>
    </row>
    <row r="122" spans="5:6">
      <c r="E122" s="44" t="s">
        <v>221</v>
      </c>
      <c r="F122" s="44" t="s">
        <v>221</v>
      </c>
    </row>
    <row r="123" spans="5:6">
      <c r="E123" s="44" t="s">
        <v>221</v>
      </c>
      <c r="F123" s="44" t="s">
        <v>221</v>
      </c>
    </row>
    <row r="124" spans="5:6">
      <c r="E124" s="44" t="s">
        <v>221</v>
      </c>
      <c r="F124" s="44" t="s">
        <v>221</v>
      </c>
    </row>
    <row r="125" spans="5:6">
      <c r="E125" s="44" t="s">
        <v>221</v>
      </c>
      <c r="F125" s="44" t="s">
        <v>221</v>
      </c>
    </row>
    <row r="126" spans="5:6">
      <c r="E126" s="44" t="s">
        <v>221</v>
      </c>
      <c r="F126" s="44" t="s">
        <v>221</v>
      </c>
    </row>
    <row r="127" spans="5:6">
      <c r="E127" s="44" t="s">
        <v>221</v>
      </c>
      <c r="F127" s="44" t="s">
        <v>221</v>
      </c>
    </row>
    <row r="128" spans="5:6">
      <c r="E128" s="44" t="s">
        <v>221</v>
      </c>
      <c r="F128" s="44" t="s">
        <v>221</v>
      </c>
    </row>
    <row r="129" spans="5:6">
      <c r="E129" s="44" t="s">
        <v>221</v>
      </c>
      <c r="F129" s="44" t="s">
        <v>221</v>
      </c>
    </row>
    <row r="130" spans="5:6">
      <c r="E130" s="44" t="s">
        <v>221</v>
      </c>
      <c r="F130" s="44" t="s">
        <v>221</v>
      </c>
    </row>
    <row r="131" spans="5:6">
      <c r="E131" s="44" t="s">
        <v>221</v>
      </c>
      <c r="F131" s="44" t="s">
        <v>221</v>
      </c>
    </row>
    <row r="132" spans="5:6">
      <c r="E132" s="44" t="s">
        <v>221</v>
      </c>
      <c r="F132" s="44" t="s">
        <v>221</v>
      </c>
    </row>
    <row r="133" spans="5:6">
      <c r="E133" s="44" t="s">
        <v>221</v>
      </c>
      <c r="F133" s="44" t="s">
        <v>221</v>
      </c>
    </row>
    <row r="134" spans="5:6">
      <c r="E134" s="44" t="s">
        <v>221</v>
      </c>
      <c r="F134" s="44" t="s">
        <v>221</v>
      </c>
    </row>
    <row r="135" spans="5:6">
      <c r="E135" s="44" t="s">
        <v>221</v>
      </c>
      <c r="F135" s="44" t="s">
        <v>221</v>
      </c>
    </row>
    <row r="136" spans="5:6">
      <c r="E136" s="44" t="s">
        <v>221</v>
      </c>
      <c r="F136" s="44" t="s">
        <v>221</v>
      </c>
    </row>
    <row r="137" spans="5:6">
      <c r="E137" s="44" t="s">
        <v>221</v>
      </c>
      <c r="F137" s="44" t="s">
        <v>221</v>
      </c>
    </row>
    <row r="138" spans="5:6">
      <c r="E138" s="44" t="s">
        <v>221</v>
      </c>
      <c r="F138" s="44" t="s">
        <v>221</v>
      </c>
    </row>
    <row r="139" spans="5:6">
      <c r="E139" s="44" t="s">
        <v>221</v>
      </c>
      <c r="F139" s="44" t="s">
        <v>221</v>
      </c>
    </row>
    <row r="140" spans="5:6">
      <c r="E140" s="44" t="s">
        <v>221</v>
      </c>
      <c r="F140" s="44" t="s">
        <v>221</v>
      </c>
    </row>
    <row r="141" spans="5:6">
      <c r="E141" s="44" t="s">
        <v>221</v>
      </c>
      <c r="F141" s="44" t="s">
        <v>221</v>
      </c>
    </row>
    <row r="142" spans="5:6">
      <c r="E142" s="44" t="s">
        <v>221</v>
      </c>
      <c r="F142" s="44" t="s">
        <v>221</v>
      </c>
    </row>
    <row r="143" spans="5:6">
      <c r="E143" s="44" t="s">
        <v>221</v>
      </c>
      <c r="F143" s="44" t="s">
        <v>221</v>
      </c>
    </row>
    <row r="144" spans="5:6">
      <c r="E144" s="44" t="s">
        <v>221</v>
      </c>
      <c r="F144" s="44" t="s">
        <v>221</v>
      </c>
    </row>
    <row r="145" spans="5:6">
      <c r="E145" s="44" t="s">
        <v>221</v>
      </c>
      <c r="F145" s="44" t="s">
        <v>221</v>
      </c>
    </row>
    <row r="146" spans="5:6">
      <c r="E146" s="44" t="s">
        <v>221</v>
      </c>
      <c r="F146" s="44" t="s">
        <v>221</v>
      </c>
    </row>
    <row r="147" spans="5:6">
      <c r="E147" s="44" t="s">
        <v>221</v>
      </c>
      <c r="F147" s="44" t="s">
        <v>221</v>
      </c>
    </row>
    <row r="148" spans="5:6">
      <c r="E148" s="44" t="s">
        <v>221</v>
      </c>
      <c r="F148" s="44" t="s">
        <v>221</v>
      </c>
    </row>
    <row r="149" spans="5:6">
      <c r="E149" s="44" t="s">
        <v>221</v>
      </c>
      <c r="F149" s="44" t="s">
        <v>221</v>
      </c>
    </row>
    <row r="150" spans="5:6">
      <c r="E150" s="44" t="s">
        <v>221</v>
      </c>
      <c r="F150" s="44" t="s">
        <v>221</v>
      </c>
    </row>
    <row r="151" spans="5:6">
      <c r="E151" s="44" t="s">
        <v>221</v>
      </c>
      <c r="F151" s="44" t="s">
        <v>221</v>
      </c>
    </row>
    <row r="152" spans="5:6">
      <c r="E152" s="44" t="s">
        <v>221</v>
      </c>
      <c r="F152" s="44" t="s">
        <v>221</v>
      </c>
    </row>
    <row r="153" spans="5:6">
      <c r="E153" s="44" t="s">
        <v>221</v>
      </c>
      <c r="F153" s="44" t="s">
        <v>221</v>
      </c>
    </row>
    <row r="154" spans="5:6">
      <c r="E154" s="44" t="s">
        <v>221</v>
      </c>
      <c r="F154" s="44" t="s">
        <v>221</v>
      </c>
    </row>
    <row r="155" spans="5:6">
      <c r="E155" s="44" t="s">
        <v>221</v>
      </c>
      <c r="F155" s="44" t="s">
        <v>221</v>
      </c>
    </row>
    <row r="156" spans="5:6">
      <c r="E156" s="44" t="s">
        <v>221</v>
      </c>
      <c r="F156" s="44" t="s">
        <v>221</v>
      </c>
    </row>
    <row r="157" spans="5:6">
      <c r="E157" s="44" t="s">
        <v>221</v>
      </c>
      <c r="F157" s="44" t="s">
        <v>221</v>
      </c>
    </row>
    <row r="158" spans="5:6">
      <c r="E158" s="44" t="s">
        <v>221</v>
      </c>
      <c r="F158" s="44" t="s">
        <v>221</v>
      </c>
    </row>
    <row r="159" spans="5:6">
      <c r="E159" s="44" t="s">
        <v>221</v>
      </c>
      <c r="F159" s="44" t="s">
        <v>221</v>
      </c>
    </row>
    <row r="160" spans="5:6">
      <c r="E160" s="44" t="s">
        <v>221</v>
      </c>
      <c r="F160" s="44" t="s">
        <v>221</v>
      </c>
    </row>
    <row r="161" spans="5:6">
      <c r="E161" s="44" t="s">
        <v>221</v>
      </c>
      <c r="F161" s="44" t="s">
        <v>221</v>
      </c>
    </row>
    <row r="162" spans="5:6">
      <c r="E162" s="44" t="s">
        <v>221</v>
      </c>
      <c r="F162" s="44" t="s">
        <v>221</v>
      </c>
    </row>
    <row r="163" spans="5:6">
      <c r="E163" s="44" t="s">
        <v>221</v>
      </c>
      <c r="F163" s="44" t="s">
        <v>221</v>
      </c>
    </row>
    <row r="164" spans="5:6">
      <c r="E164" s="44" t="s">
        <v>221</v>
      </c>
      <c r="F164" s="44" t="s">
        <v>221</v>
      </c>
    </row>
    <row r="165" spans="5:6">
      <c r="E165" s="44" t="s">
        <v>221</v>
      </c>
      <c r="F165" s="44" t="s">
        <v>221</v>
      </c>
    </row>
    <row r="166" spans="5:6">
      <c r="E166" s="44" t="s">
        <v>221</v>
      </c>
      <c r="F166" s="44" t="s">
        <v>221</v>
      </c>
    </row>
    <row r="167" spans="5:6">
      <c r="E167" s="44" t="s">
        <v>221</v>
      </c>
      <c r="F167" s="44" t="s">
        <v>221</v>
      </c>
    </row>
    <row r="168" spans="5:6">
      <c r="E168" s="44" t="s">
        <v>221</v>
      </c>
      <c r="F168" s="44" t="s">
        <v>221</v>
      </c>
    </row>
    <row r="169" spans="5:6">
      <c r="E169" s="44" t="s">
        <v>221</v>
      </c>
      <c r="F169" s="44" t="s">
        <v>221</v>
      </c>
    </row>
    <row r="170" spans="5:6">
      <c r="E170" s="44" t="s">
        <v>221</v>
      </c>
      <c r="F170" s="44" t="s">
        <v>221</v>
      </c>
    </row>
    <row r="171" spans="5:6">
      <c r="E171" s="44" t="s">
        <v>221</v>
      </c>
      <c r="F171" s="44" t="s">
        <v>221</v>
      </c>
    </row>
    <row r="172" spans="5:6">
      <c r="E172" s="44" t="s">
        <v>221</v>
      </c>
      <c r="F172" s="44" t="s">
        <v>221</v>
      </c>
    </row>
    <row r="173" spans="5:6">
      <c r="E173" s="44" t="s">
        <v>221</v>
      </c>
      <c r="F173" s="44" t="s">
        <v>221</v>
      </c>
    </row>
    <row r="174" spans="5:6">
      <c r="E174" s="44" t="s">
        <v>221</v>
      </c>
      <c r="F174" s="44" t="s">
        <v>221</v>
      </c>
    </row>
    <row r="175" spans="5:6">
      <c r="E175" s="44" t="s">
        <v>221</v>
      </c>
      <c r="F175" s="44" t="s">
        <v>221</v>
      </c>
    </row>
    <row r="176" spans="5:6">
      <c r="E176" s="44" t="s">
        <v>221</v>
      </c>
      <c r="F176" s="44" t="s">
        <v>221</v>
      </c>
    </row>
    <row r="177" spans="5:6">
      <c r="E177" s="44" t="s">
        <v>221</v>
      </c>
      <c r="F177" s="44" t="s">
        <v>221</v>
      </c>
    </row>
    <row r="178" spans="5:6">
      <c r="E178" s="44" t="s">
        <v>221</v>
      </c>
      <c r="F178" s="44" t="s">
        <v>221</v>
      </c>
    </row>
    <row r="179" spans="5:6">
      <c r="E179" s="44" t="s">
        <v>221</v>
      </c>
      <c r="F179" s="44" t="s">
        <v>221</v>
      </c>
    </row>
    <row r="180" spans="5:6">
      <c r="E180" s="44" t="s">
        <v>221</v>
      </c>
      <c r="F180" s="44" t="s">
        <v>221</v>
      </c>
    </row>
    <row r="181" spans="5:6">
      <c r="E181" s="44" t="s">
        <v>221</v>
      </c>
      <c r="F181" s="44" t="s">
        <v>221</v>
      </c>
    </row>
    <row r="182" spans="5:6">
      <c r="E182" s="44" t="s">
        <v>221</v>
      </c>
      <c r="F182" s="44" t="s">
        <v>221</v>
      </c>
    </row>
    <row r="183" spans="5:6">
      <c r="E183" s="44" t="s">
        <v>221</v>
      </c>
      <c r="F183" s="44" t="s">
        <v>221</v>
      </c>
    </row>
    <row r="184" spans="5:6">
      <c r="E184" s="44" t="s">
        <v>221</v>
      </c>
      <c r="F184" s="44" t="s">
        <v>221</v>
      </c>
    </row>
    <row r="185" spans="5:6">
      <c r="E185" s="44" t="s">
        <v>221</v>
      </c>
      <c r="F185" s="44" t="s">
        <v>221</v>
      </c>
    </row>
    <row r="186" spans="5:6">
      <c r="E186" s="44" t="s">
        <v>221</v>
      </c>
      <c r="F186" s="44" t="s">
        <v>221</v>
      </c>
    </row>
    <row r="187" spans="5:6">
      <c r="E187" s="44" t="s">
        <v>221</v>
      </c>
      <c r="F187" s="44" t="s">
        <v>221</v>
      </c>
    </row>
    <row r="188" spans="5:6">
      <c r="E188" s="44" t="s">
        <v>221</v>
      </c>
      <c r="F188" s="44" t="s">
        <v>221</v>
      </c>
    </row>
    <row r="189" spans="5:6">
      <c r="E189" s="44" t="s">
        <v>221</v>
      </c>
      <c r="F189" s="44" t="s">
        <v>221</v>
      </c>
    </row>
    <row r="190" spans="5:6">
      <c r="E190" s="44" t="s">
        <v>221</v>
      </c>
      <c r="F190" s="44" t="s">
        <v>221</v>
      </c>
    </row>
    <row r="191" spans="5:6">
      <c r="E191" s="44" t="s">
        <v>221</v>
      </c>
      <c r="F191" s="44" t="s">
        <v>221</v>
      </c>
    </row>
    <row r="192" spans="5:6">
      <c r="E192" s="44" t="s">
        <v>221</v>
      </c>
      <c r="F192" s="44" t="s">
        <v>221</v>
      </c>
    </row>
    <row r="193" spans="5:6">
      <c r="E193" s="44" t="s">
        <v>221</v>
      </c>
      <c r="F193" s="44" t="s">
        <v>221</v>
      </c>
    </row>
    <row r="194" spans="5:6">
      <c r="E194" s="44" t="s">
        <v>221</v>
      </c>
      <c r="F194" s="44" t="s">
        <v>221</v>
      </c>
    </row>
    <row r="195" spans="5:6">
      <c r="E195" s="44" t="s">
        <v>221</v>
      </c>
      <c r="F195" s="44" t="s">
        <v>221</v>
      </c>
    </row>
    <row r="196" spans="5:6">
      <c r="E196" s="44" t="s">
        <v>221</v>
      </c>
      <c r="F196" s="44" t="s">
        <v>221</v>
      </c>
    </row>
    <row r="197" spans="5:6">
      <c r="E197" s="44" t="s">
        <v>221</v>
      </c>
      <c r="F197" s="44" t="s">
        <v>221</v>
      </c>
    </row>
    <row r="198" spans="5:6">
      <c r="E198" s="44" t="s">
        <v>221</v>
      </c>
      <c r="F198" s="44" t="s">
        <v>221</v>
      </c>
    </row>
    <row r="199" spans="5:6">
      <c r="E199" s="44" t="s">
        <v>221</v>
      </c>
      <c r="F199" s="44" t="s">
        <v>221</v>
      </c>
    </row>
    <row r="200" spans="5:6">
      <c r="E200" s="44" t="s">
        <v>221</v>
      </c>
      <c r="F200" s="44" t="s">
        <v>221</v>
      </c>
    </row>
    <row r="201" spans="5:6">
      <c r="E201" s="44" t="s">
        <v>221</v>
      </c>
      <c r="F201" s="44" t="s">
        <v>221</v>
      </c>
    </row>
    <row r="202" spans="5:6">
      <c r="E202" s="44" t="s">
        <v>221</v>
      </c>
      <c r="F202" s="44" t="s">
        <v>221</v>
      </c>
    </row>
    <row r="203" spans="5:6">
      <c r="E203" s="44" t="s">
        <v>221</v>
      </c>
      <c r="F203" s="44" t="s">
        <v>221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B1:B9"/>
  <sheetViews>
    <sheetView workbookViewId="0"/>
  </sheetViews>
  <sheetFormatPr defaultColWidth="8.85546875" defaultRowHeight="15"/>
  <cols>
    <col min="1" max="1" width="45.28515625" customWidth="1"/>
    <col min="3" max="3" width="39.140625" customWidth="1"/>
  </cols>
  <sheetData>
    <row r="1" spans="2:2">
      <c r="B1" t="s">
        <v>560</v>
      </c>
    </row>
    <row r="2" spans="2:2">
      <c r="B2" t="s">
        <v>560</v>
      </c>
    </row>
    <row r="3" spans="2:2">
      <c r="B3" t="s">
        <v>560</v>
      </c>
    </row>
    <row r="4" spans="2:2">
      <c r="B4" t="s">
        <v>560</v>
      </c>
    </row>
    <row r="5" spans="2:2">
      <c r="B5" t="s">
        <v>560</v>
      </c>
    </row>
    <row r="6" spans="2:2">
      <c r="B6" t="s">
        <v>560</v>
      </c>
    </row>
    <row r="7" spans="2:2">
      <c r="B7" t="s">
        <v>560</v>
      </c>
    </row>
    <row r="8" spans="2:2">
      <c r="B8" t="s">
        <v>560</v>
      </c>
    </row>
    <row r="9" spans="2:2">
      <c r="B9" t="s">
        <v>560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ColWidth="8.85546875"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42578125" bestFit="1" customWidth="1"/>
  </cols>
  <sheetData>
    <row r="1" spans="1:40">
      <c r="A1" t="s">
        <v>561</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14</v>
      </c>
      <c r="AK2" t="s">
        <v>108</v>
      </c>
      <c r="AM2" s="60">
        <v>0.33333333333333337</v>
      </c>
    </row>
    <row r="3" spans="1:40">
      <c r="B3" s="143" t="str">
        <f>Schedule!A15</f>
        <v>FULL</v>
      </c>
      <c r="C3" s="59" t="str">
        <f>Schedule!C15</f>
        <v>Dawid Szeluga</v>
      </c>
      <c r="D3" s="59" t="str">
        <f>Schedule!H15</f>
        <v>CUSTOMER AND SALES MANAGER</v>
      </c>
      <c r="E3" s="59" t="str">
        <f>Schedule!K15</f>
        <v>AM</v>
      </c>
      <c r="F3" s="59" t="str">
        <f>Schedule!L15</f>
        <v>OFF</v>
      </c>
      <c r="G3" s="59" t="str">
        <f>Schedule!M15</f>
        <v>OFF</v>
      </c>
      <c r="H3" s="59" t="str">
        <f>Schedule!N15</f>
        <v>NC</v>
      </c>
      <c r="I3" s="59" t="str">
        <f>Schedule!O15</f>
        <v>NC</v>
      </c>
      <c r="J3" s="59" t="str">
        <f>Schedule!P15</f>
        <v>AM</v>
      </c>
      <c r="K3" s="59" t="str">
        <f>Schedule!Q15</f>
        <v>MIB</v>
      </c>
      <c r="L3" s="59" t="str">
        <f>Schedule!R15</f>
        <v>NC</v>
      </c>
      <c r="M3" s="59" t="str">
        <f>Schedule!S15</f>
        <v>OFF</v>
      </c>
      <c r="N3" s="59" t="str">
        <f>Schedule!T15</f>
        <v>OFF</v>
      </c>
      <c r="O3" s="59" t="str">
        <f>Schedule!U15</f>
        <v>NC</v>
      </c>
      <c r="P3" s="59" t="str">
        <f>Schedule!V15</f>
        <v>NC</v>
      </c>
      <c r="Q3" s="59" t="str">
        <f>Schedule!W15</f>
        <v>NC</v>
      </c>
      <c r="R3" s="59" t="str">
        <f>Schedule!X15</f>
        <v>NC</v>
      </c>
      <c r="S3" s="59" t="str">
        <f>Schedule!Y15</f>
        <v>NC</v>
      </c>
      <c r="T3" s="59" t="str">
        <f>Schedule!Z15</f>
        <v>OFF</v>
      </c>
      <c r="U3" s="59" t="str">
        <f>Schedule!AA15</f>
        <v>OFF</v>
      </c>
      <c r="V3" s="59" t="str">
        <f>Schedule!AB15</f>
        <v>NC</v>
      </c>
      <c r="W3" s="59" t="str">
        <f>Schedule!AC15</f>
        <v>NC</v>
      </c>
      <c r="X3" s="59" t="str">
        <f>Schedule!AD15</f>
        <v>AM</v>
      </c>
      <c r="Y3" s="59" t="str">
        <f>Schedule!AE15</f>
        <v>H</v>
      </c>
      <c r="Z3" s="59" t="str">
        <f>Schedule!AF15</f>
        <v>H</v>
      </c>
      <c r="AA3" s="59" t="str">
        <f>Schedule!AG15</f>
        <v>OFF</v>
      </c>
      <c r="AB3" s="59" t="str">
        <f>Schedule!AH15</f>
        <v>OFF</v>
      </c>
      <c r="AC3" s="59" t="str">
        <f>Schedule!AI15</f>
        <v>NC</v>
      </c>
      <c r="AD3" s="59" t="str">
        <f>Schedule!AJ15</f>
        <v>NC</v>
      </c>
      <c r="AE3" s="59" t="str">
        <f>Schedule!AK15</f>
        <v>OFF</v>
      </c>
      <c r="AF3" s="59" t="str">
        <f>Schedule!AL15</f>
        <v>NC</v>
      </c>
      <c r="AG3" s="59" t="str">
        <f>Schedule!AM15</f>
        <v>NC</v>
      </c>
      <c r="AH3" s="59" t="str">
        <f>Schedule!AN15</f>
        <v>AM</v>
      </c>
      <c r="AI3" s="59" t="str">
        <f>Schedule!AO15</f>
        <v>OFF</v>
      </c>
      <c r="AJ3" s="61">
        <f>AM$2*COUNTIFS(E3:AI3,"H")</f>
        <v>0.66666666666666674</v>
      </c>
      <c r="AK3" s="61">
        <f>AM$2*COUNTIFS(E3:AI3,"L4")</f>
        <v>0</v>
      </c>
      <c r="AL3">
        <f>IF(B3=Lists!K$1,Lists!$L$1,IF(B3=Lists!K$2,Lists!$L$2,IF(B3=Lists!K$3,Lists!$L$3,IF(B3=Lists!K$4,Lists!$L$4,IF(B3=Lists!K$5,Lists!$L$5,IF(B3=Lists!K$6,Lists!$L$6,IF(B3=Lists!K$7,Lists!$L$7,0)))))))</f>
        <v>1</v>
      </c>
      <c r="AM3" s="62">
        <f>SUM(AJ3:AK3)*AL3</f>
        <v>0.66666666666666674</v>
      </c>
      <c r="AN3" s="62"/>
    </row>
    <row r="4" spans="1:40">
      <c r="B4" s="143" t="str">
        <f>Schedule!A16</f>
        <v>FULL</v>
      </c>
      <c r="C4" s="59" t="str">
        <f>Schedule!C16</f>
        <v>Kamil Kamiński</v>
      </c>
      <c r="D4" s="59" t="str">
        <f>Schedule!H16</f>
        <v>SSV</v>
      </c>
      <c r="E4" s="59" t="str">
        <f>Schedule!K16</f>
        <v>OFF</v>
      </c>
      <c r="F4" s="59" t="str">
        <f>Schedule!L16</f>
        <v>AM</v>
      </c>
      <c r="G4" s="59" t="str">
        <f>Schedule!M16</f>
        <v>OFF</v>
      </c>
      <c r="H4" s="59" t="str">
        <f>Schedule!N16</f>
        <v>AM</v>
      </c>
      <c r="I4" s="59" t="str">
        <f>Schedule!O16</f>
        <v>PM</v>
      </c>
      <c r="J4" s="59" t="str">
        <f>Schedule!P16</f>
        <v>OFF</v>
      </c>
      <c r="K4" s="59" t="str">
        <f>Schedule!Q16</f>
        <v>AM</v>
      </c>
      <c r="L4" s="59" t="str">
        <f>Schedule!R16</f>
        <v>AM</v>
      </c>
      <c r="M4" s="59" t="str">
        <f>Schedule!S16</f>
        <v>PM</v>
      </c>
      <c r="N4" s="59" t="str">
        <f>Schedule!T16</f>
        <v>PM</v>
      </c>
      <c r="O4" s="59" t="str">
        <f>Schedule!U16</f>
        <v>PM</v>
      </c>
      <c r="P4" s="59" t="str">
        <f>Schedule!V16</f>
        <v>OFF</v>
      </c>
      <c r="Q4" s="59" t="str">
        <f>Schedule!W16</f>
        <v>PM</v>
      </c>
      <c r="R4" s="59" t="str">
        <f>Schedule!X16</f>
        <v>MIB</v>
      </c>
      <c r="S4" s="59" t="str">
        <f>Schedule!Y16</f>
        <v>AM</v>
      </c>
      <c r="T4" s="59" t="str">
        <f>Schedule!Z16</f>
        <v>OFF</v>
      </c>
      <c r="U4" s="59" t="str">
        <f>Schedule!AA16</f>
        <v>OFF</v>
      </c>
      <c r="V4" s="59" t="str">
        <f>Schedule!AB16</f>
        <v>PM</v>
      </c>
      <c r="W4" s="59" t="str">
        <f>Schedule!AC16</f>
        <v>PM</v>
      </c>
      <c r="X4" s="59" t="str">
        <f>Schedule!AD16</f>
        <v>MIB</v>
      </c>
      <c r="Y4" s="59" t="str">
        <f>Schedule!AE16</f>
        <v>AM</v>
      </c>
      <c r="Z4" s="59" t="str">
        <f>Schedule!AF16</f>
        <v>MIB</v>
      </c>
      <c r="AA4" s="59" t="str">
        <f>Schedule!AG16</f>
        <v>OFF</v>
      </c>
      <c r="AB4" s="59" t="str">
        <f>Schedule!AH16</f>
        <v>OFF</v>
      </c>
      <c r="AC4" s="59" t="str">
        <f>Schedule!AI16</f>
        <v>SPM</v>
      </c>
      <c r="AD4" s="59" t="str">
        <f>Schedule!AJ16</f>
        <v>PM</v>
      </c>
      <c r="AE4" s="59" t="str">
        <f>Schedule!AK16</f>
        <v>SPM</v>
      </c>
      <c r="AF4" s="59" t="str">
        <f>Schedule!AL16</f>
        <v>MIB</v>
      </c>
      <c r="AG4" s="59" t="str">
        <f>Schedule!AM16</f>
        <v>AM</v>
      </c>
      <c r="AH4" s="59" t="str">
        <f>Schedule!AN16</f>
        <v>OFF</v>
      </c>
      <c r="AI4" s="59" t="str">
        <f>Schedule!AO16</f>
        <v>OFF</v>
      </c>
      <c r="AJ4" s="61">
        <f t="shared" ref="AJ4:AJ12" si="0">AM$2*COUNTIFS(E4:AI4,"H")</f>
        <v>0</v>
      </c>
      <c r="AK4" s="61">
        <f t="shared" ref="AK4:AK12" si="1">AM$2*COUNTIFS(E4:AI4,"L4")</f>
        <v>0</v>
      </c>
      <c r="AL4">
        <f>IF(B4=Lists!K$1,Lists!$L$1,IF(B4=Lists!K$2,Lists!$L$2,IF(B4=Lists!K$3,Lists!$L$3,IF(B4=Lists!K$4,Lists!$L$4,IF(B4=Lists!K$5,Lists!$L$5,IF(B4=Lists!K$6,Lists!$L$6,IF(B4=Lists!K$7,Lists!$L$7,0)))))))</f>
        <v>1</v>
      </c>
      <c r="AM4" s="62">
        <f t="shared" ref="AM4:AM12" si="2">SUM(AJ4:AK4)*AL4</f>
        <v>0</v>
      </c>
      <c r="AN4" s="62"/>
    </row>
    <row r="5" spans="1:40">
      <c r="B5" s="143">
        <f>Schedule!A17</f>
        <v>0.75</v>
      </c>
      <c r="C5" s="59" t="str">
        <f>Schedule!C17</f>
        <v>Zuzanna Makowska</v>
      </c>
      <c r="D5" s="59" t="str">
        <f>Schedule!H17</f>
        <v>SSV</v>
      </c>
      <c r="E5" s="59" t="str">
        <f>Schedule!K17</f>
        <v>OFF</v>
      </c>
      <c r="F5" s="59" t="str">
        <f>Schedule!L17</f>
        <v>OFF</v>
      </c>
      <c r="G5" s="59" t="str">
        <f>Schedule!M17</f>
        <v>AM</v>
      </c>
      <c r="H5" s="59" t="str">
        <f>Schedule!N17</f>
        <v>H</v>
      </c>
      <c r="I5" s="59" t="str">
        <f>Schedule!O17</f>
        <v>H</v>
      </c>
      <c r="J5" s="59" t="str">
        <f>Schedule!P17</f>
        <v>H</v>
      </c>
      <c r="K5" s="59" t="str">
        <f>Schedule!Q17</f>
        <v>H</v>
      </c>
      <c r="L5" s="59" t="str">
        <f>Schedule!R17</f>
        <v>H</v>
      </c>
      <c r="M5" s="59" t="str">
        <f>Schedule!S17</f>
        <v>OFF</v>
      </c>
      <c r="N5" s="59" t="str">
        <f>Schedule!T17</f>
        <v>OFF</v>
      </c>
      <c r="O5" s="59" t="str">
        <f>Schedule!U17</f>
        <v>H</v>
      </c>
      <c r="P5" s="59" t="str">
        <f>Schedule!V17</f>
        <v>H</v>
      </c>
      <c r="Q5" s="59" t="str">
        <f>Schedule!W17</f>
        <v>H</v>
      </c>
      <c r="R5" s="59" t="str">
        <f>Schedule!X17</f>
        <v>H</v>
      </c>
      <c r="S5" s="59" t="str">
        <f>Schedule!Y17</f>
        <v>H</v>
      </c>
      <c r="T5" s="59" t="str">
        <f>Schedule!Z17</f>
        <v>OFF</v>
      </c>
      <c r="U5" s="59" t="str">
        <f>Schedule!AA17</f>
        <v>OFF</v>
      </c>
      <c r="V5" s="59" t="str">
        <f>Schedule!AB17</f>
        <v>H</v>
      </c>
      <c r="W5" s="59" t="str">
        <f>Schedule!AC17</f>
        <v>OFF</v>
      </c>
      <c r="X5" s="59" t="str">
        <f>Schedule!AD17</f>
        <v>OFF</v>
      </c>
      <c r="Y5" s="59" t="str">
        <f>Schedule!AE17</f>
        <v>OFF</v>
      </c>
      <c r="Z5" s="59" t="str">
        <f>Schedule!AF17</f>
        <v>PM</v>
      </c>
      <c r="AA5" s="59" t="str">
        <f>Schedule!AG17</f>
        <v>OFF</v>
      </c>
      <c r="AB5" s="59" t="str">
        <f>Schedule!AH17</f>
        <v>OFF</v>
      </c>
      <c r="AC5" s="59" t="str">
        <f>Schedule!AI17</f>
        <v>NC</v>
      </c>
      <c r="AD5" s="59" t="str">
        <f>Schedule!AJ17</f>
        <v>AM</v>
      </c>
      <c r="AE5" s="59" t="str">
        <f>Schedule!AK17</f>
        <v>OFF</v>
      </c>
      <c r="AF5" s="59" t="str">
        <f>Schedule!AL17</f>
        <v>AM</v>
      </c>
      <c r="AG5" s="59" t="str">
        <f>Schedule!AM17</f>
        <v>SPM</v>
      </c>
      <c r="AH5" s="59" t="str">
        <f>Schedule!AN17</f>
        <v>PM</v>
      </c>
      <c r="AI5" s="59" t="str">
        <f>Schedule!AO17</f>
        <v>NC</v>
      </c>
      <c r="AJ5" s="61">
        <f t="shared" si="0"/>
        <v>3.666666666666667</v>
      </c>
      <c r="AK5" s="61">
        <f>AM$2*COUNTIFS(E5:AI5,"L4")</f>
        <v>0</v>
      </c>
      <c r="AL5">
        <f>IF(B5=Lists!K$1,Lists!$L$1,IF(B5=Lists!K$2,Lists!$L$2,IF(B5=Lists!K$3,Lists!$L$3,IF(B5=Lists!K$4,Lists!$L$4,IF(B5=Lists!K$5,Lists!$L$5,IF(B5=Lists!K$6,Lists!$L$6,IF(B5=Lists!K$7,Lists!$L$7,0)))))))</f>
        <v>0.75</v>
      </c>
      <c r="AM5" s="62">
        <f>SUM(AJ5:AK5)*AL5</f>
        <v>2.75</v>
      </c>
      <c r="AN5" s="62"/>
    </row>
    <row r="6" spans="1:40">
      <c r="B6" s="143">
        <f>Schedule!A18</f>
        <v>0.25</v>
      </c>
      <c r="C6" s="59" t="str">
        <f>Schedule!C18</f>
        <v>Weronika Bieńkowska</v>
      </c>
      <c r="D6" s="59" t="str">
        <f>Schedule!H18</f>
        <v>SSV</v>
      </c>
      <c r="E6" s="59" t="str">
        <f>Schedule!K18</f>
        <v>OFF</v>
      </c>
      <c r="F6" s="59" t="str">
        <f>Schedule!L18</f>
        <v>PM</v>
      </c>
      <c r="G6" s="59" t="str">
        <f>Schedule!M18</f>
        <v>OFF</v>
      </c>
      <c r="H6" s="59" t="str">
        <f>Schedule!N18</f>
        <v>OFF</v>
      </c>
      <c r="I6" s="59" t="str">
        <f>Schedule!O18</f>
        <v>OFF</v>
      </c>
      <c r="J6" s="59" t="str">
        <f>Schedule!P18</f>
        <v>OFF</v>
      </c>
      <c r="K6" s="59" t="str">
        <f>Schedule!Q18</f>
        <v>OFF</v>
      </c>
      <c r="L6" s="59" t="str">
        <f>Schedule!R18</f>
        <v>OFF</v>
      </c>
      <c r="M6" s="59" t="str">
        <f>Schedule!S18</f>
        <v>AM</v>
      </c>
      <c r="N6" s="59" t="str">
        <f>Schedule!T18</f>
        <v>OFF</v>
      </c>
      <c r="O6" s="59" t="str">
        <f>Schedule!U18</f>
        <v>OFF</v>
      </c>
      <c r="P6" s="59" t="str">
        <f>Schedule!V18</f>
        <v>AM</v>
      </c>
      <c r="Q6" s="59" t="str">
        <f>Schedule!W18</f>
        <v>OFF</v>
      </c>
      <c r="R6" s="59" t="str">
        <f>Schedule!X18</f>
        <v>OFF</v>
      </c>
      <c r="S6" s="59" t="str">
        <f>Schedule!Y18</f>
        <v>OFF</v>
      </c>
      <c r="T6" s="59" t="str">
        <f>Schedule!Z18</f>
        <v>AM</v>
      </c>
      <c r="U6" s="59" t="str">
        <f>Schedule!AA18</f>
        <v>AM</v>
      </c>
      <c r="V6" s="59" t="str">
        <f>Schedule!AB18</f>
        <v>OFF</v>
      </c>
      <c r="W6" s="59" t="str">
        <f>Schedule!AC18</f>
        <v>OFF</v>
      </c>
      <c r="X6" s="59" t="str">
        <f>Schedule!AD18</f>
        <v>OFF</v>
      </c>
      <c r="Y6" s="59" t="str">
        <f>Schedule!AE18</f>
        <v>OFF</v>
      </c>
      <c r="Z6" s="59" t="str">
        <f>Schedule!AF18</f>
        <v>OFF</v>
      </c>
      <c r="AA6" s="59" t="str">
        <f>Schedule!AG18</f>
        <v>OFF</v>
      </c>
      <c r="AB6" s="59" t="str">
        <f>Schedule!AH18</f>
        <v>AM</v>
      </c>
      <c r="AC6" s="59" t="str">
        <f>Schedule!AI18</f>
        <v>OFF</v>
      </c>
      <c r="AD6" s="59" t="str">
        <f>Schedule!AJ18</f>
        <v>OFF</v>
      </c>
      <c r="AE6" s="59" t="str">
        <f>Schedule!AK18</f>
        <v>OFF</v>
      </c>
      <c r="AF6" s="59" t="str">
        <f>Schedule!AL18</f>
        <v>OFF</v>
      </c>
      <c r="AG6" s="59" t="str">
        <f>Schedule!AM18</f>
        <v>OFF</v>
      </c>
      <c r="AH6" s="59" t="str">
        <f>Schedule!AN18</f>
        <v>OFF</v>
      </c>
      <c r="AI6" s="59" t="str">
        <f>Schedule!AO18</f>
        <v>SPM</v>
      </c>
      <c r="AJ6" s="61">
        <f>AM$2*COUNTIFS(E6:AI6,"H")</f>
        <v>0</v>
      </c>
      <c r="AK6" s="61">
        <f t="shared" si="1"/>
        <v>0</v>
      </c>
      <c r="AL6">
        <f>IF(B6=Lists!K$1,Lists!$L$1,IF(B6=Lists!K$2,Lists!$L$2,IF(B6=Lists!K$3,Lists!$L$3,IF(B6=Lists!K$4,Lists!$L$4,IF(B6=Lists!K$5,Lists!$L$5,IF(B6=Lists!K$6,Lists!$L$6,IF(B6=Lists!K$7,Lists!$L$7,0)))))))</f>
        <v>0.25</v>
      </c>
      <c r="AM6" s="62">
        <f>SUM(AJ6:AK6)*AL6</f>
        <v>0</v>
      </c>
      <c r="AN6" s="62"/>
    </row>
    <row r="7" spans="1:40">
      <c r="B7" s="143">
        <f>Schedule!A19</f>
        <v>0.5</v>
      </c>
      <c r="C7" s="59" t="str">
        <f>Schedule!C19</f>
        <v>Hanna Domachowska</v>
      </c>
      <c r="D7" s="59" t="str">
        <f>Schedule!H19</f>
        <v>SSV</v>
      </c>
      <c r="E7" s="59" t="str">
        <f>Schedule!K19</f>
        <v>OFF</v>
      </c>
      <c r="F7" s="59" t="str">
        <f>Schedule!L19</f>
        <v>OFF</v>
      </c>
      <c r="G7" s="59" t="str">
        <f>Schedule!M19</f>
        <v>PM</v>
      </c>
      <c r="H7" s="59" t="str">
        <f>Schedule!N19</f>
        <v>PM</v>
      </c>
      <c r="I7" s="59" t="str">
        <f>Schedule!O19</f>
        <v>OFF</v>
      </c>
      <c r="J7" s="59" t="str">
        <f>Schedule!P19</f>
        <v>PM</v>
      </c>
      <c r="K7" s="59" t="str">
        <f>Schedule!Q19</f>
        <v>OFF</v>
      </c>
      <c r="L7" s="59" t="str">
        <f>Schedule!R19</f>
        <v>OFF</v>
      </c>
      <c r="M7" s="59" t="str">
        <f>Schedule!S19</f>
        <v>OFF</v>
      </c>
      <c r="N7" s="59" t="str">
        <f>Schedule!T19</f>
        <v>AM</v>
      </c>
      <c r="O7" s="59" t="str">
        <f>Schedule!U19</f>
        <v>OFF</v>
      </c>
      <c r="P7" s="59" t="str">
        <f>Schedule!V19</f>
        <v>OFF</v>
      </c>
      <c r="Q7" s="59" t="str">
        <f>Schedule!W19</f>
        <v>AM</v>
      </c>
      <c r="R7" s="59" t="str">
        <f>Schedule!X19</f>
        <v>AM</v>
      </c>
      <c r="S7" s="59" t="str">
        <f>Schedule!Y19</f>
        <v>OFF</v>
      </c>
      <c r="T7" s="59" t="str">
        <f>Schedule!Z19</f>
        <v>OFF</v>
      </c>
      <c r="U7" s="59" t="str">
        <f>Schedule!AA19</f>
        <v>OFF</v>
      </c>
      <c r="V7" s="59" t="str">
        <f>Schedule!AB19</f>
        <v>OFF</v>
      </c>
      <c r="W7" s="59" t="str">
        <f>Schedule!AC19</f>
        <v>OFF</v>
      </c>
      <c r="X7" s="59" t="str">
        <f>Schedule!AD19</f>
        <v>OFF</v>
      </c>
      <c r="Y7" s="59" t="str">
        <f>Schedule!AE19</f>
        <v>PM</v>
      </c>
      <c r="Z7" s="59" t="str">
        <f>Schedule!AF19</f>
        <v>OFF</v>
      </c>
      <c r="AA7" s="59" t="str">
        <f>Schedule!AG19</f>
        <v>AM</v>
      </c>
      <c r="AB7" s="59" t="str">
        <f>Schedule!AH19</f>
        <v>OFF</v>
      </c>
      <c r="AC7" s="59" t="str">
        <f>Schedule!AI19</f>
        <v>OFF</v>
      </c>
      <c r="AD7" s="59" t="str">
        <f>Schedule!AJ19</f>
        <v>OFF</v>
      </c>
      <c r="AE7" s="59" t="str">
        <f>Schedule!AK19</f>
        <v>AM</v>
      </c>
      <c r="AF7" s="59" t="str">
        <f>Schedule!AL19</f>
        <v>OFF</v>
      </c>
      <c r="AG7" s="59" t="str">
        <f>Schedule!AM19</f>
        <v>OFF</v>
      </c>
      <c r="AH7" s="59" t="str">
        <f>Schedule!AN19</f>
        <v>OFF</v>
      </c>
      <c r="AI7" s="59" t="str">
        <f>Schedule!AO19</f>
        <v>AM</v>
      </c>
      <c r="AJ7" s="61">
        <f t="shared" si="0"/>
        <v>0</v>
      </c>
      <c r="AK7" s="61">
        <f t="shared" si="1"/>
        <v>0</v>
      </c>
      <c r="AL7">
        <f>IF(B7=Lists!K$1,Lists!$L$1,IF(B7=Lists!K$2,Lists!$L$2,IF(B7=Lists!K$3,Lists!$L$3,IF(B7=Lists!K$4,Lists!$L$4,IF(B7=Lists!K$5,Lists!$L$5,IF(B7=Lists!K$6,Lists!$L$6,IF(B7=Lists!K$7,Lists!$L$7,0)))))))</f>
        <v>0.5</v>
      </c>
      <c r="AM7" s="62">
        <f t="shared" si="2"/>
        <v>0</v>
      </c>
      <c r="AN7" s="62"/>
    </row>
    <row r="8" spans="1:40">
      <c r="B8" s="143" t="str">
        <f>Schedule!A20</f>
        <v>FULL</v>
      </c>
      <c r="C8" s="59" t="str">
        <f>Schedule!C20</f>
        <v>Aleksandra Płużyńska</v>
      </c>
      <c r="D8" s="59" t="str">
        <f>Schedule!H20</f>
        <v>SSV</v>
      </c>
      <c r="E8" s="59" t="str">
        <f>Schedule!K20</f>
        <v>PM</v>
      </c>
      <c r="F8" s="59" t="str">
        <f>Schedule!L20</f>
        <v>OFF</v>
      </c>
      <c r="G8" s="59" t="str">
        <f>Schedule!M20</f>
        <v>OFF</v>
      </c>
      <c r="H8" s="59" t="str">
        <f>Schedule!N20</f>
        <v>SAM</v>
      </c>
      <c r="I8" s="59" t="str">
        <f>Schedule!O20</f>
        <v>AM</v>
      </c>
      <c r="J8" s="59" t="str">
        <f>Schedule!P20</f>
        <v>MIB</v>
      </c>
      <c r="K8" s="59" t="str">
        <f>Schedule!Q20</f>
        <v>PM</v>
      </c>
      <c r="L8" s="59" t="str">
        <f>Schedule!R20</f>
        <v>PM</v>
      </c>
      <c r="M8" s="59" t="str">
        <f>Schedule!S20</f>
        <v>OFF</v>
      </c>
      <c r="N8" s="59" t="str">
        <f>Schedule!T20</f>
        <v>OFF</v>
      </c>
      <c r="O8" s="59" t="str">
        <f>Schedule!U20</f>
        <v>AM</v>
      </c>
      <c r="P8" s="59" t="str">
        <f>Schedule!V20</f>
        <v>PM</v>
      </c>
      <c r="Q8" s="59" t="str">
        <f>Schedule!W20</f>
        <v>OFF</v>
      </c>
      <c r="R8" s="59" t="str">
        <f>Schedule!X20</f>
        <v>PM</v>
      </c>
      <c r="S8" s="59" t="str">
        <f>Schedule!Y20</f>
        <v>PM</v>
      </c>
      <c r="T8" s="59" t="str">
        <f>Schedule!Z20</f>
        <v>PM</v>
      </c>
      <c r="U8" s="59" t="str">
        <f>Schedule!AA20</f>
        <v>PM</v>
      </c>
      <c r="V8" s="59" t="str">
        <f>Schedule!AB20</f>
        <v>OFF</v>
      </c>
      <c r="W8" s="59" t="str">
        <f>Schedule!AC20</f>
        <v>AM</v>
      </c>
      <c r="X8" s="59" t="str">
        <f>Schedule!AD20</f>
        <v>PM</v>
      </c>
      <c r="Y8" s="59" t="str">
        <f>Schedule!AE20</f>
        <v>OFF</v>
      </c>
      <c r="Z8" s="59" t="str">
        <f>Schedule!AF20</f>
        <v>AM</v>
      </c>
      <c r="AA8" s="59" t="str">
        <f>Schedule!AG20</f>
        <v>PM</v>
      </c>
      <c r="AB8" s="59" t="str">
        <f>Schedule!AH20</f>
        <v>PM</v>
      </c>
      <c r="AC8" s="59" t="str">
        <f>Schedule!AI20</f>
        <v>PM</v>
      </c>
      <c r="AD8" s="59" t="str">
        <f>Schedule!AJ20</f>
        <v>OFF</v>
      </c>
      <c r="AE8" s="59" t="str">
        <f>Schedule!AK20</f>
        <v>PM</v>
      </c>
      <c r="AF8" s="59" t="str">
        <f>Schedule!AL20</f>
        <v>PM</v>
      </c>
      <c r="AG8" s="59" t="str">
        <f>Schedule!AM20</f>
        <v>PM</v>
      </c>
      <c r="AH8" s="59" t="str">
        <f>Schedule!AN20</f>
        <v>OFF</v>
      </c>
      <c r="AI8" s="59" t="str">
        <f>Schedule!AO20</f>
        <v>OFF</v>
      </c>
      <c r="AJ8" s="61">
        <f t="shared" si="0"/>
        <v>0</v>
      </c>
      <c r="AK8" s="61">
        <f t="shared" si="1"/>
        <v>0</v>
      </c>
      <c r="AL8">
        <f>IF(B8=Lists!K$1,Lists!$L$1,IF(B8=Lists!K$2,Lists!$L$2,IF(B8=Lists!K$3,Lists!$L$3,IF(B8=Lists!K$4,Lists!$L$4,IF(B8=Lists!K$5,Lists!$L$5,IF(B8=Lists!K$6,Lists!$L$6,IF(B8=Lists!K$7,Lists!$L$7,0)))))))</f>
        <v>1</v>
      </c>
      <c r="AM8" s="62">
        <f t="shared" si="2"/>
        <v>0</v>
      </c>
      <c r="AN8" s="62"/>
    </row>
    <row r="9" spans="1:40">
      <c r="B9" s="143" t="str">
        <f>Schedule!A21</f>
        <v>FULL</v>
      </c>
      <c r="C9" s="59" t="str">
        <f>Schedule!C21</f>
        <v>Maciej Chlabicz</v>
      </c>
      <c r="D9" s="59">
        <f>Schedule!H21</f>
        <v>0</v>
      </c>
      <c r="E9" s="59" t="str">
        <f>Schedule!K21</f>
        <v>OFF</v>
      </c>
      <c r="F9" s="59" t="str">
        <f>Schedule!L21</f>
        <v>OFF</v>
      </c>
      <c r="G9" s="59" t="str">
        <f>Schedule!M21</f>
        <v>OFF</v>
      </c>
      <c r="H9" s="59" t="str">
        <f>Schedule!N21</f>
        <v>AM</v>
      </c>
      <c r="I9" s="59" t="str">
        <f>Schedule!O21</f>
        <v>PM</v>
      </c>
      <c r="J9" s="59" t="str">
        <f>Schedule!P21</f>
        <v>OFF</v>
      </c>
      <c r="K9" s="59" t="str">
        <f>Schedule!Q21</f>
        <v>OFF</v>
      </c>
      <c r="L9" s="59" t="str">
        <f>Schedule!R21</f>
        <v>AM</v>
      </c>
      <c r="M9" s="59" t="str">
        <f>Schedule!S21</f>
        <v>AM</v>
      </c>
      <c r="N9" s="59" t="str">
        <f>Schedule!T21</f>
        <v>AM</v>
      </c>
      <c r="O9" s="59" t="str">
        <f>Schedule!U21</f>
        <v>T</v>
      </c>
      <c r="P9" s="59" t="str">
        <f>Schedule!V21</f>
        <v>OFF</v>
      </c>
      <c r="Q9" s="59" t="str">
        <f>Schedule!W21</f>
        <v>AM</v>
      </c>
      <c r="R9" s="59" t="str">
        <f>Schedule!X21</f>
        <v>T</v>
      </c>
      <c r="S9" s="59" t="str">
        <f>Schedule!Y21</f>
        <v>AM</v>
      </c>
      <c r="T9" s="59" t="str">
        <f>Schedule!Z21</f>
        <v>OFF</v>
      </c>
      <c r="U9" s="59" t="str">
        <f>Schedule!AA21</f>
        <v>OFF</v>
      </c>
      <c r="V9" s="59" t="str">
        <f>Schedule!AB21</f>
        <v>AM</v>
      </c>
      <c r="W9" s="59" t="str">
        <f>Schedule!AC21</f>
        <v>AM</v>
      </c>
      <c r="X9" s="59" t="str">
        <f>Schedule!AD21</f>
        <v>AM</v>
      </c>
      <c r="Y9" s="59" t="str">
        <f>Schedule!AE21</f>
        <v>PM</v>
      </c>
      <c r="Z9" s="59" t="str">
        <f>Schedule!AF21</f>
        <v>PM</v>
      </c>
      <c r="AA9" s="59" t="str">
        <f>Schedule!AG21</f>
        <v>OFF</v>
      </c>
      <c r="AB9" s="59" t="str">
        <f>Schedule!AH21</f>
        <v>OFF</v>
      </c>
      <c r="AC9" s="59" t="str">
        <f>Schedule!AI21</f>
        <v>T</v>
      </c>
      <c r="AD9" s="59" t="str">
        <f>Schedule!AJ21</f>
        <v>T</v>
      </c>
      <c r="AE9" s="59" t="str">
        <f>Schedule!AK21</f>
        <v>PM</v>
      </c>
      <c r="AF9" s="59" t="str">
        <f>Schedule!AL21</f>
        <v>T</v>
      </c>
      <c r="AG9" s="59" t="str">
        <f>Schedule!AM21</f>
        <v>T</v>
      </c>
      <c r="AH9" s="59" t="str">
        <f>Schedule!AN21</f>
        <v>OFF</v>
      </c>
      <c r="AI9" s="59" t="str">
        <f>Schedule!AO21</f>
        <v>PM</v>
      </c>
      <c r="AJ9" s="61">
        <f>AM$2*COUNTIFS(E9:AI9,"H")</f>
        <v>0</v>
      </c>
      <c r="AK9" s="61">
        <f t="shared" si="1"/>
        <v>0</v>
      </c>
      <c r="AL9">
        <f>IF(B9=Lists!K$1,Lists!$L$1,IF(B9=Lists!K$2,Lists!$L$2,IF(B9=Lists!K$3,Lists!$L$3,IF(B9=Lists!K$4,Lists!$L$4,IF(B9=Lists!K$5,Lists!$L$5,IF(B9=Lists!K$6,Lists!$L$6,IF(B9=Lists!K$7,Lists!$L$7,0)))))))</f>
        <v>1</v>
      </c>
      <c r="AM9" s="62">
        <f>SUM(AJ9:AK9)*AL9</f>
        <v>0</v>
      </c>
      <c r="AN9" s="62"/>
    </row>
    <row r="10" spans="1:40">
      <c r="B10" s="143" t="str">
        <f>Schedule!A22</f>
        <v>FULL</v>
      </c>
      <c r="C10" s="59" t="str">
        <f>Schedule!C22</f>
        <v>Weronika Stasiewicz</v>
      </c>
      <c r="D10" s="59">
        <f>Schedule!H22</f>
        <v>0</v>
      </c>
      <c r="E10" s="59" t="str">
        <f>Schedule!K22</f>
        <v>AM</v>
      </c>
      <c r="F10" s="59" t="str">
        <f>Schedule!L22</f>
        <v>AM</v>
      </c>
      <c r="G10" s="59" t="str">
        <f>Schedule!M22</f>
        <v>OFF</v>
      </c>
      <c r="H10" s="59" t="str">
        <f>Schedule!N22</f>
        <v>OFF</v>
      </c>
      <c r="I10" s="59" t="str">
        <f>Schedule!O22</f>
        <v>AM</v>
      </c>
      <c r="J10" s="59" t="str">
        <f>Schedule!P22</f>
        <v>AM</v>
      </c>
      <c r="K10" s="59" t="str">
        <f>Schedule!Q22</f>
        <v>AM</v>
      </c>
      <c r="L10" s="59" t="str">
        <f>Schedule!R22</f>
        <v>T</v>
      </c>
      <c r="M10" s="59" t="str">
        <f>Schedule!S22</f>
        <v>OFF</v>
      </c>
      <c r="N10" s="59" t="str">
        <f>Schedule!T22</f>
        <v>OFF</v>
      </c>
      <c r="O10" s="59" t="str">
        <f>Schedule!U22</f>
        <v>PM</v>
      </c>
      <c r="P10" s="59" t="str">
        <f>Schedule!V22</f>
        <v>PM</v>
      </c>
      <c r="Q10" s="59" t="str">
        <f>Schedule!W22</f>
        <v>PM</v>
      </c>
      <c r="R10" s="59" t="str">
        <f>Schedule!X22</f>
        <v>T</v>
      </c>
      <c r="S10" s="59" t="str">
        <f>Schedule!Y22</f>
        <v>AM</v>
      </c>
      <c r="T10" s="59" t="str">
        <f>Schedule!Z22</f>
        <v>OFF</v>
      </c>
      <c r="U10" s="59" t="str">
        <f>Schedule!AA22</f>
        <v>OFF</v>
      </c>
      <c r="V10" s="59" t="str">
        <f>Schedule!AB22</f>
        <v>PM</v>
      </c>
      <c r="W10" s="59" t="str">
        <f>Schedule!AC22</f>
        <v>PM</v>
      </c>
      <c r="X10" s="59" t="str">
        <f>Schedule!AD22</f>
        <v>MIB</v>
      </c>
      <c r="Y10" s="59" t="str">
        <f>Schedule!AE22</f>
        <v>OFF</v>
      </c>
      <c r="Z10" s="59" t="str">
        <f>Schedule!AF22</f>
        <v>OFF</v>
      </c>
      <c r="AA10" s="59" t="str">
        <f>Schedule!AG22</f>
        <v>AM</v>
      </c>
      <c r="AB10" s="59" t="str">
        <f>Schedule!AH22</f>
        <v>AM</v>
      </c>
      <c r="AC10" s="59" t="str">
        <f>Schedule!AI22</f>
        <v>AM</v>
      </c>
      <c r="AD10" s="59" t="str">
        <f>Schedule!AJ22</f>
        <v>OFF</v>
      </c>
      <c r="AE10" s="59" t="str">
        <f>Schedule!AK22</f>
        <v>AM</v>
      </c>
      <c r="AF10" s="59" t="str">
        <f>Schedule!AL22</f>
        <v>T</v>
      </c>
      <c r="AG10" s="59" t="str">
        <f>Schedule!AM22</f>
        <v>T</v>
      </c>
      <c r="AH10" s="59" t="str">
        <f>Schedule!AN22</f>
        <v>OFF</v>
      </c>
      <c r="AI10" s="59" t="str">
        <f>Schedule!AO22</f>
        <v>OFF</v>
      </c>
      <c r="AJ10" s="61">
        <f>AM$2*COUNTIFS(E10:AI10,"H")</f>
        <v>0</v>
      </c>
      <c r="AK10" s="61">
        <f t="shared" si="1"/>
        <v>0</v>
      </c>
      <c r="AL10">
        <f>IF(B10=Lists!K$1,Lists!$L$1,IF(B10=Lists!K$2,Lists!$L$2,IF(B10=Lists!K$3,Lists!$L$3,IF(B10=Lists!K$4,Lists!$L$4,IF(B10=Lists!K$5,Lists!$L$5,IF(B10=Lists!K$6,Lists!$L$6,IF(B10=Lists!K$7,Lists!$L$7,0)))))))</f>
        <v>1</v>
      </c>
      <c r="AM10" s="62">
        <f t="shared" si="2"/>
        <v>0</v>
      </c>
      <c r="AN10" s="62"/>
    </row>
    <row r="11" spans="1:40">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562</v>
      </c>
      <c r="AH15">
        <f ca="1">IF(Schedule!A4=Lists!F1,1,IF(Schedule!A4=Lists!F2,2,IF(Schedule!A4=Lists!F3,3,IF(Schedule!A4=Lists!F4,4,IF(Schedule!A4=Lists!F5,5,IF(Schedule!A4=Lists!F6,6,IF(Schedule!A4=Lists!F7,7,IF(Schedule!A4=Lists!F8,8,IF(Schedule!A4=Lists!F9,9,IF(Schedule!A4=Lists!F10,10,IF(Schedule!A4=Lists!F11,11,IF(Schedule!A4=Lists!F12,12))))))))))))</f>
        <v>5</v>
      </c>
      <c r="AI15">
        <f ca="1">IF(AH15=1,Calendar!F3,IF(AH15=2,Calendar!F4,IF(AH15=3,Calendar!F5,IF(AH15=4,Calendar!F6,IF(AH15=5,Calendar!F7,IF(AH15=6,Calendar!F8,IF(AH15=7,Calendar!F9,IF(AH15=8,Calendar!F10,IF(AH15=9,Calendar!F11,IF(AH15=10,Calendar!F12,IF(AH15=11,Calendar!F13,IF(AH15=12,Calendar!F14))))))))))))</f>
        <v>160</v>
      </c>
      <c r="AJ15" t="s">
        <v>563</v>
      </c>
      <c r="AK15" t="s">
        <v>564</v>
      </c>
      <c r="AL15" t="s">
        <v>565</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160</v>
      </c>
      <c r="AJ16" t="e">
        <f ca="1">TEXT(AI16/24,"[g]:mm")</f>
        <v>#VALUE!</v>
      </c>
      <c r="AK16" s="27">
        <f ca="1">IFERROR(AG16/AJ16,0)</f>
        <v>0</v>
      </c>
      <c r="AL16" t="e">
        <f ca="1">IFERROR(TEXT(AG16-AJ16,"-[gg]:mm"),TEXT(AJ16-AG16,"+[gg]:mm"))</f>
        <v>#VALUE!</v>
      </c>
    </row>
    <row r="17" spans="1:38">
      <c r="A17" t="str">
        <f>Schedule!C16</f>
        <v>Kamil Kamiński</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160</v>
      </c>
      <c r="AJ17" t="e">
        <f t="shared" ref="AJ17:AJ25" ca="1" si="3">TEXT(AI17/24,"[g]:mm")</f>
        <v>#VALUE!</v>
      </c>
      <c r="AK17" s="27">
        <f t="shared" ref="AK17:AK25" ca="1" si="4">IFERROR(AG17/AJ17,0)</f>
        <v>0</v>
      </c>
      <c r="AL17" t="e">
        <f t="shared" ref="AL17:AL25" ca="1" si="5">IFERROR(TEXT(AG17-AJ17,"-[gg]:mm"),TEXT(AJ17-AG17,"+[gg]:mm"))</f>
        <v>#VALUE!</v>
      </c>
    </row>
    <row r="18" spans="1:38">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120</v>
      </c>
      <c r="AJ18" t="e">
        <f t="shared" ca="1" si="3"/>
        <v>#VALUE!</v>
      </c>
      <c r="AK18" s="27">
        <f t="shared" ca="1" si="4"/>
        <v>0</v>
      </c>
      <c r="AL18" t="e">
        <f t="shared" ca="1" si="5"/>
        <v>#VALUE!</v>
      </c>
    </row>
    <row r="19" spans="1:38">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40</v>
      </c>
      <c r="AJ19" t="e">
        <f t="shared" ca="1" si="3"/>
        <v>#VALUE!</v>
      </c>
      <c r="AK19" s="27">
        <f ca="1">IFERROR(AG19/AJ19,0)</f>
        <v>0</v>
      </c>
      <c r="AL19" t="e">
        <f t="shared" ca="1" si="5"/>
        <v>#VALUE!</v>
      </c>
    </row>
    <row r="20" spans="1:38">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80</v>
      </c>
      <c r="AJ20" t="e">
        <f t="shared" ca="1" si="3"/>
        <v>#VALUE!</v>
      </c>
      <c r="AK20" s="27">
        <f t="shared" ca="1" si="4"/>
        <v>0</v>
      </c>
      <c r="AL20" t="e">
        <f t="shared" ca="1" si="5"/>
        <v>#VALUE!</v>
      </c>
    </row>
    <row r="21" spans="1:38">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160</v>
      </c>
      <c r="AJ21" t="e">
        <f t="shared" ca="1" si="3"/>
        <v>#VALUE!</v>
      </c>
      <c r="AK21" s="27">
        <f t="shared" ca="1" si="4"/>
        <v>0</v>
      </c>
      <c r="AL21" t="e">
        <f t="shared" ca="1" si="5"/>
        <v>#VALUE!</v>
      </c>
    </row>
    <row r="22" spans="1:38">
      <c r="A22" t="str">
        <f>Schedule!C21</f>
        <v>Maciej Chlabicz</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 ca="1">IF(Schedule!A21=Lists!K$1,V!AI$15,IF(Schedule!A21=Lists!K$2,V!AI$15*Lists!L$2,IF(Schedule!A21=Lists!K$3,V!AI$15*Lists!L$3,IF(Schedule!A21=Lists!K$4,V!AI$15*Lists!L$4,IF(Schedule!A21=Lists!K$5,V!AI$15*Lists!L$5,IF(Schedule!A21=Lists!K$6,V!AI$15*Lists!L$6,IF(Schedule!A21=Lists!K$7,V!AI$15*Lists!L$7,0)))))))</f>
        <v>160</v>
      </c>
      <c r="AJ22" t="e">
        <f t="shared" ca="1" si="3"/>
        <v>#VALUE!</v>
      </c>
      <c r="AK22" s="27">
        <f t="shared" ca="1" si="4"/>
        <v>0</v>
      </c>
      <c r="AL22" t="e">
        <f t="shared" ca="1" si="5"/>
        <v>#VALUE!</v>
      </c>
    </row>
    <row r="23" spans="1:38">
      <c r="A23" t="str">
        <f>Schedule!C22</f>
        <v>Weronika Stasiewicz</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 ca="1">IF(Schedule!A22=Lists!K$1,V!AI$15,IF(Schedule!A22=Lists!K$2,V!AI$15*Lists!L$2,IF(Schedule!A22=Lists!K$3,V!AI$15*Lists!L$3,IF(Schedule!A22=Lists!K$4,V!AI$15*Lists!L$4,IF(Schedule!A22=Lists!K$5,V!AI$15*Lists!L$5,IF(Schedule!A22=Lists!K$6,V!AI$15*Lists!L$6,IF(Schedule!A22=Lists!K$7,V!AI$15*Lists!L$7,0)))))))</f>
        <v>160</v>
      </c>
      <c r="AJ23" t="e">
        <f t="shared" ca="1" si="3"/>
        <v>#VALUE!</v>
      </c>
      <c r="AK23" s="27">
        <f t="shared" ca="1" si="4"/>
        <v>0</v>
      </c>
      <c r="AL23" t="e">
        <f t="shared" ca="1" si="5"/>
        <v>#VALUE!</v>
      </c>
    </row>
    <row r="24" spans="1:38">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str">
        <f t="shared" si="3"/>
        <v>0:00</v>
      </c>
      <c r="AK24" s="27">
        <f t="shared" ca="1" si="4"/>
        <v>0</v>
      </c>
      <c r="AL24" t="e">
        <f t="shared" ca="1" si="5"/>
        <v>#NAME?</v>
      </c>
    </row>
    <row r="25" spans="1:38">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str">
        <f t="shared" si="3"/>
        <v>0:00</v>
      </c>
      <c r="AK25" s="27">
        <f t="shared" ca="1" si="4"/>
        <v>0</v>
      </c>
      <c r="AL25" t="e">
        <f t="shared" ca="1" si="5"/>
        <v>#NAME?</v>
      </c>
    </row>
    <row r="38" spans="1:18">
      <c r="J38" s="66"/>
      <c r="L38" s="138"/>
      <c r="R38" s="23" t="s">
        <v>566</v>
      </c>
    </row>
    <row r="39" spans="1:18">
      <c r="A39" s="2"/>
      <c r="C39" s="141"/>
      <c r="E39" s="141"/>
      <c r="I39" s="192"/>
      <c r="J39" s="193"/>
      <c r="L39" s="141"/>
      <c r="R39" s="23" t="s">
        <v>567</v>
      </c>
    </row>
    <row r="40" spans="1:18">
      <c r="A40" s="2"/>
      <c r="C40" s="141"/>
      <c r="E40" s="141"/>
      <c r="I40" s="192"/>
      <c r="J40" s="193"/>
      <c r="L40" s="141"/>
      <c r="R40" s="23" t="s">
        <v>568</v>
      </c>
    </row>
    <row r="41" spans="1:18">
      <c r="A41" s="2"/>
      <c r="C41" s="141"/>
      <c r="E41" s="141"/>
      <c r="I41" s="192"/>
      <c r="J41" s="193"/>
      <c r="L41" s="141"/>
      <c r="R41" s="23" t="s">
        <v>131</v>
      </c>
    </row>
    <row r="42" spans="1:18">
      <c r="A42" s="2"/>
      <c r="C42" s="141"/>
      <c r="E42" s="141"/>
      <c r="I42" s="192"/>
      <c r="J42" s="193"/>
      <c r="L42" s="141"/>
      <c r="R42" s="23" t="s">
        <v>569</v>
      </c>
    </row>
    <row r="43" spans="1:18">
      <c r="A43" s="2"/>
      <c r="C43" s="141"/>
      <c r="E43" s="141"/>
      <c r="I43" s="192"/>
      <c r="J43" s="193"/>
      <c r="L43" s="141"/>
      <c r="R43" s="23" t="s">
        <v>570</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ColWidth="8.85546875"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571</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572</v>
      </c>
      <c r="D2">
        <v>2</v>
      </c>
      <c r="F2" s="23" t="str">
        <f ca="1">INDIRECT("T!"&amp;T!$A$1&amp;G2)</f>
        <v>Luty</v>
      </c>
      <c r="G2" s="23">
        <v>8</v>
      </c>
      <c r="H2">
        <v>2</v>
      </c>
      <c r="J2" s="23" t="s">
        <v>573</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574</v>
      </c>
      <c r="D3">
        <v>3</v>
      </c>
      <c r="F3" s="23" t="str">
        <f ca="1">INDIRECT("T!"&amp;T!$A$1&amp;G3)</f>
        <v>Marzec</v>
      </c>
      <c r="G3" s="23">
        <v>9</v>
      </c>
      <c r="H3">
        <v>3</v>
      </c>
      <c r="J3" s="23" t="s">
        <v>16</v>
      </c>
      <c r="K3" s="26">
        <v>0.5</v>
      </c>
      <c r="L3" s="140">
        <v>0.5</v>
      </c>
      <c r="N3" s="25" t="str">
        <f>Admin!E5</f>
        <v xml:space="preserve">AM Niedziela </v>
      </c>
      <c r="O3" s="25" t="str">
        <f>Admin!F5</f>
        <v>AMN</v>
      </c>
      <c r="P3" s="25">
        <f ca="1">Schedule!K35</f>
        <v>0.25000000000000006</v>
      </c>
      <c r="S3" s="75">
        <f t="shared" ca="1" si="0"/>
        <v>6.0000000000000018</v>
      </c>
    </row>
    <row r="4" spans="1:23">
      <c r="A4" s="10">
        <v>42005</v>
      </c>
      <c r="C4" t="s">
        <v>145</v>
      </c>
      <c r="D4">
        <v>4</v>
      </c>
      <c r="F4" s="23" t="str">
        <f ca="1">INDIRECT("T!"&amp;T!$A$1&amp;G4)</f>
        <v>Kwiecień</v>
      </c>
      <c r="G4" s="23">
        <v>10</v>
      </c>
      <c r="H4">
        <v>4</v>
      </c>
      <c r="J4" s="23" t="s">
        <v>567</v>
      </c>
      <c r="K4" s="26">
        <v>0.25</v>
      </c>
      <c r="L4" s="140">
        <v>0.25</v>
      </c>
      <c r="N4" s="25" t="str">
        <f>Admin!E6</f>
        <v>PM Niedziela</v>
      </c>
      <c r="O4" s="25" t="str">
        <f>Admin!F6</f>
        <v>PMN</v>
      </c>
      <c r="P4" s="25">
        <f ca="1">Schedule!K36</f>
        <v>0</v>
      </c>
      <c r="S4" s="75">
        <f t="shared" ca="1" si="0"/>
        <v>0</v>
      </c>
    </row>
    <row r="5" spans="1:23">
      <c r="A5" s="10">
        <v>42370</v>
      </c>
      <c r="D5">
        <v>5</v>
      </c>
      <c r="F5" s="23" t="str">
        <f ca="1">INDIRECT("T!"&amp;T!$A$1&amp;G5)</f>
        <v>Maj</v>
      </c>
      <c r="G5" s="23">
        <v>11</v>
      </c>
      <c r="H5">
        <v>5</v>
      </c>
      <c r="J5" s="23" t="s">
        <v>568</v>
      </c>
      <c r="K5" s="142" t="s">
        <v>118</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131</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570</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f>Admin!E14</f>
        <v>0</v>
      </c>
      <c r="O12" s="25">
        <f>Admin!F14</f>
        <v>0</v>
      </c>
      <c r="P12" s="25">
        <f ca="1">Schedule!K44</f>
        <v>0</v>
      </c>
      <c r="S12" s="75">
        <f t="shared" ca="1" si="0"/>
        <v>0</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t="str">
        <f>Admin!E27</f>
        <v>Training</v>
      </c>
      <c r="O25" s="25" t="str">
        <f>Admin!F27</f>
        <v>T</v>
      </c>
      <c r="P25" s="25">
        <f>Schedule!T37</f>
        <v>0.33333333333333331</v>
      </c>
      <c r="S25" s="75">
        <f t="shared" si="1"/>
        <v>8</v>
      </c>
    </row>
    <row r="26" spans="1:19">
      <c r="A26" s="10">
        <v>50041</v>
      </c>
      <c r="N26" s="25">
        <f>Admin!E28</f>
        <v>0</v>
      </c>
      <c r="O26" s="25">
        <f>Admin!F28</f>
        <v>0</v>
      </c>
      <c r="P26" s="25">
        <f>Schedule!T38</f>
        <v>0</v>
      </c>
      <c r="S26" s="75">
        <f t="shared" si="1"/>
        <v>0</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ColWidth="8.85546875" defaultRowHeight="15"/>
  <cols>
    <col min="1" max="1" width="10.28515625" bestFit="1" customWidth="1"/>
    <col min="4" max="4" width="24" customWidth="1"/>
    <col min="5" max="5" width="10.28515625" bestFit="1" customWidth="1"/>
    <col min="7" max="7" width="13.42578125" bestFit="1" customWidth="1"/>
    <col min="9" max="9" width="12.42578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30">
      <c r="A1" t="s">
        <v>575</v>
      </c>
      <c r="D1" t="str">
        <f>Schedule!A4</f>
        <v>Maj</v>
      </c>
      <c r="G1" s="11"/>
      <c r="L1" s="139">
        <f ca="1">Schedule!K9</f>
        <v>46143</v>
      </c>
      <c r="M1" s="139">
        <f ca="1">L1+1</f>
        <v>46144</v>
      </c>
      <c r="N1" s="139">
        <f t="shared" ref="N1:AM1" ca="1" si="0">M1+1</f>
        <v>46145</v>
      </c>
      <c r="O1" s="139">
        <f t="shared" ca="1" si="0"/>
        <v>46146</v>
      </c>
      <c r="P1" s="139">
        <f t="shared" ca="1" si="0"/>
        <v>46147</v>
      </c>
      <c r="Q1" s="139">
        <f t="shared" ca="1" si="0"/>
        <v>46148</v>
      </c>
      <c r="R1" s="139">
        <f t="shared" ca="1" si="0"/>
        <v>46149</v>
      </c>
      <c r="S1" s="139">
        <f t="shared" ca="1" si="0"/>
        <v>46150</v>
      </c>
      <c r="T1" s="139">
        <f t="shared" ca="1" si="0"/>
        <v>46151</v>
      </c>
      <c r="U1" s="139">
        <f t="shared" ca="1" si="0"/>
        <v>46152</v>
      </c>
      <c r="V1" s="139">
        <f t="shared" ca="1" si="0"/>
        <v>46153</v>
      </c>
      <c r="W1" s="139">
        <f t="shared" ca="1" si="0"/>
        <v>46154</v>
      </c>
      <c r="X1" s="139">
        <f t="shared" ca="1" si="0"/>
        <v>46155</v>
      </c>
      <c r="Y1" s="139">
        <f t="shared" ca="1" si="0"/>
        <v>46156</v>
      </c>
      <c r="Z1" s="139">
        <f t="shared" ca="1" si="0"/>
        <v>46157</v>
      </c>
      <c r="AA1" s="139">
        <f t="shared" ca="1" si="0"/>
        <v>46158</v>
      </c>
      <c r="AB1" s="139">
        <f t="shared" ca="1" si="0"/>
        <v>46159</v>
      </c>
      <c r="AC1" s="139">
        <f t="shared" ca="1" si="0"/>
        <v>46160</v>
      </c>
      <c r="AD1" s="139">
        <f t="shared" ca="1" si="0"/>
        <v>46161</v>
      </c>
      <c r="AE1" s="139">
        <f t="shared" ca="1" si="0"/>
        <v>46162</v>
      </c>
      <c r="AF1" s="139">
        <f t="shared" ca="1" si="0"/>
        <v>46163</v>
      </c>
      <c r="AG1" s="139">
        <f t="shared" ca="1" si="0"/>
        <v>46164</v>
      </c>
      <c r="AH1" s="139">
        <f t="shared" ca="1" si="0"/>
        <v>46165</v>
      </c>
      <c r="AI1" s="139">
        <f t="shared" ca="1" si="0"/>
        <v>46166</v>
      </c>
      <c r="AJ1" s="139">
        <f t="shared" ca="1" si="0"/>
        <v>46167</v>
      </c>
      <c r="AK1" s="139">
        <f t="shared" ca="1" si="0"/>
        <v>46168</v>
      </c>
      <c r="AL1" s="139">
        <f t="shared" ca="1" si="0"/>
        <v>46169</v>
      </c>
      <c r="AM1" s="139">
        <f t="shared" ca="1" si="0"/>
        <v>46170</v>
      </c>
      <c r="AN1" s="139">
        <f ca="1">IF(AM1+1&gt;E5,"",AM1+1)</f>
        <v>46171</v>
      </c>
      <c r="AO1" s="139">
        <f ca="1">IF(AN1+1&gt;E5,"",AN1+1)</f>
        <v>46172</v>
      </c>
      <c r="AP1" s="139">
        <f ca="1">IF(AO1+1&gt;E5,"",AO1+1)</f>
        <v>46173</v>
      </c>
    </row>
    <row r="2" spans="1:42" s="2" customFormat="1" ht="14.25">
      <c r="A2" s="1"/>
      <c r="B2" s="8">
        <v>1</v>
      </c>
      <c r="C2" s="8">
        <v>0</v>
      </c>
      <c r="D2" s="1"/>
      <c r="E2" s="33">
        <v>5</v>
      </c>
      <c r="F2" s="1"/>
      <c r="G2" s="12">
        <f>Admin!B3</f>
        <v>46023</v>
      </c>
      <c r="H2" s="1"/>
      <c r="I2" s="1" t="s">
        <v>462</v>
      </c>
      <c r="J2" s="1"/>
      <c r="K2" s="1"/>
      <c r="L2" s="9">
        <f ca="1">WEEKDAY(L1,2)</f>
        <v>5</v>
      </c>
      <c r="M2" s="9">
        <f t="shared" ref="M2:AM2" ca="1" si="1">WEEKDAY(M1,2)</f>
        <v>6</v>
      </c>
      <c r="N2" s="9">
        <f t="shared" ca="1" si="1"/>
        <v>7</v>
      </c>
      <c r="O2" s="9">
        <f t="shared" ca="1" si="1"/>
        <v>1</v>
      </c>
      <c r="P2" s="9">
        <f t="shared" ca="1" si="1"/>
        <v>2</v>
      </c>
      <c r="Q2" s="9">
        <f t="shared" ca="1" si="1"/>
        <v>3</v>
      </c>
      <c r="R2" s="9">
        <f t="shared" ca="1" si="1"/>
        <v>4</v>
      </c>
      <c r="S2" s="9">
        <f t="shared" ca="1" si="1"/>
        <v>5</v>
      </c>
      <c r="T2" s="9">
        <f t="shared" ca="1" si="1"/>
        <v>6</v>
      </c>
      <c r="U2" s="9">
        <f t="shared" ca="1" si="1"/>
        <v>7</v>
      </c>
      <c r="V2" s="9">
        <f t="shared" ca="1" si="1"/>
        <v>1</v>
      </c>
      <c r="W2" s="9">
        <f t="shared" ca="1" si="1"/>
        <v>2</v>
      </c>
      <c r="X2" s="9">
        <f t="shared" ca="1" si="1"/>
        <v>3</v>
      </c>
      <c r="Y2" s="9">
        <f t="shared" ca="1" si="1"/>
        <v>4</v>
      </c>
      <c r="Z2" s="9">
        <f t="shared" ca="1" si="1"/>
        <v>5</v>
      </c>
      <c r="AA2" s="9">
        <f t="shared" ca="1" si="1"/>
        <v>6</v>
      </c>
      <c r="AB2" s="9">
        <f t="shared" ca="1" si="1"/>
        <v>7</v>
      </c>
      <c r="AC2" s="9">
        <f t="shared" ca="1" si="1"/>
        <v>1</v>
      </c>
      <c r="AD2" s="9">
        <f t="shared" ca="1" si="1"/>
        <v>2</v>
      </c>
      <c r="AE2" s="9">
        <f t="shared" ca="1" si="1"/>
        <v>3</v>
      </c>
      <c r="AF2" s="9">
        <f t="shared" ca="1" si="1"/>
        <v>4</v>
      </c>
      <c r="AG2" s="9">
        <f t="shared" ca="1" si="1"/>
        <v>5</v>
      </c>
      <c r="AH2" s="9">
        <f t="shared" ca="1" si="1"/>
        <v>6</v>
      </c>
      <c r="AI2" s="9">
        <f t="shared" ca="1" si="1"/>
        <v>7</v>
      </c>
      <c r="AJ2" s="9">
        <f t="shared" ca="1" si="1"/>
        <v>1</v>
      </c>
      <c r="AK2" s="9">
        <f t="shared" ca="1" si="1"/>
        <v>2</v>
      </c>
      <c r="AL2" s="9">
        <f t="shared" ca="1" si="1"/>
        <v>3</v>
      </c>
      <c r="AM2" s="9">
        <f t="shared" ca="1" si="1"/>
        <v>4</v>
      </c>
      <c r="AN2" s="9">
        <f ca="1">IFERROR(WEEKDAY(AN1,2),"")</f>
        <v>5</v>
      </c>
      <c r="AO2" s="9">
        <f ca="1">IFERROR(WEEKDAY(AO1,2),"")</f>
        <v>6</v>
      </c>
      <c r="AP2" s="9">
        <f ca="1">IFERROR(WEEKDAY(AP1,2),"")</f>
        <v>7</v>
      </c>
    </row>
    <row r="3" spans="1:42" ht="15.75" thickBot="1">
      <c r="A3">
        <v>1</v>
      </c>
      <c r="B3">
        <v>31</v>
      </c>
      <c r="C3">
        <v>31</v>
      </c>
      <c r="D3" s="16">
        <f>G3</f>
        <v>46023</v>
      </c>
      <c r="E3" s="3">
        <f ca="1">Schedule!A6</f>
        <v>5</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Pt</v>
      </c>
      <c r="M3" s="98" t="str">
        <f ca="1">IF(M2=1,INDIRECT("T!"&amp;T!$A$1&amp;"26"),IF(M2=2,INDIRECT("T!"&amp;T!$A$1&amp;"27"),IF(M2=3,INDIRECT("T!"&amp;T!$A$1&amp;"28"),IF(M2=4,INDIRECT("T!"&amp;T!$A$1&amp;"29"),IF(M2=5,INDIRECT("T!"&amp;T!$A$1&amp;"30"),IF(M2=6,INDIRECT("T!"&amp;T!$A$1&amp;"31"),IF(M2=7,INDIRECT("T!"&amp;T!$A$1&amp;"32"),0)))))))</f>
        <v>So</v>
      </c>
      <c r="N3" s="98" t="str">
        <f ca="1">IF(N2=1,INDIRECT("T!"&amp;T!$A$1&amp;"26"),IF(N2=2,INDIRECT("T!"&amp;T!$A$1&amp;"27"),IF(N2=3,INDIRECT("T!"&amp;T!$A$1&amp;"28"),IF(N2=4,INDIRECT("T!"&amp;T!$A$1&amp;"29"),IF(N2=5,INDIRECT("T!"&amp;T!$A$1&amp;"30"),IF(N2=6,INDIRECT("T!"&amp;T!$A$1&amp;"31"),IF(N2=7,INDIRECT("T!"&amp;T!$A$1&amp;"32"),0)))))))</f>
        <v>Nd</v>
      </c>
      <c r="O3" s="98" t="str">
        <f ca="1">IF(O2=1,INDIRECT("T!"&amp;T!$A$1&amp;"26"),IF(O2=2,INDIRECT("T!"&amp;T!$A$1&amp;"27"),IF(O2=3,INDIRECT("T!"&amp;T!$A$1&amp;"28"),IF(O2=4,INDIRECT("T!"&amp;T!$A$1&amp;"29"),IF(O2=5,INDIRECT("T!"&amp;T!$A$1&amp;"30"),IF(O2=6,INDIRECT("T!"&amp;T!$A$1&amp;"31"),IF(O2=7,INDIRECT("T!"&amp;T!$A$1&amp;"32"),0)))))))</f>
        <v>Pn</v>
      </c>
      <c r="P3" s="98" t="str">
        <f ca="1">IF(P2=1,INDIRECT("T!"&amp;T!$A$1&amp;"26"),IF(P2=2,INDIRECT("T!"&amp;T!$A$1&amp;"27"),IF(P2=3,INDIRECT("T!"&amp;T!$A$1&amp;"28"),IF(P2=4,INDIRECT("T!"&amp;T!$A$1&amp;"29"),IF(P2=5,INDIRECT("T!"&amp;T!$A$1&amp;"30"),IF(P2=6,INDIRECT("T!"&amp;T!$A$1&amp;"31"),IF(P2=7,INDIRECT("T!"&amp;T!$A$1&amp;"32"),0)))))))</f>
        <v>Wt</v>
      </c>
      <c r="Q3" s="98" t="str">
        <f ca="1">IF(Q2=1,INDIRECT("T!"&amp;T!$A$1&amp;"26"),IF(Q2=2,INDIRECT("T!"&amp;T!$A$1&amp;"27"),IF(Q2=3,INDIRECT("T!"&amp;T!$A$1&amp;"28"),IF(Q2=4,INDIRECT("T!"&amp;T!$A$1&amp;"29"),IF(Q2=5,INDIRECT("T!"&amp;T!$A$1&amp;"30"),IF(Q2=6,INDIRECT("T!"&amp;T!$A$1&amp;"31"),IF(Q2=7,INDIRECT("T!"&amp;T!$A$1&amp;"32"),0)))))))</f>
        <v>Śr</v>
      </c>
      <c r="R3" s="98" t="str">
        <f ca="1">IF(R2=1,INDIRECT("T!"&amp;T!$A$1&amp;"26"),IF(R2=2,INDIRECT("T!"&amp;T!$A$1&amp;"27"),IF(R2=3,INDIRECT("T!"&amp;T!$A$1&amp;"28"),IF(R2=4,INDIRECT("T!"&amp;T!$A$1&amp;"29"),IF(R2=5,INDIRECT("T!"&amp;T!$A$1&amp;"30"),IF(R2=6,INDIRECT("T!"&amp;T!$A$1&amp;"31"),IF(R2=7,INDIRECT("T!"&amp;T!$A$1&amp;"32"),0)))))))</f>
        <v>Cz</v>
      </c>
      <c r="S3" s="98" t="str">
        <f ca="1">IF(S2=1,INDIRECT("T!"&amp;T!$A$1&amp;"26"),IF(S2=2,INDIRECT("T!"&amp;T!$A$1&amp;"27"),IF(S2=3,INDIRECT("T!"&amp;T!$A$1&amp;"28"),IF(S2=4,INDIRECT("T!"&amp;T!$A$1&amp;"29"),IF(S2=5,INDIRECT("T!"&amp;T!$A$1&amp;"30"),IF(S2=6,INDIRECT("T!"&amp;T!$A$1&amp;"31"),IF(S2=7,INDIRECT("T!"&amp;T!$A$1&amp;"32"),0)))))))</f>
        <v>Pt</v>
      </c>
      <c r="T3" s="98" t="str">
        <f ca="1">IF(T2=1,INDIRECT("T!"&amp;T!$A$1&amp;"26"),IF(T2=2,INDIRECT("T!"&amp;T!$A$1&amp;"27"),IF(T2=3,INDIRECT("T!"&amp;T!$A$1&amp;"28"),IF(T2=4,INDIRECT("T!"&amp;T!$A$1&amp;"29"),IF(T2=5,INDIRECT("T!"&amp;T!$A$1&amp;"30"),IF(T2=6,INDIRECT("T!"&amp;T!$A$1&amp;"31"),IF(T2=7,INDIRECT("T!"&amp;T!$A$1&amp;"32"),0)))))))</f>
        <v>So</v>
      </c>
      <c r="U3" s="98" t="str">
        <f ca="1">IF(U2=1,INDIRECT("T!"&amp;T!$A$1&amp;"26"),IF(U2=2,INDIRECT("T!"&amp;T!$A$1&amp;"27"),IF(U2=3,INDIRECT("T!"&amp;T!$A$1&amp;"28"),IF(U2=4,INDIRECT("T!"&amp;T!$A$1&amp;"29"),IF(U2=5,INDIRECT("T!"&amp;T!$A$1&amp;"30"),IF(U2=6,INDIRECT("T!"&amp;T!$A$1&amp;"31"),IF(U2=7,INDIRECT("T!"&amp;T!$A$1&amp;"32"),0)))))))</f>
        <v>Nd</v>
      </c>
      <c r="V3" s="98" t="str">
        <f ca="1">IF(V2=1,INDIRECT("T!"&amp;T!$A$1&amp;"26"),IF(V2=2,INDIRECT("T!"&amp;T!$A$1&amp;"27"),IF(V2=3,INDIRECT("T!"&amp;T!$A$1&amp;"28"),IF(V2=4,INDIRECT("T!"&amp;T!$A$1&amp;"29"),IF(V2=5,INDIRECT("T!"&amp;T!$A$1&amp;"30"),IF(V2=6,INDIRECT("T!"&amp;T!$A$1&amp;"31"),IF(V2=7,INDIRECT("T!"&amp;T!$A$1&amp;"32"),0)))))))</f>
        <v>Pn</v>
      </c>
      <c r="W3" s="98" t="str">
        <f ca="1">IF(W2=1,INDIRECT("T!"&amp;T!$A$1&amp;"26"),IF(W2=2,INDIRECT("T!"&amp;T!$A$1&amp;"27"),IF(W2=3,INDIRECT("T!"&amp;T!$A$1&amp;"28"),IF(W2=4,INDIRECT("T!"&amp;T!$A$1&amp;"29"),IF(W2=5,INDIRECT("T!"&amp;T!$A$1&amp;"30"),IF(W2=6,INDIRECT("T!"&amp;T!$A$1&amp;"31"),IF(W2=7,INDIRECT("T!"&amp;T!$A$1&amp;"32"),0)))))))</f>
        <v>Wt</v>
      </c>
      <c r="X3" s="98" t="str">
        <f ca="1">IF(X2=1,INDIRECT("T!"&amp;T!$A$1&amp;"26"),IF(X2=2,INDIRECT("T!"&amp;T!$A$1&amp;"27"),IF(X2=3,INDIRECT("T!"&amp;T!$A$1&amp;"28"),IF(X2=4,INDIRECT("T!"&amp;T!$A$1&amp;"29"),IF(X2=5,INDIRECT("T!"&amp;T!$A$1&amp;"30"),IF(X2=6,INDIRECT("T!"&amp;T!$A$1&amp;"31"),IF(X2=7,INDIRECT("T!"&amp;T!$A$1&amp;"32"),0)))))))</f>
        <v>Śr</v>
      </c>
      <c r="Y3" s="98" t="str">
        <f ca="1">IF(Y2=1,INDIRECT("T!"&amp;T!$A$1&amp;"26"),IF(Y2=2,INDIRECT("T!"&amp;T!$A$1&amp;"27"),IF(Y2=3,INDIRECT("T!"&amp;T!$A$1&amp;"28"),IF(Y2=4,INDIRECT("T!"&amp;T!$A$1&amp;"29"),IF(Y2=5,INDIRECT("T!"&amp;T!$A$1&amp;"30"),IF(Y2=6,INDIRECT("T!"&amp;T!$A$1&amp;"31"),IF(Y2=7,INDIRECT("T!"&amp;T!$A$1&amp;"32"),0)))))))</f>
        <v>Cz</v>
      </c>
      <c r="Z3" s="98" t="str">
        <f ca="1">IF(Z2=1,INDIRECT("T!"&amp;T!$A$1&amp;"26"),IF(Z2=2,INDIRECT("T!"&amp;T!$A$1&amp;"27"),IF(Z2=3,INDIRECT("T!"&amp;T!$A$1&amp;"28"),IF(Z2=4,INDIRECT("T!"&amp;T!$A$1&amp;"29"),IF(Z2=5,INDIRECT("T!"&amp;T!$A$1&amp;"30"),IF(Z2=6,INDIRECT("T!"&amp;T!$A$1&amp;"31"),IF(Z2=7,INDIRECT("T!"&amp;T!$A$1&amp;"32"),0)))))))</f>
        <v>Pt</v>
      </c>
      <c r="AA3" s="98" t="str">
        <f ca="1">IF(AA2=1,INDIRECT("T!"&amp;T!$A$1&amp;"26"),IF(AA2=2,INDIRECT("T!"&amp;T!$A$1&amp;"27"),IF(AA2=3,INDIRECT("T!"&amp;T!$A$1&amp;"28"),IF(AA2=4,INDIRECT("T!"&amp;T!$A$1&amp;"29"),IF(AA2=5,INDIRECT("T!"&amp;T!$A$1&amp;"30"),IF(AA2=6,INDIRECT("T!"&amp;T!$A$1&amp;"31"),IF(AA2=7,INDIRECT("T!"&amp;T!$A$1&amp;"32"),0)))))))</f>
        <v>So</v>
      </c>
      <c r="AB3" s="98" t="str">
        <f ca="1">IF(AB2=1,INDIRECT("T!"&amp;T!$A$1&amp;"26"),IF(AB2=2,INDIRECT("T!"&amp;T!$A$1&amp;"27"),IF(AB2=3,INDIRECT("T!"&amp;T!$A$1&amp;"28"),IF(AB2=4,INDIRECT("T!"&amp;T!$A$1&amp;"29"),IF(AB2=5,INDIRECT("T!"&amp;T!$A$1&amp;"30"),IF(AB2=6,INDIRECT("T!"&amp;T!$A$1&amp;"31"),IF(AB2=7,INDIRECT("T!"&amp;T!$A$1&amp;"32"),0)))))))</f>
        <v>Nd</v>
      </c>
      <c r="AC3" s="98" t="str">
        <f ca="1">IF(AC2=1,INDIRECT("T!"&amp;T!$A$1&amp;"26"),IF(AC2=2,INDIRECT("T!"&amp;T!$A$1&amp;"27"),IF(AC2=3,INDIRECT("T!"&amp;T!$A$1&amp;"28"),IF(AC2=4,INDIRECT("T!"&amp;T!$A$1&amp;"29"),IF(AC2=5,INDIRECT("T!"&amp;T!$A$1&amp;"30"),IF(AC2=6,INDIRECT("T!"&amp;T!$A$1&amp;"31"),IF(AC2=7,INDIRECT("T!"&amp;T!$A$1&amp;"32"),0)))))))</f>
        <v>Pn</v>
      </c>
      <c r="AD3" s="98" t="str">
        <f ca="1">IF(AD2=1,INDIRECT("T!"&amp;T!$A$1&amp;"26"),IF(AD2=2,INDIRECT("T!"&amp;T!$A$1&amp;"27"),IF(AD2=3,INDIRECT("T!"&amp;T!$A$1&amp;"28"),IF(AD2=4,INDIRECT("T!"&amp;T!$A$1&amp;"29"),IF(AD2=5,INDIRECT("T!"&amp;T!$A$1&amp;"30"),IF(AD2=6,INDIRECT("T!"&amp;T!$A$1&amp;"31"),IF(AD2=7,INDIRECT("T!"&amp;T!$A$1&amp;"32"),0)))))))</f>
        <v>Wt</v>
      </c>
      <c r="AE3" s="98" t="str">
        <f ca="1">IF(AE2=1,INDIRECT("T!"&amp;T!$A$1&amp;"26"),IF(AE2=2,INDIRECT("T!"&amp;T!$A$1&amp;"27"),IF(AE2=3,INDIRECT("T!"&amp;T!$A$1&amp;"28"),IF(AE2=4,INDIRECT("T!"&amp;T!$A$1&amp;"29"),IF(AE2=5,INDIRECT("T!"&amp;T!$A$1&amp;"30"),IF(AE2=6,INDIRECT("T!"&amp;T!$A$1&amp;"31"),IF(AE2=7,INDIRECT("T!"&amp;T!$A$1&amp;"32"),0)))))))</f>
        <v>Śr</v>
      </c>
      <c r="AF3" s="98" t="str">
        <f ca="1">IF(AF2=1,INDIRECT("T!"&amp;T!$A$1&amp;"26"),IF(AF2=2,INDIRECT("T!"&amp;T!$A$1&amp;"27"),IF(AF2=3,INDIRECT("T!"&amp;T!$A$1&amp;"28"),IF(AF2=4,INDIRECT("T!"&amp;T!$A$1&amp;"29"),IF(AF2=5,INDIRECT("T!"&amp;T!$A$1&amp;"30"),IF(AF2=6,INDIRECT("T!"&amp;T!$A$1&amp;"31"),IF(AF2=7,INDIRECT("T!"&amp;T!$A$1&amp;"32"),0)))))))</f>
        <v>Cz</v>
      </c>
      <c r="AG3" s="98" t="str">
        <f ca="1">IF(AG2=1,INDIRECT("T!"&amp;T!$A$1&amp;"26"),IF(AG2=2,INDIRECT("T!"&amp;T!$A$1&amp;"27"),IF(AG2=3,INDIRECT("T!"&amp;T!$A$1&amp;"28"),IF(AG2=4,INDIRECT("T!"&amp;T!$A$1&amp;"29"),IF(AG2=5,INDIRECT("T!"&amp;T!$A$1&amp;"30"),IF(AG2=6,INDIRECT("T!"&amp;T!$A$1&amp;"31"),IF(AG2=7,INDIRECT("T!"&amp;T!$A$1&amp;"32"),0)))))))</f>
        <v>Pt</v>
      </c>
      <c r="AH3" s="98" t="str">
        <f ca="1">IF(AH2=1,INDIRECT("T!"&amp;T!$A$1&amp;"26"),IF(AH2=2,INDIRECT("T!"&amp;T!$A$1&amp;"27"),IF(AH2=3,INDIRECT("T!"&amp;T!$A$1&amp;"28"),IF(AH2=4,INDIRECT("T!"&amp;T!$A$1&amp;"29"),IF(AH2=5,INDIRECT("T!"&amp;T!$A$1&amp;"30"),IF(AH2=6,INDIRECT("T!"&amp;T!$A$1&amp;"31"),IF(AH2=7,INDIRECT("T!"&amp;T!$A$1&amp;"32"),0)))))))</f>
        <v>So</v>
      </c>
      <c r="AI3" s="98" t="str">
        <f ca="1">IF(AI2=1,INDIRECT("T!"&amp;T!$A$1&amp;"26"),IF(AI2=2,INDIRECT("T!"&amp;T!$A$1&amp;"27"),IF(AI2=3,INDIRECT("T!"&amp;T!$A$1&amp;"28"),IF(AI2=4,INDIRECT("T!"&amp;T!$A$1&amp;"29"),IF(AI2=5,INDIRECT("T!"&amp;T!$A$1&amp;"30"),IF(AI2=6,INDIRECT("T!"&amp;T!$A$1&amp;"31"),IF(AI2=7,INDIRECT("T!"&amp;T!$A$1&amp;"32"),0)))))))</f>
        <v>Nd</v>
      </c>
      <c r="AJ3" s="98" t="str">
        <f ca="1">IF(AJ2=1,INDIRECT("T!"&amp;T!$A$1&amp;"26"),IF(AJ2=2,INDIRECT("T!"&amp;T!$A$1&amp;"27"),IF(AJ2=3,INDIRECT("T!"&amp;T!$A$1&amp;"28"),IF(AJ2=4,INDIRECT("T!"&amp;T!$A$1&amp;"29"),IF(AJ2=5,INDIRECT("T!"&amp;T!$A$1&amp;"30"),IF(AJ2=6,INDIRECT("T!"&amp;T!$A$1&amp;"31"),IF(AJ2=7,INDIRECT("T!"&amp;T!$A$1&amp;"32"),0)))))))</f>
        <v>Pn</v>
      </c>
      <c r="AK3" s="98" t="str">
        <f ca="1">IF(AK2=1,INDIRECT("T!"&amp;T!$A$1&amp;"26"),IF(AK2=2,INDIRECT("T!"&amp;T!$A$1&amp;"27"),IF(AK2=3,INDIRECT("T!"&amp;T!$A$1&amp;"28"),IF(AK2=4,INDIRECT("T!"&amp;T!$A$1&amp;"29"),IF(AK2=5,INDIRECT("T!"&amp;T!$A$1&amp;"30"),IF(AK2=6,INDIRECT("T!"&amp;T!$A$1&amp;"31"),IF(AK2=7,INDIRECT("T!"&amp;T!$A$1&amp;"32"),0)))))))</f>
        <v>Wt</v>
      </c>
      <c r="AL3" s="98" t="str">
        <f ca="1">IF(AL2=1,INDIRECT("T!"&amp;T!$A$1&amp;"26"),IF(AL2=2,INDIRECT("T!"&amp;T!$A$1&amp;"27"),IF(AL2=3,INDIRECT("T!"&amp;T!$A$1&amp;"28"),IF(AL2=4,INDIRECT("T!"&amp;T!$A$1&amp;"29"),IF(AL2=5,INDIRECT("T!"&amp;T!$A$1&amp;"30"),IF(AL2=6,INDIRECT("T!"&amp;T!$A$1&amp;"31"),IF(AL2=7,INDIRECT("T!"&amp;T!$A$1&amp;"32"),0)))))))</f>
        <v>Śr</v>
      </c>
      <c r="AM3" s="98" t="str">
        <f ca="1">IF(AM2=1,INDIRECT("T!"&amp;T!$A$1&amp;"26"),IF(AM2=2,INDIRECT("T!"&amp;T!$A$1&amp;"27"),IF(AM2=3,INDIRECT("T!"&amp;T!$A$1&amp;"28"),IF(AM2=4,INDIRECT("T!"&amp;T!$A$1&amp;"29"),IF(AM2=5,INDIRECT("T!"&amp;T!$A$1&amp;"30"),IF(AM2=6,INDIRECT("T!"&amp;T!$A$1&amp;"31"),IF(AM2=7,INDIRECT("T!"&amp;T!$A$1&amp;"32"),0)))))))</f>
        <v>Cz</v>
      </c>
      <c r="AN3" s="98" t="str">
        <f ca="1">IF(AN2=1,INDIRECT("T!"&amp;T!$A$1&amp;"26"),IF(AN2=2,INDIRECT("T!"&amp;T!$A$1&amp;"27"),IF(AN2=3,INDIRECT("T!"&amp;T!$A$1&amp;"28"),IF(AN2=4,INDIRECT("T!"&amp;T!$A$1&amp;"29"),IF(AN2=5,INDIRECT("T!"&amp;T!$A$1&amp;"30"),IF(AN2=6,INDIRECT("T!"&amp;T!$A$1&amp;"31"),IF(AN2=7,INDIRECT("T!"&amp;T!$A$1&amp;"32"),0)))))))</f>
        <v>Pt</v>
      </c>
      <c r="AO3" s="98" t="str">
        <f ca="1">IF(AO2=1,INDIRECT("T!"&amp;T!$A$1&amp;"26"),IF(AO2=2,INDIRECT("T!"&amp;T!$A$1&amp;"27"),IF(AO2=3,INDIRECT("T!"&amp;T!$A$1&amp;"28"),IF(AO2=4,INDIRECT("T!"&amp;T!$A$1&amp;"29"),IF(AO2=5,INDIRECT("T!"&amp;T!$A$1&amp;"30"),IF(AO2=6,INDIRECT("T!"&amp;T!$A$1&amp;"31"),IF(AO2=7,INDIRECT("T!"&amp;T!$A$1&amp;"32"),0)))))))</f>
        <v>So</v>
      </c>
      <c r="AP3" s="98" t="str">
        <f ca="1">IF(AP2=1,INDIRECT("T!"&amp;T!$A$1&amp;"26"),IF(AP2=2,INDIRECT("T!"&amp;T!$A$1&amp;"27"),IF(AP2=3,INDIRECT("T!"&amp;T!$A$1&amp;"28"),IF(AP2=4,INDIRECT("T!"&amp;T!$A$1&amp;"29"),IF(AP2=5,INDIRECT("T!"&amp;T!$A$1&amp;"30"),IF(AP2=6,INDIRECT("T!"&amp;T!$A$1&amp;"31"),IF(AP2=7,INDIRECT("T!"&amp;T!$A$1&amp;"32"),0)))))))</f>
        <v>Nd</v>
      </c>
    </row>
    <row r="4" spans="1:42">
      <c r="A4">
        <v>2</v>
      </c>
      <c r="B4">
        <v>29</v>
      </c>
      <c r="C4">
        <v>28</v>
      </c>
      <c r="D4" s="16">
        <f>G2+31</f>
        <v>46054</v>
      </c>
      <c r="E4" s="10">
        <f>IF(D1="STYCZEŃ",D3,IF(D1="LUTY",D4,IF(D1="MARZEC",D5,IF(D1="KWIECIEŃ",D6,IF(D1="MAJ",D7,IF(D1="CZERWIEC",D8,IF(D1="LIPIEC",D9,IF(D1="SIERPIEŃ",D10,IF(D1="WRZESIEŃ",D11,IF(D1="PAŹDZIERNIK",D12,IF(D1="LISTOPAD",D13,IF(D1="GRUDZIEŃ",D14))))))))))))</f>
        <v>46143</v>
      </c>
      <c r="F4">
        <f>DAY(DATE(YEAR(E4),MONTH(E4)+1,1)-1)</f>
        <v>31</v>
      </c>
      <c r="G4" s="15"/>
      <c r="I4" s="17">
        <f>Calendar!B20</f>
        <v>46028</v>
      </c>
      <c r="J4" s="15">
        <f t="shared" ref="J4:J17" si="2">I4</f>
        <v>46028</v>
      </c>
      <c r="L4" s="15"/>
    </row>
    <row r="5" spans="1:42">
      <c r="A5">
        <v>3</v>
      </c>
      <c r="B5">
        <v>31</v>
      </c>
      <c r="C5">
        <v>31</v>
      </c>
      <c r="D5" s="16">
        <f>IF(H17=1,D4+29,D4+28)</f>
        <v>46082</v>
      </c>
      <c r="E5" s="10">
        <f>E4+F4-1</f>
        <v>46173</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576</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2BBED82F28864441B0157990069E37F4" ma:contentTypeVersion="12" ma:contentTypeDescription="Utwórz nowy dokument." ma:contentTypeScope="" ma:versionID="f63dcbe6975d548a15739a9380b9171f">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385df4fec3b7928491dedea2be72544b"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Tagi obrazów"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05F1DA-1D12-40B6-9B15-292F26FB21F0}"/>
</file>

<file path=customXml/itemProps2.xml><?xml version="1.0" encoding="utf-8"?>
<ds:datastoreItem xmlns:ds="http://schemas.openxmlformats.org/officeDocument/2006/customXml" ds:itemID="{F13D6E5C-5B58-4812-9640-E5D7A6E83AEA}"/>
</file>

<file path=customXml/itemProps3.xml><?xml version="1.0" encoding="utf-8"?>
<ds:datastoreItem xmlns:ds="http://schemas.openxmlformats.org/officeDocument/2006/customXml" ds:itemID="{A2B3243D-D805-44B7-AAD2-CFCEB61C9E45}"/>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Szeluga, Dawid</cp:lastModifiedBy>
  <cp:revision/>
  <dcterms:created xsi:type="dcterms:W3CDTF">2006-09-16T00:00:00Z</dcterms:created>
  <dcterms:modified xsi:type="dcterms:W3CDTF">2026-06-01T05:43:10Z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